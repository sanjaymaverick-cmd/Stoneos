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HAGWAN\Dropbox\2. FACTORY\3. VEDAM\"/>
    </mc:Choice>
  </mc:AlternateContent>
  <xr:revisionPtr revIDLastSave="0" documentId="13_ncr:1_{04D50863-8C09-46EC-A947-FA204AA0872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3-24" sheetId="1" r:id="rId1"/>
    <sheet name="24-25" sheetId="2" r:id="rId2"/>
    <sheet name="25-26" sheetId="3" r:id="rId3"/>
    <sheet name="26-27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K34" i="4" l="1"/>
  <c r="AI9" i="4"/>
  <c r="FS34" i="3"/>
  <c r="FS33" i="3"/>
  <c r="LC34" i="3"/>
  <c r="KA34" i="3"/>
  <c r="IY34" i="3"/>
  <c r="HW34" i="3"/>
  <c r="IO34" i="4"/>
  <c r="IN34" i="4"/>
  <c r="IM34" i="4"/>
  <c r="IL34" i="4"/>
  <c r="IK34" i="4"/>
  <c r="IJ34" i="4"/>
  <c r="II34" i="4"/>
  <c r="IH34" i="4"/>
  <c r="IG34" i="4"/>
  <c r="IF34" i="4"/>
  <c r="IE34" i="4"/>
  <c r="ID34" i="4"/>
  <c r="IC34" i="4"/>
  <c r="IB34" i="4"/>
  <c r="IA34" i="4"/>
  <c r="HZ34" i="4"/>
  <c r="HY34" i="4"/>
  <c r="HX34" i="4"/>
  <c r="HV34" i="4"/>
  <c r="HU34" i="4"/>
  <c r="HT34" i="4"/>
  <c r="HS34" i="4"/>
  <c r="HR34" i="4"/>
  <c r="HM34" i="4"/>
  <c r="HL34" i="4"/>
  <c r="HK34" i="4"/>
  <c r="HJ34" i="4"/>
  <c r="HI34" i="4"/>
  <c r="HH34" i="4"/>
  <c r="HG34" i="4"/>
  <c r="HF34" i="4"/>
  <c r="HE34" i="4"/>
  <c r="HD34" i="4"/>
  <c r="HC34" i="4"/>
  <c r="HB34" i="4"/>
  <c r="HA34" i="4"/>
  <c r="GZ34" i="4"/>
  <c r="GY34" i="4"/>
  <c r="GX34" i="4"/>
  <c r="GW34" i="4"/>
  <c r="GV34" i="4"/>
  <c r="GT34" i="4"/>
  <c r="GS34" i="4"/>
  <c r="GR34" i="4"/>
  <c r="GQ34" i="4"/>
  <c r="GP34" i="4"/>
  <c r="GK34" i="4"/>
  <c r="GJ34" i="4"/>
  <c r="GI34" i="4"/>
  <c r="GH34" i="4"/>
  <c r="GG34" i="4"/>
  <c r="GF34" i="4"/>
  <c r="GE34" i="4"/>
  <c r="GD34" i="4"/>
  <c r="GC34" i="4"/>
  <c r="GB34" i="4"/>
  <c r="GA34" i="4"/>
  <c r="FZ34" i="4"/>
  <c r="FY34" i="4"/>
  <c r="FX34" i="4"/>
  <c r="FW34" i="4"/>
  <c r="FV34" i="4"/>
  <c r="FU34" i="4"/>
  <c r="FT34" i="4"/>
  <c r="FR34" i="4"/>
  <c r="FQ34" i="4"/>
  <c r="FP34" i="4"/>
  <c r="FO34" i="4"/>
  <c r="FN34" i="4"/>
  <c r="FI34" i="4"/>
  <c r="FH34" i="4"/>
  <c r="FG34" i="4"/>
  <c r="FF34" i="4"/>
  <c r="FE34" i="4"/>
  <c r="FD34" i="4"/>
  <c r="FC34" i="4"/>
  <c r="FB34" i="4"/>
  <c r="FA34" i="4"/>
  <c r="EZ34" i="4"/>
  <c r="EY34" i="4"/>
  <c r="EX34" i="4"/>
  <c r="EW34" i="4"/>
  <c r="EV34" i="4"/>
  <c r="EU34" i="4"/>
  <c r="ET34" i="4"/>
  <c r="ES34" i="4"/>
  <c r="ER34" i="4"/>
  <c r="EP34" i="4"/>
  <c r="EO34" i="4"/>
  <c r="EN34" i="4"/>
  <c r="EM34" i="4"/>
  <c r="EL34" i="4"/>
  <c r="EG34" i="4"/>
  <c r="EF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S34" i="4"/>
  <c r="DR34" i="4"/>
  <c r="DQ34" i="4"/>
  <c r="DP34" i="4"/>
  <c r="DN34" i="4"/>
  <c r="DM34" i="4"/>
  <c r="DL34" i="4"/>
  <c r="DK34" i="4"/>
  <c r="DJ34" i="4"/>
  <c r="DE34" i="4"/>
  <c r="DD34" i="4"/>
  <c r="DC34" i="4"/>
  <c r="DB34" i="4"/>
  <c r="DA34" i="4"/>
  <c r="CZ34" i="4"/>
  <c r="CY34" i="4"/>
  <c r="CX34" i="4"/>
  <c r="CW34" i="4"/>
  <c r="CV34" i="4"/>
  <c r="CU34" i="4"/>
  <c r="CT34" i="4"/>
  <c r="CS34" i="4"/>
  <c r="CR34" i="4"/>
  <c r="CQ34" i="4"/>
  <c r="CP34" i="4"/>
  <c r="CO34" i="4"/>
  <c r="CN34" i="4"/>
  <c r="CL34" i="4"/>
  <c r="CK34" i="4"/>
  <c r="CJ34" i="4"/>
  <c r="CI34" i="4"/>
  <c r="CH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J34" i="4"/>
  <c r="BI34" i="4"/>
  <c r="BH34" i="4"/>
  <c r="BG34" i="4"/>
  <c r="BF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H34" i="4"/>
  <c r="AG34" i="4"/>
  <c r="AF34" i="4"/>
  <c r="AE34" i="4"/>
  <c r="AD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F34" i="4"/>
  <c r="E34" i="4"/>
  <c r="D34" i="4"/>
  <c r="C34" i="4"/>
  <c r="B34" i="4"/>
  <c r="IQ33" i="4"/>
  <c r="HW33" i="4"/>
  <c r="HO33" i="4"/>
  <c r="GU33" i="4"/>
  <c r="GM33" i="4"/>
  <c r="FS33" i="4"/>
  <c r="FK33" i="4"/>
  <c r="EQ33" i="4"/>
  <c r="EI33" i="4"/>
  <c r="DO33" i="4"/>
  <c r="DG33" i="4"/>
  <c r="CM33" i="4"/>
  <c r="CE33" i="4"/>
  <c r="BK33" i="4"/>
  <c r="AA33" i="4"/>
  <c r="G33" i="4"/>
  <c r="IQ32" i="4"/>
  <c r="HW32" i="4"/>
  <c r="HO32" i="4"/>
  <c r="GU32" i="4"/>
  <c r="GM32" i="4"/>
  <c r="FS32" i="4"/>
  <c r="FK32" i="4"/>
  <c r="EQ32" i="4"/>
  <c r="EI32" i="4"/>
  <c r="DO32" i="4"/>
  <c r="DG32" i="4"/>
  <c r="CM32" i="4"/>
  <c r="CE32" i="4"/>
  <c r="BK32" i="4"/>
  <c r="BC33" i="4"/>
  <c r="AI33" i="4"/>
  <c r="AA32" i="4"/>
  <c r="G32" i="4"/>
  <c r="IQ31" i="4"/>
  <c r="HW31" i="4"/>
  <c r="HO31" i="4"/>
  <c r="GU31" i="4"/>
  <c r="GM31" i="4"/>
  <c r="FS31" i="4"/>
  <c r="FK31" i="4"/>
  <c r="EQ31" i="4"/>
  <c r="EI31" i="4"/>
  <c r="DO31" i="4"/>
  <c r="DG31" i="4"/>
  <c r="CM31" i="4"/>
  <c r="CE31" i="4"/>
  <c r="BK31" i="4"/>
  <c r="BC32" i="4"/>
  <c r="AI32" i="4"/>
  <c r="AA31" i="4"/>
  <c r="G31" i="4"/>
  <c r="IQ30" i="4"/>
  <c r="HW30" i="4"/>
  <c r="HO30" i="4"/>
  <c r="GU30" i="4"/>
  <c r="GM30" i="4"/>
  <c r="FS30" i="4"/>
  <c r="FK30" i="4"/>
  <c r="EQ30" i="4"/>
  <c r="EI30" i="4"/>
  <c r="DO30" i="4"/>
  <c r="DG30" i="4"/>
  <c r="CM30" i="4"/>
  <c r="CE30" i="4"/>
  <c r="BK30" i="4"/>
  <c r="BC31" i="4"/>
  <c r="AI31" i="4"/>
  <c r="AA30" i="4"/>
  <c r="G30" i="4"/>
  <c r="IQ29" i="4"/>
  <c r="HW29" i="4"/>
  <c r="HO29" i="4"/>
  <c r="GU29" i="4"/>
  <c r="GM29" i="4"/>
  <c r="FS29" i="4"/>
  <c r="FK29" i="4"/>
  <c r="EQ29" i="4"/>
  <c r="EI29" i="4"/>
  <c r="DO29" i="4"/>
  <c r="DG29" i="4"/>
  <c r="CM29" i="4"/>
  <c r="CE29" i="4"/>
  <c r="BK29" i="4"/>
  <c r="BC30" i="4"/>
  <c r="AI30" i="4"/>
  <c r="AA29" i="4"/>
  <c r="G29" i="4"/>
  <c r="IQ28" i="4"/>
  <c r="HW28" i="4"/>
  <c r="HO28" i="4"/>
  <c r="GU28" i="4"/>
  <c r="GM28" i="4"/>
  <c r="FS28" i="4"/>
  <c r="FK28" i="4"/>
  <c r="EQ28" i="4"/>
  <c r="EI28" i="4"/>
  <c r="DO28" i="4"/>
  <c r="DG28" i="4"/>
  <c r="CM28" i="4"/>
  <c r="CE28" i="4"/>
  <c r="BK28" i="4"/>
  <c r="BC29" i="4"/>
  <c r="AI29" i="4"/>
  <c r="AA28" i="4"/>
  <c r="G28" i="4"/>
  <c r="IQ27" i="4"/>
  <c r="HW27" i="4"/>
  <c r="HO27" i="4"/>
  <c r="GU27" i="4"/>
  <c r="GM27" i="4"/>
  <c r="FS27" i="4"/>
  <c r="FK27" i="4"/>
  <c r="EQ27" i="4"/>
  <c r="EI27" i="4"/>
  <c r="DO27" i="4"/>
  <c r="DG27" i="4"/>
  <c r="CM27" i="4"/>
  <c r="CE27" i="4"/>
  <c r="BK27" i="4"/>
  <c r="BC28" i="4"/>
  <c r="AI28" i="4"/>
  <c r="AA27" i="4"/>
  <c r="G27" i="4"/>
  <c r="IQ26" i="4"/>
  <c r="HW26" i="4"/>
  <c r="HO26" i="4"/>
  <c r="GU26" i="4"/>
  <c r="GM26" i="4"/>
  <c r="FS26" i="4"/>
  <c r="FK26" i="4"/>
  <c r="EQ26" i="4"/>
  <c r="EI26" i="4"/>
  <c r="DO26" i="4"/>
  <c r="DG26" i="4"/>
  <c r="CM26" i="4"/>
  <c r="CE26" i="4"/>
  <c r="BK26" i="4"/>
  <c r="BC27" i="4"/>
  <c r="AI27" i="4"/>
  <c r="AA26" i="4"/>
  <c r="G26" i="4"/>
  <c r="IQ25" i="4"/>
  <c r="HW25" i="4"/>
  <c r="HO25" i="4"/>
  <c r="GU25" i="4"/>
  <c r="GM25" i="4"/>
  <c r="FS25" i="4"/>
  <c r="FK25" i="4"/>
  <c r="EQ25" i="4"/>
  <c r="EI25" i="4"/>
  <c r="DO25" i="4"/>
  <c r="DG25" i="4"/>
  <c r="CM25" i="4"/>
  <c r="CE25" i="4"/>
  <c r="BK25" i="4"/>
  <c r="BC26" i="4"/>
  <c r="AI26" i="4"/>
  <c r="AA25" i="4"/>
  <c r="G25" i="4"/>
  <c r="IQ24" i="4"/>
  <c r="HW24" i="4"/>
  <c r="HO24" i="4"/>
  <c r="GU24" i="4"/>
  <c r="GM24" i="4"/>
  <c r="FS24" i="4"/>
  <c r="FK24" i="4"/>
  <c r="EQ24" i="4"/>
  <c r="EI24" i="4"/>
  <c r="DO24" i="4"/>
  <c r="DG24" i="4"/>
  <c r="CM24" i="4"/>
  <c r="CE24" i="4"/>
  <c r="BK24" i="4"/>
  <c r="BC25" i="4"/>
  <c r="AI25" i="4"/>
  <c r="AA24" i="4"/>
  <c r="G24" i="4"/>
  <c r="IQ23" i="4"/>
  <c r="HW23" i="4"/>
  <c r="HO23" i="4"/>
  <c r="GU23" i="4"/>
  <c r="GM23" i="4"/>
  <c r="FS23" i="4"/>
  <c r="FK23" i="4"/>
  <c r="EQ23" i="4"/>
  <c r="EI23" i="4"/>
  <c r="DO23" i="4"/>
  <c r="DG23" i="4"/>
  <c r="CM23" i="4"/>
  <c r="CE23" i="4"/>
  <c r="BK23" i="4"/>
  <c r="BC24" i="4"/>
  <c r="AI24" i="4"/>
  <c r="AA23" i="4"/>
  <c r="G23" i="4"/>
  <c r="IQ22" i="4"/>
  <c r="HW22" i="4"/>
  <c r="HO22" i="4"/>
  <c r="GU22" i="4"/>
  <c r="GM22" i="4"/>
  <c r="FS22" i="4"/>
  <c r="FK22" i="4"/>
  <c r="EQ22" i="4"/>
  <c r="EI22" i="4"/>
  <c r="DO22" i="4"/>
  <c r="DG22" i="4"/>
  <c r="CM22" i="4"/>
  <c r="CE22" i="4"/>
  <c r="BK22" i="4"/>
  <c r="BC23" i="4"/>
  <c r="AI23" i="4"/>
  <c r="AA22" i="4"/>
  <c r="G22" i="4"/>
  <c r="IQ21" i="4"/>
  <c r="HW21" i="4"/>
  <c r="HO21" i="4"/>
  <c r="GU21" i="4"/>
  <c r="GM21" i="4"/>
  <c r="FS21" i="4"/>
  <c r="FK21" i="4"/>
  <c r="EQ21" i="4"/>
  <c r="EI21" i="4"/>
  <c r="DO21" i="4"/>
  <c r="DG21" i="4"/>
  <c r="CM21" i="4"/>
  <c r="CE21" i="4"/>
  <c r="BK21" i="4"/>
  <c r="BC22" i="4"/>
  <c r="AI22" i="4"/>
  <c r="AA21" i="4"/>
  <c r="G21" i="4"/>
  <c r="IQ20" i="4"/>
  <c r="HW20" i="4"/>
  <c r="HO20" i="4"/>
  <c r="GU20" i="4"/>
  <c r="GM20" i="4"/>
  <c r="FS20" i="4"/>
  <c r="FK20" i="4"/>
  <c r="EQ20" i="4"/>
  <c r="EI20" i="4"/>
  <c r="DO20" i="4"/>
  <c r="DG20" i="4"/>
  <c r="CM20" i="4"/>
  <c r="CE20" i="4"/>
  <c r="BK20" i="4"/>
  <c r="BC21" i="4"/>
  <c r="AI21" i="4"/>
  <c r="AA20" i="4"/>
  <c r="G20" i="4"/>
  <c r="IQ19" i="4"/>
  <c r="HW19" i="4"/>
  <c r="HO19" i="4"/>
  <c r="GU19" i="4"/>
  <c r="GM19" i="4"/>
  <c r="FS19" i="4"/>
  <c r="FK19" i="4"/>
  <c r="EQ19" i="4"/>
  <c r="EI19" i="4"/>
  <c r="DO19" i="4"/>
  <c r="DG19" i="4"/>
  <c r="CM19" i="4"/>
  <c r="CE19" i="4"/>
  <c r="BK19" i="4"/>
  <c r="BC20" i="4"/>
  <c r="AI20" i="4"/>
  <c r="AA19" i="4"/>
  <c r="G19" i="4"/>
  <c r="IQ18" i="4"/>
  <c r="HW18" i="4"/>
  <c r="HO18" i="4"/>
  <c r="GU18" i="4"/>
  <c r="GM18" i="4"/>
  <c r="FS18" i="4"/>
  <c r="FK18" i="4"/>
  <c r="EQ18" i="4"/>
  <c r="EI18" i="4"/>
  <c r="DO18" i="4"/>
  <c r="DG18" i="4"/>
  <c r="CM18" i="4"/>
  <c r="CE18" i="4"/>
  <c r="BK18" i="4"/>
  <c r="BC19" i="4"/>
  <c r="AI19" i="4"/>
  <c r="AA18" i="4"/>
  <c r="G18" i="4"/>
  <c r="IQ17" i="4"/>
  <c r="HW17" i="4"/>
  <c r="HO17" i="4"/>
  <c r="GU17" i="4"/>
  <c r="GM17" i="4"/>
  <c r="FS17" i="4"/>
  <c r="FK17" i="4"/>
  <c r="EQ17" i="4"/>
  <c r="EI17" i="4"/>
  <c r="DO17" i="4"/>
  <c r="DG17" i="4"/>
  <c r="CM17" i="4"/>
  <c r="CE17" i="4"/>
  <c r="BK17" i="4"/>
  <c r="BC18" i="4"/>
  <c r="AI18" i="4"/>
  <c r="AA17" i="4"/>
  <c r="G17" i="4"/>
  <c r="IQ16" i="4"/>
  <c r="HW16" i="4"/>
  <c r="HO16" i="4"/>
  <c r="GU16" i="4"/>
  <c r="GM16" i="4"/>
  <c r="FS16" i="4"/>
  <c r="FK16" i="4"/>
  <c r="EQ16" i="4"/>
  <c r="EI16" i="4"/>
  <c r="DO16" i="4"/>
  <c r="DG16" i="4"/>
  <c r="CM16" i="4"/>
  <c r="CE16" i="4"/>
  <c r="BK16" i="4"/>
  <c r="BC17" i="4"/>
  <c r="AI17" i="4"/>
  <c r="AA16" i="4"/>
  <c r="G16" i="4"/>
  <c r="IQ15" i="4"/>
  <c r="HW15" i="4"/>
  <c r="HO15" i="4"/>
  <c r="GU15" i="4"/>
  <c r="GM15" i="4"/>
  <c r="FS15" i="4"/>
  <c r="FK15" i="4"/>
  <c r="EQ15" i="4"/>
  <c r="EI15" i="4"/>
  <c r="DO15" i="4"/>
  <c r="DG15" i="4"/>
  <c r="CM15" i="4"/>
  <c r="CE15" i="4"/>
  <c r="BK15" i="4"/>
  <c r="BC16" i="4"/>
  <c r="AI16" i="4"/>
  <c r="AA15" i="4"/>
  <c r="G15" i="4"/>
  <c r="IQ14" i="4"/>
  <c r="HW14" i="4"/>
  <c r="HO14" i="4"/>
  <c r="GU14" i="4"/>
  <c r="GM14" i="4"/>
  <c r="FS14" i="4"/>
  <c r="FK14" i="4"/>
  <c r="EQ14" i="4"/>
  <c r="EI14" i="4"/>
  <c r="DO14" i="4"/>
  <c r="DG14" i="4"/>
  <c r="CM14" i="4"/>
  <c r="CE14" i="4"/>
  <c r="BK14" i="4"/>
  <c r="BC15" i="4"/>
  <c r="AI15" i="4"/>
  <c r="AA14" i="4"/>
  <c r="G14" i="4"/>
  <c r="IQ13" i="4"/>
  <c r="HW13" i="4"/>
  <c r="HO13" i="4"/>
  <c r="GU13" i="4"/>
  <c r="GM13" i="4"/>
  <c r="FS13" i="4"/>
  <c r="FK13" i="4"/>
  <c r="EQ13" i="4"/>
  <c r="EI13" i="4"/>
  <c r="DO13" i="4"/>
  <c r="DG13" i="4"/>
  <c r="CM13" i="4"/>
  <c r="CE13" i="4"/>
  <c r="BK13" i="4"/>
  <c r="BC14" i="4"/>
  <c r="AI14" i="4"/>
  <c r="AA13" i="4"/>
  <c r="G13" i="4"/>
  <c r="IQ12" i="4"/>
  <c r="HW12" i="4"/>
  <c r="HO12" i="4"/>
  <c r="GU12" i="4"/>
  <c r="GM12" i="4"/>
  <c r="FS12" i="4"/>
  <c r="FK12" i="4"/>
  <c r="EQ12" i="4"/>
  <c r="EI12" i="4"/>
  <c r="DO12" i="4"/>
  <c r="DG12" i="4"/>
  <c r="CM12" i="4"/>
  <c r="CE12" i="4"/>
  <c r="BK12" i="4"/>
  <c r="BC13" i="4"/>
  <c r="AI13" i="4"/>
  <c r="AA12" i="4"/>
  <c r="G12" i="4"/>
  <c r="IQ11" i="4"/>
  <c r="HW11" i="4"/>
  <c r="HO11" i="4"/>
  <c r="GU11" i="4"/>
  <c r="GM11" i="4"/>
  <c r="FS11" i="4"/>
  <c r="FK11" i="4"/>
  <c r="EQ11" i="4"/>
  <c r="EI11" i="4"/>
  <c r="DO11" i="4"/>
  <c r="DG11" i="4"/>
  <c r="CM11" i="4"/>
  <c r="CE11" i="4"/>
  <c r="BK11" i="4"/>
  <c r="BC12" i="4"/>
  <c r="AI12" i="4"/>
  <c r="AA11" i="4"/>
  <c r="G11" i="4"/>
  <c r="IQ10" i="4"/>
  <c r="HW10" i="4"/>
  <c r="HO10" i="4"/>
  <c r="GU10" i="4"/>
  <c r="GM10" i="4"/>
  <c r="FS10" i="4"/>
  <c r="FK10" i="4"/>
  <c r="EQ10" i="4"/>
  <c r="EI10" i="4"/>
  <c r="DO10" i="4"/>
  <c r="DG10" i="4"/>
  <c r="CM10" i="4"/>
  <c r="CE10" i="4"/>
  <c r="BK10" i="4"/>
  <c r="BC11" i="4"/>
  <c r="AI11" i="4"/>
  <c r="AA10" i="4"/>
  <c r="G10" i="4"/>
  <c r="IQ9" i="4"/>
  <c r="HW9" i="4"/>
  <c r="HO9" i="4"/>
  <c r="GU9" i="4"/>
  <c r="GM9" i="4"/>
  <c r="FS9" i="4"/>
  <c r="FK9" i="4"/>
  <c r="EQ9" i="4"/>
  <c r="EI9" i="4"/>
  <c r="DO9" i="4"/>
  <c r="DG9" i="4"/>
  <c r="CM9" i="4"/>
  <c r="CE9" i="4"/>
  <c r="BK9" i="4"/>
  <c r="BC10" i="4"/>
  <c r="AI10" i="4"/>
  <c r="AA9" i="4"/>
  <c r="G9" i="4"/>
  <c r="IQ8" i="4"/>
  <c r="HW8" i="4"/>
  <c r="HO8" i="4"/>
  <c r="GU8" i="4"/>
  <c r="GM8" i="4"/>
  <c r="FS8" i="4"/>
  <c r="FK8" i="4"/>
  <c r="EQ8" i="4"/>
  <c r="EI8" i="4"/>
  <c r="DO8" i="4"/>
  <c r="DG8" i="4"/>
  <c r="CM8" i="4"/>
  <c r="CE8" i="4"/>
  <c r="BK8" i="4"/>
  <c r="BC8" i="4"/>
  <c r="AI8" i="4"/>
  <c r="AA8" i="4"/>
  <c r="G8" i="4"/>
  <c r="IQ7" i="4"/>
  <c r="HW7" i="4"/>
  <c r="HO7" i="4"/>
  <c r="GU7" i="4"/>
  <c r="GM7" i="4"/>
  <c r="FS7" i="4"/>
  <c r="FK7" i="4"/>
  <c r="EQ7" i="4"/>
  <c r="EI7" i="4"/>
  <c r="DO7" i="4"/>
  <c r="DG7" i="4"/>
  <c r="CM7" i="4"/>
  <c r="CE7" i="4"/>
  <c r="BK7" i="4"/>
  <c r="BC7" i="4"/>
  <c r="AI7" i="4"/>
  <c r="AA7" i="4"/>
  <c r="G7" i="4"/>
  <c r="IQ6" i="4"/>
  <c r="HW6" i="4"/>
  <c r="HO6" i="4"/>
  <c r="GU6" i="4"/>
  <c r="GM6" i="4"/>
  <c r="FS6" i="4"/>
  <c r="FK6" i="4"/>
  <c r="EQ6" i="4"/>
  <c r="EI6" i="4"/>
  <c r="DO6" i="4"/>
  <c r="DG6" i="4"/>
  <c r="CM6" i="4"/>
  <c r="CE6" i="4"/>
  <c r="BK6" i="4"/>
  <c r="BC6" i="4"/>
  <c r="AI6" i="4"/>
  <c r="AA6" i="4"/>
  <c r="G6" i="4"/>
  <c r="IQ5" i="4"/>
  <c r="HW5" i="4"/>
  <c r="HO5" i="4"/>
  <c r="GU5" i="4"/>
  <c r="GM5" i="4"/>
  <c r="FS5" i="4"/>
  <c r="FK5" i="4"/>
  <c r="EQ5" i="4"/>
  <c r="EI5" i="4"/>
  <c r="DO5" i="4"/>
  <c r="DG5" i="4"/>
  <c r="CM5" i="4"/>
  <c r="CE5" i="4"/>
  <c r="BK5" i="4"/>
  <c r="BC5" i="4"/>
  <c r="AI5" i="4"/>
  <c r="AA5" i="4"/>
  <c r="G5" i="4"/>
  <c r="IQ4" i="4"/>
  <c r="HW4" i="4"/>
  <c r="HO4" i="4"/>
  <c r="GU4" i="4"/>
  <c r="GM4" i="4"/>
  <c r="FS4" i="4"/>
  <c r="FK4" i="4"/>
  <c r="EQ4" i="4"/>
  <c r="EI4" i="4"/>
  <c r="DO4" i="4"/>
  <c r="DG4" i="4"/>
  <c r="CM4" i="4"/>
  <c r="CE4" i="4"/>
  <c r="BK4" i="4"/>
  <c r="BC4" i="4"/>
  <c r="AI4" i="4"/>
  <c r="AA4" i="4"/>
  <c r="G4" i="4"/>
  <c r="IQ3" i="4"/>
  <c r="HW3" i="4"/>
  <c r="HO3" i="4"/>
  <c r="GU3" i="4"/>
  <c r="GM3" i="4"/>
  <c r="FS3" i="4"/>
  <c r="FK3" i="4"/>
  <c r="EQ3" i="4"/>
  <c r="EI3" i="4"/>
  <c r="DO3" i="4"/>
  <c r="DG3" i="4"/>
  <c r="CM3" i="4"/>
  <c r="CE3" i="4"/>
  <c r="BK3" i="4"/>
  <c r="BC3" i="4"/>
  <c r="AI3" i="4"/>
  <c r="AA3" i="4"/>
  <c r="G3" i="4"/>
  <c r="FQ34" i="3"/>
  <c r="FR34" i="3"/>
  <c r="LU34" i="3"/>
  <c r="LT34" i="3"/>
  <c r="LS34" i="3"/>
  <c r="LR34" i="3"/>
  <c r="LQ34" i="3"/>
  <c r="LP34" i="3"/>
  <c r="LO34" i="3"/>
  <c r="LN34" i="3"/>
  <c r="LM34" i="3"/>
  <c r="LL34" i="3"/>
  <c r="LK34" i="3"/>
  <c r="LJ34" i="3"/>
  <c r="LI34" i="3"/>
  <c r="LH34" i="3"/>
  <c r="LG34" i="3"/>
  <c r="LF34" i="3"/>
  <c r="LE34" i="3"/>
  <c r="LD34" i="3"/>
  <c r="LB34" i="3"/>
  <c r="LA34" i="3"/>
  <c r="KZ34" i="3"/>
  <c r="KY34" i="3"/>
  <c r="KX34" i="3"/>
  <c r="LW33" i="3"/>
  <c r="LC33" i="3"/>
  <c r="LW32" i="3"/>
  <c r="LC32" i="3"/>
  <c r="LW31" i="3"/>
  <c r="LC31" i="3"/>
  <c r="LW30" i="3"/>
  <c r="LC30" i="3"/>
  <c r="LW29" i="3"/>
  <c r="LC29" i="3"/>
  <c r="LW28" i="3"/>
  <c r="LC28" i="3"/>
  <c r="LW27" i="3"/>
  <c r="LC27" i="3"/>
  <c r="LW26" i="3"/>
  <c r="LC26" i="3"/>
  <c r="LW25" i="3"/>
  <c r="LC25" i="3"/>
  <c r="LW24" i="3"/>
  <c r="LC24" i="3"/>
  <c r="LW23" i="3"/>
  <c r="LC23" i="3"/>
  <c r="LW22" i="3"/>
  <c r="LC22" i="3"/>
  <c r="LW21" i="3"/>
  <c r="LC21" i="3"/>
  <c r="LW20" i="3"/>
  <c r="LC20" i="3"/>
  <c r="LW19" i="3"/>
  <c r="LC19" i="3"/>
  <c r="LW18" i="3"/>
  <c r="LC18" i="3"/>
  <c r="LW17" i="3"/>
  <c r="LC17" i="3"/>
  <c r="LW16" i="3"/>
  <c r="LC16" i="3"/>
  <c r="LW15" i="3"/>
  <c r="LC15" i="3"/>
  <c r="LW14" i="3"/>
  <c r="LC14" i="3"/>
  <c r="LW13" i="3"/>
  <c r="LC13" i="3"/>
  <c r="LW12" i="3"/>
  <c r="LC12" i="3"/>
  <c r="LW11" i="3"/>
  <c r="LC11" i="3"/>
  <c r="LW10" i="3"/>
  <c r="LC10" i="3"/>
  <c r="LW9" i="3"/>
  <c r="LC9" i="3"/>
  <c r="LW8" i="3"/>
  <c r="LC8" i="3"/>
  <c r="LW7" i="3"/>
  <c r="LC7" i="3"/>
  <c r="LW6" i="3"/>
  <c r="LC6" i="3"/>
  <c r="LW5" i="3"/>
  <c r="LC5" i="3"/>
  <c r="LW4" i="3"/>
  <c r="LC4" i="3"/>
  <c r="LW3" i="3"/>
  <c r="LC3" i="3"/>
  <c r="KS34" i="3"/>
  <c r="KR34" i="3"/>
  <c r="KQ34" i="3"/>
  <c r="KP34" i="3"/>
  <c r="KO34" i="3"/>
  <c r="KN34" i="3"/>
  <c r="KM34" i="3"/>
  <c r="KL34" i="3"/>
  <c r="KK34" i="3"/>
  <c r="KJ34" i="3"/>
  <c r="KI34" i="3"/>
  <c r="KH34" i="3"/>
  <c r="KG34" i="3"/>
  <c r="KF34" i="3"/>
  <c r="KE34" i="3"/>
  <c r="KD34" i="3"/>
  <c r="KC34" i="3"/>
  <c r="KB34" i="3"/>
  <c r="JZ34" i="3"/>
  <c r="JY34" i="3"/>
  <c r="JX34" i="3"/>
  <c r="JW34" i="3"/>
  <c r="JV34" i="3"/>
  <c r="KU33" i="3"/>
  <c r="KA33" i="3"/>
  <c r="KU32" i="3"/>
  <c r="KA32" i="3"/>
  <c r="KU31" i="3"/>
  <c r="KA31" i="3"/>
  <c r="KU30" i="3"/>
  <c r="KA30" i="3"/>
  <c r="KU29" i="3"/>
  <c r="KA29" i="3"/>
  <c r="KU28" i="3"/>
  <c r="KA28" i="3"/>
  <c r="KU27" i="3"/>
  <c r="KA27" i="3"/>
  <c r="KU26" i="3"/>
  <c r="KA26" i="3"/>
  <c r="KU25" i="3"/>
  <c r="KA25" i="3"/>
  <c r="KU24" i="3"/>
  <c r="KA24" i="3"/>
  <c r="KU23" i="3"/>
  <c r="KA23" i="3"/>
  <c r="KU22" i="3"/>
  <c r="KA22" i="3"/>
  <c r="KU21" i="3"/>
  <c r="KA21" i="3"/>
  <c r="KU20" i="3"/>
  <c r="KA20" i="3"/>
  <c r="KU19" i="3"/>
  <c r="KA19" i="3"/>
  <c r="KU18" i="3"/>
  <c r="KA18" i="3"/>
  <c r="KU17" i="3"/>
  <c r="KA17" i="3"/>
  <c r="KU16" i="3"/>
  <c r="KA16" i="3"/>
  <c r="KU15" i="3"/>
  <c r="KA15" i="3"/>
  <c r="KU14" i="3"/>
  <c r="KA14" i="3"/>
  <c r="KU13" i="3"/>
  <c r="KA13" i="3"/>
  <c r="KU12" i="3"/>
  <c r="KA12" i="3"/>
  <c r="KU11" i="3"/>
  <c r="KA11" i="3"/>
  <c r="KU10" i="3"/>
  <c r="KA10" i="3"/>
  <c r="KU9" i="3"/>
  <c r="KA9" i="3"/>
  <c r="KU8" i="3"/>
  <c r="KA8" i="3"/>
  <c r="KU7" i="3"/>
  <c r="KA7" i="3"/>
  <c r="KU6" i="3"/>
  <c r="KA6" i="3"/>
  <c r="KU5" i="3"/>
  <c r="KA5" i="3"/>
  <c r="KU4" i="3"/>
  <c r="KA4" i="3"/>
  <c r="KU3" i="3"/>
  <c r="KA3" i="3"/>
  <c r="JQ34" i="3"/>
  <c r="JP34" i="3"/>
  <c r="JO34" i="3"/>
  <c r="JN34" i="3"/>
  <c r="JM34" i="3"/>
  <c r="JL34" i="3"/>
  <c r="JK34" i="3"/>
  <c r="JJ34" i="3"/>
  <c r="JI34" i="3"/>
  <c r="JH34" i="3"/>
  <c r="JG34" i="3"/>
  <c r="JF34" i="3"/>
  <c r="JE34" i="3"/>
  <c r="JD34" i="3"/>
  <c r="JC34" i="3"/>
  <c r="JB34" i="3"/>
  <c r="JA34" i="3"/>
  <c r="IZ34" i="3"/>
  <c r="IX34" i="3"/>
  <c r="IW34" i="3"/>
  <c r="IV34" i="3"/>
  <c r="IU34" i="3"/>
  <c r="IT34" i="3"/>
  <c r="JS33" i="3"/>
  <c r="IY33" i="3"/>
  <c r="JS32" i="3"/>
  <c r="IY32" i="3"/>
  <c r="JS31" i="3"/>
  <c r="IY31" i="3"/>
  <c r="JS30" i="3"/>
  <c r="IY30" i="3"/>
  <c r="JS29" i="3"/>
  <c r="IY29" i="3"/>
  <c r="JS28" i="3"/>
  <c r="IY28" i="3"/>
  <c r="JS27" i="3"/>
  <c r="IY27" i="3"/>
  <c r="JS26" i="3"/>
  <c r="IY26" i="3"/>
  <c r="JS25" i="3"/>
  <c r="IY25" i="3"/>
  <c r="JS24" i="3"/>
  <c r="IY24" i="3"/>
  <c r="JS23" i="3"/>
  <c r="IY23" i="3"/>
  <c r="JS22" i="3"/>
  <c r="IY22" i="3"/>
  <c r="JS21" i="3"/>
  <c r="IY21" i="3"/>
  <c r="JS20" i="3"/>
  <c r="IY20" i="3"/>
  <c r="JS19" i="3"/>
  <c r="IY19" i="3"/>
  <c r="JS18" i="3"/>
  <c r="IY18" i="3"/>
  <c r="JS17" i="3"/>
  <c r="IY17" i="3"/>
  <c r="JS16" i="3"/>
  <c r="IY16" i="3"/>
  <c r="JS15" i="3"/>
  <c r="IY15" i="3"/>
  <c r="JS14" i="3"/>
  <c r="IY14" i="3"/>
  <c r="JS13" i="3"/>
  <c r="IY13" i="3"/>
  <c r="JS12" i="3"/>
  <c r="IY12" i="3"/>
  <c r="JS11" i="3"/>
  <c r="IY11" i="3"/>
  <c r="JS10" i="3"/>
  <c r="IY10" i="3"/>
  <c r="JS9" i="3"/>
  <c r="IY9" i="3"/>
  <c r="JS8" i="3"/>
  <c r="IY8" i="3"/>
  <c r="JS7" i="3"/>
  <c r="IY7" i="3"/>
  <c r="JS6" i="3"/>
  <c r="IY6" i="3"/>
  <c r="JS5" i="3"/>
  <c r="IY5" i="3"/>
  <c r="JS4" i="3"/>
  <c r="IY4" i="3"/>
  <c r="JS3" i="3"/>
  <c r="IY3" i="3"/>
  <c r="HU34" i="3"/>
  <c r="HV34" i="3"/>
  <c r="HW4" i="3"/>
  <c r="HW5" i="3"/>
  <c r="HW6" i="3"/>
  <c r="HW7" i="3"/>
  <c r="HW8" i="3"/>
  <c r="HW9" i="3"/>
  <c r="HW10" i="3"/>
  <c r="HW11" i="3"/>
  <c r="HW12" i="3"/>
  <c r="HW13" i="3"/>
  <c r="HW14" i="3"/>
  <c r="HW15" i="3"/>
  <c r="HW16" i="3"/>
  <c r="HW17" i="3"/>
  <c r="HW18" i="3"/>
  <c r="HW19" i="3"/>
  <c r="HW20" i="3"/>
  <c r="HW21" i="3"/>
  <c r="HW22" i="3"/>
  <c r="HW23" i="3"/>
  <c r="HW24" i="3"/>
  <c r="HW25" i="3"/>
  <c r="HW26" i="3"/>
  <c r="HW27" i="3"/>
  <c r="HW28" i="3"/>
  <c r="HW29" i="3"/>
  <c r="HW30" i="3"/>
  <c r="HW31" i="3"/>
  <c r="HW32" i="3"/>
  <c r="HW33" i="3"/>
  <c r="HW3" i="3"/>
  <c r="GS34" i="3"/>
  <c r="GT34" i="3"/>
  <c r="FS23" i="3"/>
  <c r="FS21" i="3"/>
  <c r="FS22" i="3"/>
  <c r="FS24" i="3"/>
  <c r="FS25" i="3"/>
  <c r="FS26" i="3"/>
  <c r="FS27" i="3"/>
  <c r="FS28" i="3"/>
  <c r="FS29" i="3"/>
  <c r="FS30" i="3"/>
  <c r="FS31" i="3"/>
  <c r="FS32" i="3"/>
  <c r="FS5" i="3"/>
  <c r="FS6" i="3"/>
  <c r="FS7" i="3"/>
  <c r="FS8" i="3"/>
  <c r="FS9" i="3"/>
  <c r="FS10" i="3"/>
  <c r="FS11" i="3"/>
  <c r="FS12" i="3"/>
  <c r="FS13" i="3"/>
  <c r="FS14" i="3"/>
  <c r="FS15" i="3"/>
  <c r="FS16" i="3"/>
  <c r="FS17" i="3"/>
  <c r="FS18" i="3"/>
  <c r="FS19" i="3"/>
  <c r="FS20" i="3"/>
  <c r="FS4" i="3"/>
  <c r="FS3" i="3"/>
  <c r="IO34" i="3"/>
  <c r="IN34" i="3"/>
  <c r="IM34" i="3"/>
  <c r="IL34" i="3"/>
  <c r="IK34" i="3"/>
  <c r="IJ34" i="3"/>
  <c r="II34" i="3"/>
  <c r="IH34" i="3"/>
  <c r="IG34" i="3"/>
  <c r="IF34" i="3"/>
  <c r="IE34" i="3"/>
  <c r="ID34" i="3"/>
  <c r="IC34" i="3"/>
  <c r="IB34" i="3"/>
  <c r="IA34" i="3"/>
  <c r="HZ34" i="3"/>
  <c r="HY34" i="3"/>
  <c r="HX34" i="3"/>
  <c r="HT34" i="3"/>
  <c r="HS34" i="3"/>
  <c r="HR34" i="3"/>
  <c r="IQ33" i="3"/>
  <c r="IQ32" i="3"/>
  <c r="IQ31" i="3"/>
  <c r="IQ30" i="3"/>
  <c r="IQ29" i="3"/>
  <c r="IQ28" i="3"/>
  <c r="IQ27" i="3"/>
  <c r="IQ26" i="3"/>
  <c r="IQ25" i="3"/>
  <c r="IQ24" i="3"/>
  <c r="IQ23" i="3"/>
  <c r="IQ22" i="3"/>
  <c r="IQ21" i="3"/>
  <c r="IQ20" i="3"/>
  <c r="IQ19" i="3"/>
  <c r="IQ18" i="3"/>
  <c r="IQ17" i="3"/>
  <c r="IQ16" i="3"/>
  <c r="IQ15" i="3"/>
  <c r="IQ14" i="3"/>
  <c r="IQ13" i="3"/>
  <c r="IQ12" i="3"/>
  <c r="IQ11" i="3"/>
  <c r="IQ10" i="3"/>
  <c r="IQ9" i="3"/>
  <c r="IQ8" i="3"/>
  <c r="IQ7" i="3"/>
  <c r="IQ6" i="3"/>
  <c r="IQ5" i="3"/>
  <c r="IQ4" i="3"/>
  <c r="IQ3" i="3"/>
  <c r="HM34" i="3"/>
  <c r="HL34" i="3"/>
  <c r="HK34" i="3"/>
  <c r="HJ34" i="3"/>
  <c r="HI34" i="3"/>
  <c r="HH34" i="3"/>
  <c r="HG34" i="3"/>
  <c r="HF34" i="3"/>
  <c r="HE34" i="3"/>
  <c r="HD34" i="3"/>
  <c r="HC34" i="3"/>
  <c r="HB34" i="3"/>
  <c r="HA34" i="3"/>
  <c r="GZ34" i="3"/>
  <c r="GY34" i="3"/>
  <c r="GX34" i="3"/>
  <c r="GW34" i="3"/>
  <c r="GV34" i="3"/>
  <c r="GR34" i="3"/>
  <c r="GQ34" i="3"/>
  <c r="GP34" i="3"/>
  <c r="HO33" i="3"/>
  <c r="HO32" i="3"/>
  <c r="GU32" i="3"/>
  <c r="HO31" i="3"/>
  <c r="GU31" i="3"/>
  <c r="HO30" i="3"/>
  <c r="GU30" i="3"/>
  <c r="HO29" i="3"/>
  <c r="GU29" i="3"/>
  <c r="HO28" i="3"/>
  <c r="GU28" i="3"/>
  <c r="HO27" i="3"/>
  <c r="GU27" i="3"/>
  <c r="HO26" i="3"/>
  <c r="GU26" i="3"/>
  <c r="HO25" i="3"/>
  <c r="GU25" i="3"/>
  <c r="HO24" i="3"/>
  <c r="GU24" i="3"/>
  <c r="HO23" i="3"/>
  <c r="GU23" i="3"/>
  <c r="HO22" i="3"/>
  <c r="GU22" i="3"/>
  <c r="HO21" i="3"/>
  <c r="GU21" i="3"/>
  <c r="HO20" i="3"/>
  <c r="GU20" i="3"/>
  <c r="HO19" i="3"/>
  <c r="GU19" i="3"/>
  <c r="HO18" i="3"/>
  <c r="GU18" i="3"/>
  <c r="HO17" i="3"/>
  <c r="GU17" i="3"/>
  <c r="HO16" i="3"/>
  <c r="GU16" i="3"/>
  <c r="HO15" i="3"/>
  <c r="GU15" i="3"/>
  <c r="HO14" i="3"/>
  <c r="GU14" i="3"/>
  <c r="HO13" i="3"/>
  <c r="GU13" i="3"/>
  <c r="HO12" i="3"/>
  <c r="GU12" i="3"/>
  <c r="HO11" i="3"/>
  <c r="GU11" i="3"/>
  <c r="HO10" i="3"/>
  <c r="GU10" i="3"/>
  <c r="HO9" i="3"/>
  <c r="GU9" i="3"/>
  <c r="HO8" i="3"/>
  <c r="GU8" i="3"/>
  <c r="HO7" i="3"/>
  <c r="GU7" i="3"/>
  <c r="HO6" i="3"/>
  <c r="GU6" i="3"/>
  <c r="HO5" i="3"/>
  <c r="GU5" i="3"/>
  <c r="HO4" i="3"/>
  <c r="GU4" i="3"/>
  <c r="HO3" i="3"/>
  <c r="GU3" i="3"/>
  <c r="GK34" i="3"/>
  <c r="GJ34" i="3"/>
  <c r="GI34" i="3"/>
  <c r="GH34" i="3"/>
  <c r="GG34" i="3"/>
  <c r="GF34" i="3"/>
  <c r="GE34" i="3"/>
  <c r="GD34" i="3"/>
  <c r="GC34" i="3"/>
  <c r="GB34" i="3"/>
  <c r="GA34" i="3"/>
  <c r="FZ34" i="3"/>
  <c r="FY34" i="3"/>
  <c r="FX34" i="3"/>
  <c r="FW34" i="3"/>
  <c r="FV34" i="3"/>
  <c r="FU34" i="3"/>
  <c r="FT34" i="3"/>
  <c r="FP34" i="3"/>
  <c r="FO34" i="3"/>
  <c r="FN34" i="3"/>
  <c r="GM33" i="3"/>
  <c r="GM32" i="3"/>
  <c r="GM31" i="3"/>
  <c r="GM30" i="3"/>
  <c r="GM29" i="3"/>
  <c r="GM28" i="3"/>
  <c r="GM27" i="3"/>
  <c r="GM26" i="3"/>
  <c r="GM25" i="3"/>
  <c r="GM24" i="3"/>
  <c r="GM23" i="3"/>
  <c r="GM22" i="3"/>
  <c r="GM21" i="3"/>
  <c r="GM20" i="3"/>
  <c r="GM19" i="3"/>
  <c r="GM18" i="3"/>
  <c r="GM17" i="3"/>
  <c r="GM16" i="3"/>
  <c r="GM15" i="3"/>
  <c r="GM14" i="3"/>
  <c r="GM13" i="3"/>
  <c r="GM12" i="3"/>
  <c r="GM11" i="3"/>
  <c r="GM10" i="3"/>
  <c r="GM9" i="3"/>
  <c r="GM8" i="3"/>
  <c r="GM7" i="3"/>
  <c r="GM6" i="3"/>
  <c r="GM5" i="3"/>
  <c r="GM4" i="3"/>
  <c r="GM3" i="3"/>
  <c r="FI34" i="3"/>
  <c r="FH34" i="3"/>
  <c r="FG34" i="3"/>
  <c r="FF34" i="3"/>
  <c r="FE34" i="3"/>
  <c r="FD34" i="3"/>
  <c r="FC34" i="3"/>
  <c r="FB34" i="3"/>
  <c r="FA34" i="3"/>
  <c r="EZ34" i="3"/>
  <c r="EY34" i="3"/>
  <c r="EX34" i="3"/>
  <c r="EW34" i="3"/>
  <c r="EV34" i="3"/>
  <c r="EU34" i="3"/>
  <c r="ET34" i="3"/>
  <c r="ES34" i="3"/>
  <c r="ER34" i="3"/>
  <c r="EN34" i="3"/>
  <c r="EM34" i="3"/>
  <c r="EL34" i="3"/>
  <c r="EP34" i="3"/>
  <c r="EO34" i="3"/>
  <c r="FK33" i="3"/>
  <c r="EQ33" i="3"/>
  <c r="FK32" i="3"/>
  <c r="EQ32" i="3"/>
  <c r="FK31" i="3"/>
  <c r="EQ31" i="3"/>
  <c r="FK30" i="3"/>
  <c r="EQ30" i="3"/>
  <c r="FK29" i="3"/>
  <c r="EQ29" i="3"/>
  <c r="FK28" i="3"/>
  <c r="EQ28" i="3"/>
  <c r="FK27" i="3"/>
  <c r="EQ27" i="3"/>
  <c r="FK26" i="3"/>
  <c r="EQ26" i="3"/>
  <c r="FK25" i="3"/>
  <c r="EQ25" i="3"/>
  <c r="FK24" i="3"/>
  <c r="EQ24" i="3"/>
  <c r="FK23" i="3"/>
  <c r="EQ23" i="3"/>
  <c r="FK22" i="3"/>
  <c r="EQ22" i="3"/>
  <c r="FK21" i="3"/>
  <c r="EQ21" i="3"/>
  <c r="FK20" i="3"/>
  <c r="EQ20" i="3"/>
  <c r="FK19" i="3"/>
  <c r="EQ19" i="3"/>
  <c r="FK18" i="3"/>
  <c r="EQ18" i="3"/>
  <c r="FK17" i="3"/>
  <c r="EQ17" i="3"/>
  <c r="FK16" i="3"/>
  <c r="EQ16" i="3"/>
  <c r="FK15" i="3"/>
  <c r="EQ15" i="3"/>
  <c r="FK14" i="3"/>
  <c r="EQ14" i="3"/>
  <c r="FK13" i="3"/>
  <c r="EQ13" i="3"/>
  <c r="FK12" i="3"/>
  <c r="EQ12" i="3"/>
  <c r="FK11" i="3"/>
  <c r="EQ11" i="3"/>
  <c r="FK10" i="3"/>
  <c r="EQ10" i="3"/>
  <c r="FK9" i="3"/>
  <c r="EQ9" i="3"/>
  <c r="FK8" i="3"/>
  <c r="EQ8" i="3"/>
  <c r="FK7" i="3"/>
  <c r="EQ7" i="3"/>
  <c r="FK6" i="3"/>
  <c r="EQ6" i="3"/>
  <c r="FK5" i="3"/>
  <c r="EQ5" i="3"/>
  <c r="FK4" i="3"/>
  <c r="EQ4" i="3"/>
  <c r="FK3" i="3"/>
  <c r="EQ3" i="3"/>
  <c r="EG34" i="3"/>
  <c r="EF34" i="3"/>
  <c r="EE34" i="3"/>
  <c r="ED34" i="3"/>
  <c r="EC34" i="3"/>
  <c r="EB34" i="3"/>
  <c r="EA34" i="3"/>
  <c r="DZ34" i="3"/>
  <c r="DY34" i="3"/>
  <c r="DX34" i="3"/>
  <c r="DW34" i="3"/>
  <c r="DV34" i="3"/>
  <c r="DU34" i="3"/>
  <c r="DT34" i="3"/>
  <c r="DS34" i="3"/>
  <c r="DR34" i="3"/>
  <c r="DQ34" i="3"/>
  <c r="DP34" i="3"/>
  <c r="DN34" i="3"/>
  <c r="DM34" i="3"/>
  <c r="DL34" i="3"/>
  <c r="DK34" i="3"/>
  <c r="DJ34" i="3"/>
  <c r="EI33" i="3"/>
  <c r="DO33" i="3"/>
  <c r="EI32" i="3"/>
  <c r="DO32" i="3"/>
  <c r="EI31" i="3"/>
  <c r="DO31" i="3"/>
  <c r="EI30" i="3"/>
  <c r="DO30" i="3"/>
  <c r="EI29" i="3"/>
  <c r="DO29" i="3"/>
  <c r="EI28" i="3"/>
  <c r="DO28" i="3"/>
  <c r="EI27" i="3"/>
  <c r="DO27" i="3"/>
  <c r="EI26" i="3"/>
  <c r="DO26" i="3"/>
  <c r="EI25" i="3"/>
  <c r="DO25" i="3"/>
  <c r="EI24" i="3"/>
  <c r="DO24" i="3"/>
  <c r="EI23" i="3"/>
  <c r="DO23" i="3"/>
  <c r="EI22" i="3"/>
  <c r="DO22" i="3"/>
  <c r="EI21" i="3"/>
  <c r="DO21" i="3"/>
  <c r="EI20" i="3"/>
  <c r="DO20" i="3"/>
  <c r="EI19" i="3"/>
  <c r="DO19" i="3"/>
  <c r="EI18" i="3"/>
  <c r="DO18" i="3"/>
  <c r="EI17" i="3"/>
  <c r="DO17" i="3"/>
  <c r="EI16" i="3"/>
  <c r="DO16" i="3"/>
  <c r="EI15" i="3"/>
  <c r="DO15" i="3"/>
  <c r="EI14" i="3"/>
  <c r="DO14" i="3"/>
  <c r="EI13" i="3"/>
  <c r="DO13" i="3"/>
  <c r="EI12" i="3"/>
  <c r="DO12" i="3"/>
  <c r="EI11" i="3"/>
  <c r="DO11" i="3"/>
  <c r="EI10" i="3"/>
  <c r="DO10" i="3"/>
  <c r="EI9" i="3"/>
  <c r="DO9" i="3"/>
  <c r="EI8" i="3"/>
  <c r="DO8" i="3"/>
  <c r="EI7" i="3"/>
  <c r="DO7" i="3"/>
  <c r="EI6" i="3"/>
  <c r="DO6" i="3"/>
  <c r="EI5" i="3"/>
  <c r="DO5" i="3"/>
  <c r="EI4" i="3"/>
  <c r="DO4" i="3"/>
  <c r="EI3" i="3"/>
  <c r="DO3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I34" i="3"/>
  <c r="CH34" i="3"/>
  <c r="DG33" i="3"/>
  <c r="CJ33" i="3"/>
  <c r="DG32" i="3"/>
  <c r="CJ32" i="3"/>
  <c r="DG31" i="3"/>
  <c r="CJ31" i="3"/>
  <c r="DG30" i="3"/>
  <c r="CJ30" i="3"/>
  <c r="DG29" i="3"/>
  <c r="CJ29" i="3"/>
  <c r="DG28" i="3"/>
  <c r="CJ28" i="3"/>
  <c r="DG27" i="3"/>
  <c r="CJ27" i="3"/>
  <c r="DG26" i="3"/>
  <c r="CJ26" i="3"/>
  <c r="DG25" i="3"/>
  <c r="CJ25" i="3"/>
  <c r="DG24" i="3"/>
  <c r="CJ24" i="3"/>
  <c r="DG23" i="3"/>
  <c r="CJ23" i="3"/>
  <c r="DG22" i="3"/>
  <c r="CJ22" i="3"/>
  <c r="DG21" i="3"/>
  <c r="CJ21" i="3"/>
  <c r="DG20" i="3"/>
  <c r="CJ20" i="3"/>
  <c r="DG19" i="3"/>
  <c r="CJ19" i="3"/>
  <c r="DG18" i="3"/>
  <c r="CJ18" i="3"/>
  <c r="DG17" i="3"/>
  <c r="CJ17" i="3"/>
  <c r="DG16" i="3"/>
  <c r="CJ16" i="3"/>
  <c r="DG15" i="3"/>
  <c r="CJ15" i="3"/>
  <c r="DG14" i="3"/>
  <c r="CJ14" i="3"/>
  <c r="DG13" i="3"/>
  <c r="CJ13" i="3"/>
  <c r="DG12" i="3"/>
  <c r="CJ12" i="3"/>
  <c r="DG11" i="3"/>
  <c r="CJ11" i="3"/>
  <c r="DG10" i="3"/>
  <c r="CJ10" i="3"/>
  <c r="DG9" i="3"/>
  <c r="CJ9" i="3"/>
  <c r="DG8" i="3"/>
  <c r="CJ8" i="3"/>
  <c r="DG7" i="3"/>
  <c r="CJ7" i="3"/>
  <c r="DG6" i="3"/>
  <c r="CJ6" i="3"/>
  <c r="DG5" i="3"/>
  <c r="CJ5" i="3"/>
  <c r="DG4" i="3"/>
  <c r="CJ4" i="3"/>
  <c r="DG3" i="3"/>
  <c r="CJ3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G34" i="3"/>
  <c r="BF34" i="3"/>
  <c r="CE33" i="3"/>
  <c r="BH33" i="3"/>
  <c r="CE32" i="3"/>
  <c r="BH32" i="3"/>
  <c r="CE31" i="3"/>
  <c r="BH31" i="3"/>
  <c r="CE30" i="3"/>
  <c r="BH30" i="3"/>
  <c r="CE29" i="3"/>
  <c r="BH29" i="3"/>
  <c r="CE28" i="3"/>
  <c r="BH28" i="3"/>
  <c r="CE27" i="3"/>
  <c r="BH27" i="3"/>
  <c r="CE26" i="3"/>
  <c r="BH26" i="3"/>
  <c r="CE25" i="3"/>
  <c r="BH25" i="3"/>
  <c r="CE24" i="3"/>
  <c r="BH24" i="3"/>
  <c r="CE23" i="3"/>
  <c r="BH23" i="3"/>
  <c r="CE22" i="3"/>
  <c r="BH22" i="3"/>
  <c r="CE21" i="3"/>
  <c r="BH21" i="3"/>
  <c r="CE20" i="3"/>
  <c r="BH20" i="3"/>
  <c r="CE19" i="3"/>
  <c r="BH19" i="3"/>
  <c r="CE18" i="3"/>
  <c r="BH18" i="3"/>
  <c r="CE17" i="3"/>
  <c r="BH17" i="3"/>
  <c r="CE16" i="3"/>
  <c r="BH16" i="3"/>
  <c r="CE15" i="3"/>
  <c r="BH15" i="3"/>
  <c r="CE14" i="3"/>
  <c r="BH14" i="3"/>
  <c r="CE13" i="3"/>
  <c r="BH13" i="3"/>
  <c r="CE12" i="3"/>
  <c r="BH12" i="3"/>
  <c r="CE11" i="3"/>
  <c r="BH11" i="3"/>
  <c r="CE10" i="3"/>
  <c r="BH10" i="3"/>
  <c r="CE9" i="3"/>
  <c r="BH9" i="3"/>
  <c r="CE8" i="3"/>
  <c r="BH8" i="3"/>
  <c r="CE7" i="3"/>
  <c r="BH7" i="3"/>
  <c r="CE6" i="3"/>
  <c r="BH6" i="3"/>
  <c r="CE5" i="3"/>
  <c r="BH5" i="3"/>
  <c r="CE4" i="3"/>
  <c r="BH4" i="3"/>
  <c r="CE3" i="3"/>
  <c r="BH3" i="3"/>
  <c r="AK34" i="3"/>
  <c r="AO34" i="3"/>
  <c r="M34" i="3"/>
  <c r="I34" i="3"/>
  <c r="LI35" i="2"/>
  <c r="LE35" i="2"/>
  <c r="BA34" i="3"/>
  <c r="AZ34" i="3"/>
  <c r="AY34" i="3"/>
  <c r="AX34" i="3"/>
  <c r="AW34" i="3"/>
  <c r="AV34" i="3"/>
  <c r="AU34" i="3"/>
  <c r="AT34" i="3"/>
  <c r="AS34" i="3"/>
  <c r="AR34" i="3"/>
  <c r="AQ34" i="3"/>
  <c r="AP34" i="3"/>
  <c r="AN34" i="3"/>
  <c r="AM34" i="3"/>
  <c r="AL34" i="3"/>
  <c r="AJ34" i="3"/>
  <c r="AI34" i="3"/>
  <c r="AH34" i="3"/>
  <c r="AG34" i="3"/>
  <c r="AE34" i="3"/>
  <c r="AD34" i="3"/>
  <c r="Y34" i="3"/>
  <c r="X34" i="3"/>
  <c r="W34" i="3"/>
  <c r="V34" i="3"/>
  <c r="U34" i="3"/>
  <c r="T34" i="3"/>
  <c r="S34" i="3"/>
  <c r="R34" i="3"/>
  <c r="Q34" i="3"/>
  <c r="P34" i="3"/>
  <c r="O34" i="3"/>
  <c r="N34" i="3"/>
  <c r="L34" i="3"/>
  <c r="K34" i="3"/>
  <c r="J34" i="3"/>
  <c r="H34" i="3"/>
  <c r="G34" i="3"/>
  <c r="F34" i="3"/>
  <c r="E34" i="3"/>
  <c r="C34" i="3"/>
  <c r="B34" i="3"/>
  <c r="BC33" i="3"/>
  <c r="AF33" i="3"/>
  <c r="AA33" i="3"/>
  <c r="D33" i="3"/>
  <c r="BC32" i="3"/>
  <c r="AF32" i="3"/>
  <c r="AA32" i="3"/>
  <c r="D32" i="3"/>
  <c r="BC31" i="3"/>
  <c r="AF31" i="3"/>
  <c r="AA31" i="3"/>
  <c r="D31" i="3"/>
  <c r="BC30" i="3"/>
  <c r="AF30" i="3"/>
  <c r="AA30" i="3"/>
  <c r="D30" i="3"/>
  <c r="BC29" i="3"/>
  <c r="AF29" i="3"/>
  <c r="AA29" i="3"/>
  <c r="D29" i="3"/>
  <c r="BC28" i="3"/>
  <c r="AF28" i="3"/>
  <c r="AA28" i="3"/>
  <c r="D28" i="3"/>
  <c r="BC27" i="3"/>
  <c r="AF27" i="3"/>
  <c r="AA27" i="3"/>
  <c r="D27" i="3"/>
  <c r="BC26" i="3"/>
  <c r="AF26" i="3"/>
  <c r="AA26" i="3"/>
  <c r="D26" i="3"/>
  <c r="BC25" i="3"/>
  <c r="AF25" i="3"/>
  <c r="AA25" i="3"/>
  <c r="D25" i="3"/>
  <c r="BC24" i="3"/>
  <c r="AF24" i="3"/>
  <c r="AA24" i="3"/>
  <c r="D24" i="3"/>
  <c r="BC23" i="3"/>
  <c r="AF23" i="3"/>
  <c r="AA23" i="3"/>
  <c r="D23" i="3"/>
  <c r="BC22" i="3"/>
  <c r="AF22" i="3"/>
  <c r="AA22" i="3"/>
  <c r="D22" i="3"/>
  <c r="BC21" i="3"/>
  <c r="AF21" i="3"/>
  <c r="AA21" i="3"/>
  <c r="D21" i="3"/>
  <c r="BC20" i="3"/>
  <c r="AF20" i="3"/>
  <c r="AA20" i="3"/>
  <c r="D20" i="3"/>
  <c r="BC19" i="3"/>
  <c r="AF19" i="3"/>
  <c r="AA19" i="3"/>
  <c r="D19" i="3"/>
  <c r="BC18" i="3"/>
  <c r="AF18" i="3"/>
  <c r="AA18" i="3"/>
  <c r="D18" i="3"/>
  <c r="BC17" i="3"/>
  <c r="AF17" i="3"/>
  <c r="AA17" i="3"/>
  <c r="D17" i="3"/>
  <c r="BC16" i="3"/>
  <c r="AF16" i="3"/>
  <c r="AA16" i="3"/>
  <c r="D16" i="3"/>
  <c r="BC15" i="3"/>
  <c r="AF15" i="3"/>
  <c r="AA15" i="3"/>
  <c r="D15" i="3"/>
  <c r="BC14" i="3"/>
  <c r="AF14" i="3"/>
  <c r="AA14" i="3"/>
  <c r="D14" i="3"/>
  <c r="BC13" i="3"/>
  <c r="AF13" i="3"/>
  <c r="AA13" i="3"/>
  <c r="D13" i="3"/>
  <c r="BC12" i="3"/>
  <c r="AF12" i="3"/>
  <c r="AA12" i="3"/>
  <c r="D12" i="3"/>
  <c r="BC11" i="3"/>
  <c r="AF11" i="3"/>
  <c r="AA11" i="3"/>
  <c r="D11" i="3"/>
  <c r="BC10" i="3"/>
  <c r="AF10" i="3"/>
  <c r="AA10" i="3"/>
  <c r="D10" i="3"/>
  <c r="BC9" i="3"/>
  <c r="AF9" i="3"/>
  <c r="AA9" i="3"/>
  <c r="D9" i="3"/>
  <c r="BC8" i="3"/>
  <c r="AF8" i="3"/>
  <c r="AA8" i="3"/>
  <c r="D8" i="3"/>
  <c r="BC7" i="3"/>
  <c r="AF7" i="3"/>
  <c r="AA7" i="3"/>
  <c r="D7" i="3"/>
  <c r="BC6" i="3"/>
  <c r="AF6" i="3"/>
  <c r="AA6" i="3"/>
  <c r="D6" i="3"/>
  <c r="BC5" i="3"/>
  <c r="AF5" i="3"/>
  <c r="AA5" i="3"/>
  <c r="D5" i="3"/>
  <c r="BC4" i="3"/>
  <c r="AF4" i="3"/>
  <c r="AA4" i="3"/>
  <c r="D4" i="3"/>
  <c r="BC3" i="3"/>
  <c r="AF3" i="3"/>
  <c r="AA3" i="3"/>
  <c r="D3" i="3"/>
  <c r="KC35" i="2"/>
  <c r="KG35" i="2"/>
  <c r="JE35" i="2"/>
  <c r="JA35" i="2"/>
  <c r="IC35" i="2"/>
  <c r="HY35" i="2"/>
  <c r="HA35" i="2"/>
  <c r="GW35" i="2"/>
  <c r="FY35" i="2"/>
  <c r="FU35" i="2"/>
  <c r="EW35" i="2"/>
  <c r="ES35" i="2"/>
  <c r="DU35" i="2"/>
  <c r="DQ35" i="2"/>
  <c r="CS35" i="2"/>
  <c r="CO35" i="2"/>
  <c r="BQ35" i="2"/>
  <c r="BM35" i="2"/>
  <c r="AO35" i="2"/>
  <c r="AK35" i="2"/>
  <c r="I35" i="2"/>
  <c r="ES35" i="1"/>
  <c r="DU35" i="1"/>
  <c r="DQ35" i="1"/>
  <c r="CO35" i="1"/>
  <c r="CS35" i="1"/>
  <c r="BQ35" i="1"/>
  <c r="AO35" i="1"/>
  <c r="AK35" i="1"/>
  <c r="GU34" i="3"/>
  <c r="KU34" i="3"/>
  <c r="JS34" i="3"/>
  <c r="LW34" i="3"/>
  <c r="HO34" i="3"/>
  <c r="IQ34" i="3"/>
  <c r="GM34" i="3"/>
  <c r="FK34" i="3"/>
  <c r="EI34" i="3"/>
  <c r="DO34" i="3"/>
  <c r="DG34" i="3"/>
  <c r="CE34" i="3"/>
  <c r="EQ34" i="3"/>
  <c r="CJ34" i="3"/>
  <c r="BH34" i="3"/>
  <c r="BC34" i="3"/>
  <c r="AF34" i="3"/>
  <c r="AA34" i="3"/>
  <c r="D34" i="3"/>
  <c r="I35" i="1"/>
  <c r="AA35" i="1"/>
  <c r="M35" i="1"/>
  <c r="B35" i="1"/>
  <c r="C35" i="1"/>
  <c r="E35" i="1"/>
  <c r="F35" i="1"/>
  <c r="G35" i="1"/>
  <c r="J35" i="1"/>
  <c r="K35" i="1"/>
  <c r="N35" i="1"/>
  <c r="O35" i="1"/>
  <c r="P35" i="1"/>
  <c r="Q35" i="1"/>
  <c r="R35" i="1"/>
  <c r="S35" i="1"/>
  <c r="T35" i="1"/>
  <c r="U35" i="1"/>
  <c r="V35" i="1"/>
  <c r="W35" i="1"/>
  <c r="X35" i="1"/>
  <c r="Y35" i="1"/>
  <c r="IQ4" i="2"/>
  <c r="HT4" i="2"/>
  <c r="BC21" i="2"/>
  <c r="AF21" i="2"/>
  <c r="BC14" i="2"/>
  <c r="AF14" i="2"/>
  <c r="LD35" i="2"/>
  <c r="LF35" i="2"/>
  <c r="LG35" i="2"/>
  <c r="LH35" i="2"/>
  <c r="LJ35" i="2"/>
  <c r="LK35" i="2"/>
  <c r="LL35" i="2"/>
  <c r="LM35" i="2"/>
  <c r="LN35" i="2"/>
  <c r="LO35" i="2"/>
  <c r="LP35" i="2"/>
  <c r="LQ35" i="2"/>
  <c r="LR35" i="2"/>
  <c r="LS35" i="2"/>
  <c r="LT35" i="2"/>
  <c r="LU35" i="2"/>
  <c r="LC35" i="2"/>
  <c r="LB35" i="2"/>
  <c r="LA35" i="2"/>
  <c r="LW4" i="2"/>
  <c r="KZ4" i="2"/>
  <c r="LW5" i="2"/>
  <c r="KZ5" i="2"/>
  <c r="LW6" i="2"/>
  <c r="KZ6" i="2"/>
  <c r="LW7" i="2"/>
  <c r="KZ7" i="2"/>
  <c r="LW8" i="2"/>
  <c r="KZ8" i="2"/>
  <c r="LW9" i="2"/>
  <c r="KZ9" i="2"/>
  <c r="LW10" i="2"/>
  <c r="KZ10" i="2"/>
  <c r="LW11" i="2"/>
  <c r="KZ11" i="2"/>
  <c r="LW12" i="2"/>
  <c r="KZ12" i="2"/>
  <c r="LW13" i="2"/>
  <c r="KZ13" i="2"/>
  <c r="LW14" i="2"/>
  <c r="KZ14" i="2"/>
  <c r="LW15" i="2"/>
  <c r="KZ15" i="2"/>
  <c r="LW16" i="2"/>
  <c r="KZ16" i="2"/>
  <c r="LW17" i="2"/>
  <c r="KZ17" i="2"/>
  <c r="LW18" i="2"/>
  <c r="KZ18" i="2"/>
  <c r="LW19" i="2"/>
  <c r="KZ19" i="2"/>
  <c r="LW20" i="2"/>
  <c r="KZ20" i="2"/>
  <c r="LW21" i="2"/>
  <c r="KZ21" i="2"/>
  <c r="LW22" i="2"/>
  <c r="KZ22" i="2"/>
  <c r="LW23" i="2"/>
  <c r="KZ23" i="2"/>
  <c r="LW24" i="2"/>
  <c r="KZ24" i="2"/>
  <c r="LW25" i="2"/>
  <c r="KZ25" i="2"/>
  <c r="LW26" i="2"/>
  <c r="KZ26" i="2"/>
  <c r="LW27" i="2"/>
  <c r="KZ27" i="2"/>
  <c r="LW28" i="2"/>
  <c r="KZ28" i="2"/>
  <c r="LW29" i="2"/>
  <c r="KZ29" i="2"/>
  <c r="LW30" i="2"/>
  <c r="KZ30" i="2"/>
  <c r="LW31" i="2"/>
  <c r="KZ31" i="2"/>
  <c r="LW32" i="2"/>
  <c r="KZ32" i="2"/>
  <c r="LW33" i="2"/>
  <c r="KZ33" i="2"/>
  <c r="LW34" i="2"/>
  <c r="KZ34" i="2"/>
  <c r="KY35" i="2"/>
  <c r="KX35" i="2"/>
  <c r="KB35" i="2"/>
  <c r="KD35" i="2"/>
  <c r="KE35" i="2"/>
  <c r="KF35" i="2"/>
  <c r="KH35" i="2"/>
  <c r="KI35" i="2"/>
  <c r="KJ35" i="2"/>
  <c r="KK35" i="2"/>
  <c r="KL35" i="2"/>
  <c r="KM35" i="2"/>
  <c r="KN35" i="2"/>
  <c r="KO35" i="2"/>
  <c r="KP35" i="2"/>
  <c r="KQ35" i="2"/>
  <c r="KR35" i="2"/>
  <c r="KS35" i="2"/>
  <c r="KA35" i="2"/>
  <c r="JZ35" i="2"/>
  <c r="JY35" i="2"/>
  <c r="KU4" i="2"/>
  <c r="JX4" i="2"/>
  <c r="KU5" i="2"/>
  <c r="JX5" i="2"/>
  <c r="KU6" i="2"/>
  <c r="JX6" i="2"/>
  <c r="KU7" i="2"/>
  <c r="JX7" i="2"/>
  <c r="KU8" i="2"/>
  <c r="JX8" i="2"/>
  <c r="KU9" i="2"/>
  <c r="JX9" i="2"/>
  <c r="KU10" i="2"/>
  <c r="JX10" i="2"/>
  <c r="KU11" i="2"/>
  <c r="JX11" i="2"/>
  <c r="KU12" i="2"/>
  <c r="JX12" i="2"/>
  <c r="KU13" i="2"/>
  <c r="JX13" i="2"/>
  <c r="KU14" i="2"/>
  <c r="JX14" i="2"/>
  <c r="KU15" i="2"/>
  <c r="JX15" i="2"/>
  <c r="KU16" i="2"/>
  <c r="JX16" i="2"/>
  <c r="KU17" i="2"/>
  <c r="JX17" i="2"/>
  <c r="KU18" i="2"/>
  <c r="JX18" i="2"/>
  <c r="KU19" i="2"/>
  <c r="JX19" i="2"/>
  <c r="KU20" i="2"/>
  <c r="JX20" i="2"/>
  <c r="KU21" i="2"/>
  <c r="JX21" i="2"/>
  <c r="KU22" i="2"/>
  <c r="JX22" i="2"/>
  <c r="KU23" i="2"/>
  <c r="JX23" i="2"/>
  <c r="KU24" i="2"/>
  <c r="JX24" i="2"/>
  <c r="KU25" i="2"/>
  <c r="JX25" i="2"/>
  <c r="KU26" i="2"/>
  <c r="JX26" i="2"/>
  <c r="KU27" i="2"/>
  <c r="JX27" i="2"/>
  <c r="KU28" i="2"/>
  <c r="JX28" i="2"/>
  <c r="KU29" i="2"/>
  <c r="JX29" i="2"/>
  <c r="KU30" i="2"/>
  <c r="JX30" i="2"/>
  <c r="KU31" i="2"/>
  <c r="JX31" i="2"/>
  <c r="KU32" i="2"/>
  <c r="JX32" i="2"/>
  <c r="KU33" i="2"/>
  <c r="JX33" i="2"/>
  <c r="KU34" i="2"/>
  <c r="JX34" i="2"/>
  <c r="JW35" i="2"/>
  <c r="JV35" i="2"/>
  <c r="IZ35" i="2"/>
  <c r="JB35" i="2"/>
  <c r="JC35" i="2"/>
  <c r="JD35" i="2"/>
  <c r="JF35" i="2"/>
  <c r="JG35" i="2"/>
  <c r="JH35" i="2"/>
  <c r="JI35" i="2"/>
  <c r="JJ35" i="2"/>
  <c r="JK35" i="2"/>
  <c r="JL35" i="2"/>
  <c r="JM35" i="2"/>
  <c r="JN35" i="2"/>
  <c r="JO35" i="2"/>
  <c r="JP35" i="2"/>
  <c r="JQ35" i="2"/>
  <c r="IY35" i="2"/>
  <c r="IX35" i="2"/>
  <c r="IW35" i="2"/>
  <c r="JS4" i="2"/>
  <c r="IV4" i="2"/>
  <c r="JS5" i="2"/>
  <c r="IV5" i="2"/>
  <c r="JS6" i="2"/>
  <c r="IV6" i="2"/>
  <c r="JS7" i="2"/>
  <c r="IV7" i="2"/>
  <c r="JS8" i="2"/>
  <c r="IV8" i="2"/>
  <c r="JS9" i="2"/>
  <c r="IV9" i="2"/>
  <c r="JS10" i="2"/>
  <c r="IV10" i="2"/>
  <c r="JS11" i="2"/>
  <c r="IV11" i="2"/>
  <c r="JS12" i="2"/>
  <c r="IV12" i="2"/>
  <c r="JS13" i="2"/>
  <c r="IV13" i="2"/>
  <c r="JS14" i="2"/>
  <c r="IV14" i="2"/>
  <c r="JS15" i="2"/>
  <c r="IV15" i="2"/>
  <c r="JS16" i="2"/>
  <c r="IV16" i="2"/>
  <c r="JS17" i="2"/>
  <c r="IV17" i="2"/>
  <c r="JS18" i="2"/>
  <c r="IV18" i="2"/>
  <c r="JS19" i="2"/>
  <c r="IV19" i="2"/>
  <c r="JS20" i="2"/>
  <c r="IV20" i="2"/>
  <c r="JS21" i="2"/>
  <c r="IV21" i="2"/>
  <c r="JS22" i="2"/>
  <c r="IV22" i="2"/>
  <c r="JS23" i="2"/>
  <c r="IV23" i="2"/>
  <c r="JS24" i="2"/>
  <c r="IV24" i="2"/>
  <c r="JS25" i="2"/>
  <c r="IV25" i="2"/>
  <c r="JS26" i="2"/>
  <c r="IV26" i="2"/>
  <c r="JS27" i="2"/>
  <c r="IV27" i="2"/>
  <c r="JS28" i="2"/>
  <c r="IV28" i="2"/>
  <c r="JS29" i="2"/>
  <c r="IV29" i="2"/>
  <c r="JS30" i="2"/>
  <c r="IV30" i="2"/>
  <c r="JS31" i="2"/>
  <c r="IV31" i="2"/>
  <c r="JS32" i="2"/>
  <c r="IV32" i="2"/>
  <c r="JS33" i="2"/>
  <c r="IV33" i="2"/>
  <c r="JS34" i="2"/>
  <c r="IV34" i="2"/>
  <c r="IU35" i="2"/>
  <c r="IT35" i="2"/>
  <c r="HX35" i="2"/>
  <c r="HZ35" i="2"/>
  <c r="IA35" i="2"/>
  <c r="IB35" i="2"/>
  <c r="ID35" i="2"/>
  <c r="IE35" i="2"/>
  <c r="IF35" i="2"/>
  <c r="IG35" i="2"/>
  <c r="IH35" i="2"/>
  <c r="II35" i="2"/>
  <c r="IJ35" i="2"/>
  <c r="IK35" i="2"/>
  <c r="IL35" i="2"/>
  <c r="IM35" i="2"/>
  <c r="IN35" i="2"/>
  <c r="IO35" i="2"/>
  <c r="HW35" i="2"/>
  <c r="HV35" i="2"/>
  <c r="HU35" i="2"/>
  <c r="IQ5" i="2"/>
  <c r="HT5" i="2"/>
  <c r="IQ6" i="2"/>
  <c r="HT6" i="2"/>
  <c r="IQ7" i="2"/>
  <c r="HT7" i="2"/>
  <c r="IQ8" i="2"/>
  <c r="HT8" i="2"/>
  <c r="IQ9" i="2"/>
  <c r="HT9" i="2"/>
  <c r="IQ10" i="2"/>
  <c r="HT10" i="2"/>
  <c r="IQ11" i="2"/>
  <c r="HT11" i="2"/>
  <c r="IQ12" i="2"/>
  <c r="HT12" i="2"/>
  <c r="IQ13" i="2"/>
  <c r="HT13" i="2"/>
  <c r="IQ14" i="2"/>
  <c r="HT14" i="2"/>
  <c r="IQ15" i="2"/>
  <c r="HT15" i="2"/>
  <c r="IQ16" i="2"/>
  <c r="HT16" i="2"/>
  <c r="IQ17" i="2"/>
  <c r="HT17" i="2"/>
  <c r="IQ18" i="2"/>
  <c r="HT18" i="2"/>
  <c r="IQ19" i="2"/>
  <c r="HT19" i="2"/>
  <c r="IQ20" i="2"/>
  <c r="HT20" i="2"/>
  <c r="IQ21" i="2"/>
  <c r="HT21" i="2"/>
  <c r="IQ22" i="2"/>
  <c r="HT22" i="2"/>
  <c r="IQ23" i="2"/>
  <c r="HT23" i="2"/>
  <c r="IQ24" i="2"/>
  <c r="HT24" i="2"/>
  <c r="IQ25" i="2"/>
  <c r="HT25" i="2"/>
  <c r="IQ26" i="2"/>
  <c r="HT26" i="2"/>
  <c r="IQ27" i="2"/>
  <c r="HT27" i="2"/>
  <c r="IQ28" i="2"/>
  <c r="HT28" i="2"/>
  <c r="IQ29" i="2"/>
  <c r="HT29" i="2"/>
  <c r="IQ30" i="2"/>
  <c r="HT30" i="2"/>
  <c r="IQ31" i="2"/>
  <c r="HT31" i="2"/>
  <c r="IQ32" i="2"/>
  <c r="HT32" i="2"/>
  <c r="IQ33" i="2"/>
  <c r="HT33" i="2"/>
  <c r="IQ34" i="2"/>
  <c r="HT34" i="2"/>
  <c r="HS35" i="2"/>
  <c r="HR35" i="2"/>
  <c r="GV35" i="2"/>
  <c r="GX35" i="2"/>
  <c r="GY35" i="2"/>
  <c r="GZ35" i="2"/>
  <c r="HB35" i="2"/>
  <c r="HC35" i="2"/>
  <c r="HD35" i="2"/>
  <c r="HE35" i="2"/>
  <c r="HF35" i="2"/>
  <c r="HG35" i="2"/>
  <c r="HH35" i="2"/>
  <c r="HI35" i="2"/>
  <c r="HJ35" i="2"/>
  <c r="HK35" i="2"/>
  <c r="HL35" i="2"/>
  <c r="HM35" i="2"/>
  <c r="GU35" i="2"/>
  <c r="GT35" i="2"/>
  <c r="GS35" i="2"/>
  <c r="HO4" i="2"/>
  <c r="GR4" i="2"/>
  <c r="HO5" i="2"/>
  <c r="GR5" i="2"/>
  <c r="HO6" i="2"/>
  <c r="GR6" i="2"/>
  <c r="HO7" i="2"/>
  <c r="GR7" i="2"/>
  <c r="HO8" i="2"/>
  <c r="GR8" i="2"/>
  <c r="HO9" i="2"/>
  <c r="GR9" i="2"/>
  <c r="HO10" i="2"/>
  <c r="GR10" i="2"/>
  <c r="HO11" i="2"/>
  <c r="GR11" i="2"/>
  <c r="HO12" i="2"/>
  <c r="GR12" i="2"/>
  <c r="HO13" i="2"/>
  <c r="GR13" i="2"/>
  <c r="HO14" i="2"/>
  <c r="GR14" i="2"/>
  <c r="HO15" i="2"/>
  <c r="GR15" i="2"/>
  <c r="HO16" i="2"/>
  <c r="GR16" i="2"/>
  <c r="HO17" i="2"/>
  <c r="GR17" i="2"/>
  <c r="HO18" i="2"/>
  <c r="GR18" i="2"/>
  <c r="HO19" i="2"/>
  <c r="GR19" i="2"/>
  <c r="HO20" i="2"/>
  <c r="GR20" i="2"/>
  <c r="HO21" i="2"/>
  <c r="GR21" i="2"/>
  <c r="HO22" i="2"/>
  <c r="GR22" i="2"/>
  <c r="HO23" i="2"/>
  <c r="GR23" i="2"/>
  <c r="HO24" i="2"/>
  <c r="GR24" i="2"/>
  <c r="HO25" i="2"/>
  <c r="GR25" i="2"/>
  <c r="HO26" i="2"/>
  <c r="GR26" i="2"/>
  <c r="HO27" i="2"/>
  <c r="GR27" i="2"/>
  <c r="HO28" i="2"/>
  <c r="GR28" i="2"/>
  <c r="HO29" i="2"/>
  <c r="GR29" i="2"/>
  <c r="HO30" i="2"/>
  <c r="GR30" i="2"/>
  <c r="HO31" i="2"/>
  <c r="GR31" i="2"/>
  <c r="HO32" i="2"/>
  <c r="GR32" i="2"/>
  <c r="HO33" i="2"/>
  <c r="GR33" i="2"/>
  <c r="HO34" i="2"/>
  <c r="GR34" i="2"/>
  <c r="GQ35" i="2"/>
  <c r="GP35" i="2"/>
  <c r="FT35" i="2"/>
  <c r="FV35" i="2"/>
  <c r="FW35" i="2"/>
  <c r="FX35" i="2"/>
  <c r="FZ35" i="2"/>
  <c r="GA35" i="2"/>
  <c r="GB35" i="2"/>
  <c r="GC35" i="2"/>
  <c r="GD35" i="2"/>
  <c r="GE35" i="2"/>
  <c r="GF35" i="2"/>
  <c r="GG35" i="2"/>
  <c r="GH35" i="2"/>
  <c r="GI35" i="2"/>
  <c r="GJ35" i="2"/>
  <c r="GK35" i="2"/>
  <c r="FS35" i="2"/>
  <c r="FR35" i="2"/>
  <c r="FQ35" i="2"/>
  <c r="GM4" i="2"/>
  <c r="FP4" i="2"/>
  <c r="GM5" i="2"/>
  <c r="FP5" i="2"/>
  <c r="GM6" i="2"/>
  <c r="FP6" i="2"/>
  <c r="GM7" i="2"/>
  <c r="FP7" i="2"/>
  <c r="GM8" i="2"/>
  <c r="FP8" i="2"/>
  <c r="GM9" i="2"/>
  <c r="FP9" i="2"/>
  <c r="GM10" i="2"/>
  <c r="FP10" i="2"/>
  <c r="GM11" i="2"/>
  <c r="FP11" i="2"/>
  <c r="GM12" i="2"/>
  <c r="FP12" i="2"/>
  <c r="GM13" i="2"/>
  <c r="FP13" i="2"/>
  <c r="GM14" i="2"/>
  <c r="FP14" i="2"/>
  <c r="GM15" i="2"/>
  <c r="FP15" i="2"/>
  <c r="GM16" i="2"/>
  <c r="FP16" i="2"/>
  <c r="GM17" i="2"/>
  <c r="FP17" i="2"/>
  <c r="GM18" i="2"/>
  <c r="FP18" i="2"/>
  <c r="GM19" i="2"/>
  <c r="FP19" i="2"/>
  <c r="GM20" i="2"/>
  <c r="FP20" i="2"/>
  <c r="GM21" i="2"/>
  <c r="FP21" i="2"/>
  <c r="GM22" i="2"/>
  <c r="FP22" i="2"/>
  <c r="GM23" i="2"/>
  <c r="FP23" i="2"/>
  <c r="GM24" i="2"/>
  <c r="FP24" i="2"/>
  <c r="GM25" i="2"/>
  <c r="FP25" i="2"/>
  <c r="GM26" i="2"/>
  <c r="FP26" i="2"/>
  <c r="GM27" i="2"/>
  <c r="FP27" i="2"/>
  <c r="GM28" i="2"/>
  <c r="FP28" i="2"/>
  <c r="GM29" i="2"/>
  <c r="FP29" i="2"/>
  <c r="GM30" i="2"/>
  <c r="FP30" i="2"/>
  <c r="GM31" i="2"/>
  <c r="FP31" i="2"/>
  <c r="GM32" i="2"/>
  <c r="FP32" i="2"/>
  <c r="GM33" i="2"/>
  <c r="FP33" i="2"/>
  <c r="GM34" i="2"/>
  <c r="FP34" i="2"/>
  <c r="FO35" i="2"/>
  <c r="FN35" i="2"/>
  <c r="ER35" i="2"/>
  <c r="ET35" i="2"/>
  <c r="EU35" i="2"/>
  <c r="EV35" i="2"/>
  <c r="EX35" i="2"/>
  <c r="EY35" i="2"/>
  <c r="EZ35" i="2"/>
  <c r="FA35" i="2"/>
  <c r="FB35" i="2"/>
  <c r="FC35" i="2"/>
  <c r="FD35" i="2"/>
  <c r="FE35" i="2"/>
  <c r="FF35" i="2"/>
  <c r="FG35" i="2"/>
  <c r="FH35" i="2"/>
  <c r="FI35" i="2"/>
  <c r="EQ35" i="2"/>
  <c r="EP35" i="2"/>
  <c r="EO35" i="2"/>
  <c r="FK4" i="2"/>
  <c r="EN4" i="2"/>
  <c r="FK5" i="2"/>
  <c r="EN5" i="2"/>
  <c r="FK6" i="2"/>
  <c r="EN6" i="2"/>
  <c r="FK7" i="2"/>
  <c r="EN7" i="2"/>
  <c r="FK8" i="2"/>
  <c r="EN8" i="2"/>
  <c r="FK9" i="2"/>
  <c r="EN9" i="2"/>
  <c r="FK10" i="2"/>
  <c r="EN10" i="2"/>
  <c r="FK11" i="2"/>
  <c r="EN11" i="2"/>
  <c r="FK12" i="2"/>
  <c r="EN12" i="2"/>
  <c r="FK13" i="2"/>
  <c r="EN13" i="2"/>
  <c r="FK14" i="2"/>
  <c r="EN14" i="2"/>
  <c r="FK15" i="2"/>
  <c r="EN15" i="2"/>
  <c r="FK16" i="2"/>
  <c r="EN16" i="2"/>
  <c r="FK17" i="2"/>
  <c r="EN17" i="2"/>
  <c r="FK18" i="2"/>
  <c r="EN18" i="2"/>
  <c r="FK19" i="2"/>
  <c r="EN19" i="2"/>
  <c r="FK20" i="2"/>
  <c r="EN20" i="2"/>
  <c r="FK21" i="2"/>
  <c r="EN21" i="2"/>
  <c r="FK22" i="2"/>
  <c r="EN22" i="2"/>
  <c r="FK23" i="2"/>
  <c r="EN23" i="2"/>
  <c r="FK24" i="2"/>
  <c r="EN24" i="2"/>
  <c r="FK25" i="2"/>
  <c r="EN25" i="2"/>
  <c r="FK26" i="2"/>
  <c r="EN26" i="2"/>
  <c r="FK27" i="2"/>
  <c r="EN27" i="2"/>
  <c r="FK28" i="2"/>
  <c r="EN28" i="2"/>
  <c r="FK29" i="2"/>
  <c r="EN29" i="2"/>
  <c r="FK30" i="2"/>
  <c r="EN30" i="2"/>
  <c r="FK31" i="2"/>
  <c r="EN31" i="2"/>
  <c r="FK32" i="2"/>
  <c r="EN32" i="2"/>
  <c r="FK33" i="2"/>
  <c r="EN33" i="2"/>
  <c r="FK34" i="2"/>
  <c r="EN34" i="2"/>
  <c r="EM35" i="2"/>
  <c r="EL35" i="2"/>
  <c r="DP35" i="2"/>
  <c r="DR35" i="2"/>
  <c r="DS35" i="2"/>
  <c r="DT35" i="2"/>
  <c r="DV35" i="2"/>
  <c r="DW35" i="2"/>
  <c r="DX35" i="2"/>
  <c r="DY35" i="2"/>
  <c r="DZ35" i="2"/>
  <c r="EA35" i="2"/>
  <c r="EB35" i="2"/>
  <c r="EC35" i="2"/>
  <c r="ED35" i="2"/>
  <c r="EE35" i="2"/>
  <c r="EF35" i="2"/>
  <c r="EG35" i="2"/>
  <c r="DO35" i="2"/>
  <c r="DN35" i="2"/>
  <c r="DM35" i="2"/>
  <c r="EI4" i="2"/>
  <c r="DL4" i="2"/>
  <c r="EI5" i="2"/>
  <c r="DL5" i="2"/>
  <c r="EI6" i="2"/>
  <c r="DL6" i="2"/>
  <c r="EI7" i="2"/>
  <c r="DL7" i="2"/>
  <c r="EI8" i="2"/>
  <c r="DL8" i="2"/>
  <c r="EI9" i="2"/>
  <c r="DL9" i="2"/>
  <c r="EI10" i="2"/>
  <c r="DL10" i="2"/>
  <c r="EI11" i="2"/>
  <c r="DL11" i="2"/>
  <c r="EI12" i="2"/>
  <c r="DL12" i="2"/>
  <c r="EI13" i="2"/>
  <c r="DL13" i="2"/>
  <c r="EI14" i="2"/>
  <c r="DL14" i="2"/>
  <c r="EI15" i="2"/>
  <c r="DL15" i="2"/>
  <c r="EI16" i="2"/>
  <c r="DL16" i="2"/>
  <c r="EI17" i="2"/>
  <c r="DL17" i="2"/>
  <c r="EI18" i="2"/>
  <c r="DL18" i="2"/>
  <c r="EI19" i="2"/>
  <c r="DL19" i="2"/>
  <c r="EI20" i="2"/>
  <c r="DL20" i="2"/>
  <c r="EI21" i="2"/>
  <c r="DL21" i="2"/>
  <c r="EI22" i="2"/>
  <c r="DL22" i="2"/>
  <c r="EI23" i="2"/>
  <c r="DL23" i="2"/>
  <c r="EI24" i="2"/>
  <c r="DL24" i="2"/>
  <c r="EI25" i="2"/>
  <c r="DL25" i="2"/>
  <c r="EI26" i="2"/>
  <c r="DL26" i="2"/>
  <c r="EI27" i="2"/>
  <c r="DL27" i="2"/>
  <c r="EI28" i="2"/>
  <c r="DL28" i="2"/>
  <c r="EI29" i="2"/>
  <c r="DL29" i="2"/>
  <c r="EI30" i="2"/>
  <c r="DL30" i="2"/>
  <c r="EI31" i="2"/>
  <c r="DL31" i="2"/>
  <c r="EI32" i="2"/>
  <c r="DL32" i="2"/>
  <c r="EI33" i="2"/>
  <c r="DL33" i="2"/>
  <c r="EI34" i="2"/>
  <c r="DL34" i="2"/>
  <c r="DK35" i="2"/>
  <c r="DJ35" i="2"/>
  <c r="CN35" i="2"/>
  <c r="CP35" i="2"/>
  <c r="CQ35" i="2"/>
  <c r="CR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CM35" i="2"/>
  <c r="CL35" i="2"/>
  <c r="CK35" i="2"/>
  <c r="DG4" i="2"/>
  <c r="CJ4" i="2"/>
  <c r="DG5" i="2"/>
  <c r="CJ5" i="2"/>
  <c r="DG6" i="2"/>
  <c r="CJ6" i="2"/>
  <c r="DG7" i="2"/>
  <c r="CJ7" i="2"/>
  <c r="DG8" i="2"/>
  <c r="CJ8" i="2"/>
  <c r="DG9" i="2"/>
  <c r="CJ9" i="2"/>
  <c r="DG10" i="2"/>
  <c r="CJ10" i="2"/>
  <c r="DG11" i="2"/>
  <c r="CJ11" i="2"/>
  <c r="DG12" i="2"/>
  <c r="CJ12" i="2"/>
  <c r="DG13" i="2"/>
  <c r="CJ13" i="2"/>
  <c r="DG14" i="2"/>
  <c r="CJ14" i="2"/>
  <c r="DG15" i="2"/>
  <c r="CJ15" i="2"/>
  <c r="DG16" i="2"/>
  <c r="CJ16" i="2"/>
  <c r="DG17" i="2"/>
  <c r="CJ17" i="2"/>
  <c r="DG18" i="2"/>
  <c r="CJ18" i="2"/>
  <c r="DG19" i="2"/>
  <c r="CJ19" i="2"/>
  <c r="DG20" i="2"/>
  <c r="CJ20" i="2"/>
  <c r="DG21" i="2"/>
  <c r="CJ21" i="2"/>
  <c r="DG22" i="2"/>
  <c r="CJ22" i="2"/>
  <c r="DG23" i="2"/>
  <c r="CJ23" i="2"/>
  <c r="DG24" i="2"/>
  <c r="CJ24" i="2"/>
  <c r="DG25" i="2"/>
  <c r="CJ25" i="2"/>
  <c r="DG26" i="2"/>
  <c r="CJ26" i="2"/>
  <c r="DG27" i="2"/>
  <c r="CJ27" i="2"/>
  <c r="DG28" i="2"/>
  <c r="CJ28" i="2"/>
  <c r="DG29" i="2"/>
  <c r="CJ29" i="2"/>
  <c r="DG30" i="2"/>
  <c r="CJ30" i="2"/>
  <c r="DG31" i="2"/>
  <c r="CJ31" i="2"/>
  <c r="DG32" i="2"/>
  <c r="CJ32" i="2"/>
  <c r="DG33" i="2"/>
  <c r="CJ33" i="2"/>
  <c r="DG34" i="2"/>
  <c r="CJ34" i="2"/>
  <c r="CI35" i="2"/>
  <c r="CH35" i="2"/>
  <c r="BL35" i="2"/>
  <c r="BN35" i="2"/>
  <c r="BO35" i="2"/>
  <c r="BP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BK35" i="2"/>
  <c r="BJ35" i="2"/>
  <c r="BI35" i="2"/>
  <c r="CE4" i="2"/>
  <c r="BH4" i="2"/>
  <c r="CE5" i="2"/>
  <c r="BH5" i="2"/>
  <c r="CE6" i="2"/>
  <c r="BH6" i="2"/>
  <c r="CE7" i="2"/>
  <c r="BH7" i="2"/>
  <c r="CE8" i="2"/>
  <c r="BH8" i="2"/>
  <c r="CE9" i="2"/>
  <c r="BH9" i="2"/>
  <c r="CE10" i="2"/>
  <c r="BH10" i="2"/>
  <c r="CE11" i="2"/>
  <c r="BH11" i="2"/>
  <c r="CE12" i="2"/>
  <c r="BH12" i="2"/>
  <c r="CE13" i="2"/>
  <c r="BH13" i="2"/>
  <c r="CE14" i="2"/>
  <c r="BH14" i="2"/>
  <c r="CE15" i="2"/>
  <c r="BH15" i="2"/>
  <c r="CE16" i="2"/>
  <c r="BH16" i="2"/>
  <c r="CE17" i="2"/>
  <c r="BH17" i="2"/>
  <c r="CE18" i="2"/>
  <c r="BH18" i="2"/>
  <c r="CE19" i="2"/>
  <c r="BH19" i="2"/>
  <c r="CE20" i="2"/>
  <c r="BH20" i="2"/>
  <c r="CE21" i="2"/>
  <c r="BH21" i="2"/>
  <c r="CE22" i="2"/>
  <c r="BH22" i="2"/>
  <c r="CE23" i="2"/>
  <c r="BH23" i="2"/>
  <c r="CE24" i="2"/>
  <c r="BH24" i="2"/>
  <c r="CE25" i="2"/>
  <c r="BH25" i="2"/>
  <c r="CE26" i="2"/>
  <c r="BH26" i="2"/>
  <c r="CE27" i="2"/>
  <c r="BH27" i="2"/>
  <c r="CE28" i="2"/>
  <c r="BH28" i="2"/>
  <c r="CE29" i="2"/>
  <c r="BH29" i="2"/>
  <c r="CE30" i="2"/>
  <c r="BH30" i="2"/>
  <c r="CE31" i="2"/>
  <c r="BH31" i="2"/>
  <c r="CE32" i="2"/>
  <c r="BH32" i="2"/>
  <c r="CE33" i="2"/>
  <c r="BH33" i="2"/>
  <c r="CE34" i="2"/>
  <c r="BH34" i="2"/>
  <c r="BG35" i="2"/>
  <c r="BF35" i="2"/>
  <c r="AJ35" i="2"/>
  <c r="AL35" i="2"/>
  <c r="AM35" i="2"/>
  <c r="AN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AI35" i="2"/>
  <c r="AH35" i="2"/>
  <c r="AG35" i="2"/>
  <c r="BC4" i="2"/>
  <c r="AF4" i="2"/>
  <c r="BC5" i="2"/>
  <c r="AF5" i="2"/>
  <c r="BC6" i="2"/>
  <c r="AF6" i="2"/>
  <c r="BC7" i="2"/>
  <c r="AF7" i="2"/>
  <c r="BC8" i="2"/>
  <c r="AF8" i="2"/>
  <c r="BC9" i="2"/>
  <c r="AF9" i="2"/>
  <c r="BC10" i="2"/>
  <c r="AF10" i="2"/>
  <c r="BC11" i="2"/>
  <c r="AF11" i="2"/>
  <c r="BC12" i="2"/>
  <c r="AF12" i="2"/>
  <c r="BC13" i="2"/>
  <c r="AF13" i="2"/>
  <c r="BC15" i="2"/>
  <c r="AF15" i="2"/>
  <c r="BC16" i="2"/>
  <c r="AF16" i="2"/>
  <c r="BC17" i="2"/>
  <c r="AF17" i="2"/>
  <c r="BC18" i="2"/>
  <c r="AF18" i="2"/>
  <c r="BC19" i="2"/>
  <c r="AF19" i="2"/>
  <c r="BC20" i="2"/>
  <c r="AF20" i="2"/>
  <c r="BC22" i="2"/>
  <c r="AF22" i="2"/>
  <c r="BC23" i="2"/>
  <c r="AF23" i="2"/>
  <c r="BC24" i="2"/>
  <c r="AF24" i="2"/>
  <c r="BC25" i="2"/>
  <c r="AF25" i="2"/>
  <c r="BC26" i="2"/>
  <c r="AF26" i="2"/>
  <c r="BC27" i="2"/>
  <c r="AF27" i="2"/>
  <c r="BC28" i="2"/>
  <c r="AF28" i="2"/>
  <c r="BC29" i="2"/>
  <c r="AF29" i="2"/>
  <c r="BC30" i="2"/>
  <c r="AF30" i="2"/>
  <c r="BC31" i="2"/>
  <c r="AF31" i="2"/>
  <c r="BC32" i="2"/>
  <c r="AF32" i="2"/>
  <c r="BC33" i="2"/>
  <c r="AF33" i="2"/>
  <c r="BC34" i="2"/>
  <c r="AF34" i="2"/>
  <c r="AE35" i="2"/>
  <c r="AD35" i="2"/>
  <c r="H35" i="2"/>
  <c r="J35" i="2"/>
  <c r="K35" i="2"/>
  <c r="L35" i="2"/>
  <c r="N35" i="2"/>
  <c r="O35" i="2"/>
  <c r="P35" i="2"/>
  <c r="Q35" i="2"/>
  <c r="R35" i="2"/>
  <c r="S35" i="2"/>
  <c r="T35" i="2"/>
  <c r="U35" i="2"/>
  <c r="V35" i="2"/>
  <c r="W35" i="2"/>
  <c r="X35" i="2"/>
  <c r="Y35" i="2"/>
  <c r="G35" i="2"/>
  <c r="F35" i="2"/>
  <c r="E35" i="2"/>
  <c r="AA4" i="2"/>
  <c r="D4" i="2"/>
  <c r="AA5" i="2"/>
  <c r="D5" i="2"/>
  <c r="AA6" i="2"/>
  <c r="D6" i="2"/>
  <c r="AA7" i="2"/>
  <c r="D7" i="2"/>
  <c r="AA8" i="2"/>
  <c r="D8" i="2"/>
  <c r="AA9" i="2"/>
  <c r="D9" i="2"/>
  <c r="AA10" i="2"/>
  <c r="D10" i="2"/>
  <c r="AA11" i="2"/>
  <c r="D11" i="2"/>
  <c r="AA12" i="2"/>
  <c r="D12" i="2"/>
  <c r="AA13" i="2"/>
  <c r="D13" i="2"/>
  <c r="AA14" i="2"/>
  <c r="D14" i="2"/>
  <c r="AA15" i="2"/>
  <c r="D15" i="2"/>
  <c r="AA16" i="2"/>
  <c r="D16" i="2"/>
  <c r="AA17" i="2"/>
  <c r="D17" i="2"/>
  <c r="AA18" i="2"/>
  <c r="D18" i="2"/>
  <c r="AA19" i="2"/>
  <c r="D19" i="2"/>
  <c r="AA20" i="2"/>
  <c r="D20" i="2"/>
  <c r="AA21" i="2"/>
  <c r="D21" i="2"/>
  <c r="AA22" i="2"/>
  <c r="D22" i="2"/>
  <c r="AA23" i="2"/>
  <c r="D23" i="2"/>
  <c r="AA24" i="2"/>
  <c r="D24" i="2"/>
  <c r="AA25" i="2"/>
  <c r="D25" i="2"/>
  <c r="AA26" i="2"/>
  <c r="D26" i="2"/>
  <c r="AA27" i="2"/>
  <c r="D27" i="2"/>
  <c r="AA28" i="2"/>
  <c r="D28" i="2"/>
  <c r="AA29" i="2"/>
  <c r="D29" i="2"/>
  <c r="AA30" i="2"/>
  <c r="D30" i="2"/>
  <c r="AA31" i="2"/>
  <c r="D31" i="2"/>
  <c r="AA32" i="2"/>
  <c r="D32" i="2"/>
  <c r="AA33" i="2"/>
  <c r="D33" i="2"/>
  <c r="AA34" i="2"/>
  <c r="D34" i="2"/>
  <c r="C35" i="2"/>
  <c r="B35" i="2"/>
  <c r="EI15" i="1"/>
  <c r="DL15" i="1"/>
  <c r="BM35" i="1"/>
  <c r="CE22" i="1"/>
  <c r="BH22" i="1"/>
  <c r="CE17" i="1"/>
  <c r="BH17" i="1"/>
  <c r="ER35" i="1"/>
  <c r="ET35" i="1"/>
  <c r="EU35" i="1"/>
  <c r="EV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EQ35" i="1"/>
  <c r="EP35" i="1"/>
  <c r="EO35" i="1"/>
  <c r="FK4" i="1"/>
  <c r="EN4" i="1"/>
  <c r="FK5" i="1"/>
  <c r="EN5" i="1"/>
  <c r="FK6" i="1"/>
  <c r="EN6" i="1"/>
  <c r="FK7" i="1"/>
  <c r="EN7" i="1"/>
  <c r="FK8" i="1"/>
  <c r="EN8" i="1"/>
  <c r="FK9" i="1"/>
  <c r="EN9" i="1"/>
  <c r="FK10" i="1"/>
  <c r="EN10" i="1"/>
  <c r="FK11" i="1"/>
  <c r="EN11" i="1"/>
  <c r="FK12" i="1"/>
  <c r="EN12" i="1"/>
  <c r="FK13" i="1"/>
  <c r="EN13" i="1"/>
  <c r="FK14" i="1"/>
  <c r="EN14" i="1"/>
  <c r="FK15" i="1"/>
  <c r="EN15" i="1"/>
  <c r="FK16" i="1"/>
  <c r="EN16" i="1"/>
  <c r="FK17" i="1"/>
  <c r="EN17" i="1"/>
  <c r="FK18" i="1"/>
  <c r="EN18" i="1"/>
  <c r="FK19" i="1"/>
  <c r="EN19" i="1"/>
  <c r="FK20" i="1"/>
  <c r="EN20" i="1"/>
  <c r="FK21" i="1"/>
  <c r="EN21" i="1"/>
  <c r="FK22" i="1"/>
  <c r="EN22" i="1"/>
  <c r="FK23" i="1"/>
  <c r="EN23" i="1"/>
  <c r="FK24" i="1"/>
  <c r="EN24" i="1"/>
  <c r="FK25" i="1"/>
  <c r="EN25" i="1"/>
  <c r="FK26" i="1"/>
  <c r="EN26" i="1"/>
  <c r="FK27" i="1"/>
  <c r="EN27" i="1"/>
  <c r="FK28" i="1"/>
  <c r="EN28" i="1"/>
  <c r="FK29" i="1"/>
  <c r="EN29" i="1"/>
  <c r="FK30" i="1"/>
  <c r="EN30" i="1"/>
  <c r="FK31" i="1"/>
  <c r="EN31" i="1"/>
  <c r="FK32" i="1"/>
  <c r="EN32" i="1"/>
  <c r="FK33" i="1"/>
  <c r="EN33" i="1"/>
  <c r="FK34" i="1"/>
  <c r="EN34" i="1"/>
  <c r="EM35" i="1"/>
  <c r="EL35" i="1"/>
  <c r="DP35" i="1"/>
  <c r="DR35" i="1"/>
  <c r="DS35" i="1"/>
  <c r="DT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DO35" i="1"/>
  <c r="DN35" i="1"/>
  <c r="DM35" i="1"/>
  <c r="EI4" i="1"/>
  <c r="DL4" i="1"/>
  <c r="EI5" i="1"/>
  <c r="DL5" i="1"/>
  <c r="EI6" i="1"/>
  <c r="DL6" i="1"/>
  <c r="EI7" i="1"/>
  <c r="DL7" i="1"/>
  <c r="EI8" i="1"/>
  <c r="DL8" i="1"/>
  <c r="EI9" i="1"/>
  <c r="DL9" i="1"/>
  <c r="EI10" i="1"/>
  <c r="DL10" i="1"/>
  <c r="EI11" i="1"/>
  <c r="DL11" i="1"/>
  <c r="EI12" i="1"/>
  <c r="DL12" i="1"/>
  <c r="EI13" i="1"/>
  <c r="DL13" i="1"/>
  <c r="EI14" i="1"/>
  <c r="DL14" i="1"/>
  <c r="EI16" i="1"/>
  <c r="DL16" i="1"/>
  <c r="EI17" i="1"/>
  <c r="DL17" i="1"/>
  <c r="EI18" i="1"/>
  <c r="DL18" i="1"/>
  <c r="EI19" i="1"/>
  <c r="DL19" i="1"/>
  <c r="EI20" i="1"/>
  <c r="DL20" i="1"/>
  <c r="EI21" i="1"/>
  <c r="DL21" i="1"/>
  <c r="EI22" i="1"/>
  <c r="DL22" i="1"/>
  <c r="EI23" i="1"/>
  <c r="DL23" i="1"/>
  <c r="EI24" i="1"/>
  <c r="DL24" i="1"/>
  <c r="EI25" i="1"/>
  <c r="DL25" i="1"/>
  <c r="EI26" i="1"/>
  <c r="DL26" i="1"/>
  <c r="EI27" i="1"/>
  <c r="DL27" i="1"/>
  <c r="EI28" i="1"/>
  <c r="DL28" i="1"/>
  <c r="EI29" i="1"/>
  <c r="DL29" i="1"/>
  <c r="EI30" i="1"/>
  <c r="DL30" i="1"/>
  <c r="EI31" i="1"/>
  <c r="DL31" i="1"/>
  <c r="EI32" i="1"/>
  <c r="DL32" i="1"/>
  <c r="EI33" i="1"/>
  <c r="DL33" i="1"/>
  <c r="EI34" i="1"/>
  <c r="DL34" i="1"/>
  <c r="DK35" i="1"/>
  <c r="DJ35" i="1"/>
  <c r="CN35" i="1"/>
  <c r="CP35" i="1"/>
  <c r="CQ35" i="1"/>
  <c r="CR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CM35" i="1"/>
  <c r="CL35" i="1"/>
  <c r="CK35" i="1"/>
  <c r="DG4" i="1"/>
  <c r="CJ4" i="1"/>
  <c r="DG5" i="1"/>
  <c r="CJ5" i="1"/>
  <c r="DG6" i="1"/>
  <c r="CJ6" i="1"/>
  <c r="DG7" i="1"/>
  <c r="CJ7" i="1"/>
  <c r="DG8" i="1"/>
  <c r="CJ8" i="1"/>
  <c r="DG9" i="1"/>
  <c r="CJ9" i="1"/>
  <c r="DG10" i="1"/>
  <c r="CJ10" i="1"/>
  <c r="DG11" i="1"/>
  <c r="CJ11" i="1"/>
  <c r="DG12" i="1"/>
  <c r="CJ12" i="1"/>
  <c r="DG13" i="1"/>
  <c r="CJ13" i="1"/>
  <c r="DG14" i="1"/>
  <c r="CJ14" i="1"/>
  <c r="DG15" i="1"/>
  <c r="CJ15" i="1"/>
  <c r="DG16" i="1"/>
  <c r="CJ16" i="1"/>
  <c r="DG17" i="1"/>
  <c r="CJ17" i="1"/>
  <c r="DG18" i="1"/>
  <c r="CJ18" i="1"/>
  <c r="DG19" i="1"/>
  <c r="CJ19" i="1"/>
  <c r="DG20" i="1"/>
  <c r="CJ20" i="1"/>
  <c r="DG21" i="1"/>
  <c r="CJ21" i="1"/>
  <c r="DG22" i="1"/>
  <c r="CJ22" i="1"/>
  <c r="DG23" i="1"/>
  <c r="CJ23" i="1"/>
  <c r="DG24" i="1"/>
  <c r="CJ24" i="1"/>
  <c r="DG25" i="1"/>
  <c r="CJ25" i="1"/>
  <c r="DG26" i="1"/>
  <c r="CJ26" i="1"/>
  <c r="DG27" i="1"/>
  <c r="CJ27" i="1"/>
  <c r="DG28" i="1"/>
  <c r="CJ28" i="1"/>
  <c r="DG29" i="1"/>
  <c r="CJ29" i="1"/>
  <c r="DG30" i="1"/>
  <c r="CJ30" i="1"/>
  <c r="DG31" i="1"/>
  <c r="CJ31" i="1"/>
  <c r="DG32" i="1"/>
  <c r="CJ32" i="1"/>
  <c r="DG33" i="1"/>
  <c r="CJ33" i="1"/>
  <c r="DG34" i="1"/>
  <c r="CJ34" i="1"/>
  <c r="CI35" i="1"/>
  <c r="CH35" i="1"/>
  <c r="BL35" i="1"/>
  <c r="BN35" i="1"/>
  <c r="BO35" i="1"/>
  <c r="BP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BK35" i="1"/>
  <c r="BJ35" i="1"/>
  <c r="BI35" i="1"/>
  <c r="CE4" i="1"/>
  <c r="BH4" i="1"/>
  <c r="CE5" i="1"/>
  <c r="BH5" i="1"/>
  <c r="CE6" i="1"/>
  <c r="BH6" i="1"/>
  <c r="CE7" i="1"/>
  <c r="BH7" i="1"/>
  <c r="CE8" i="1"/>
  <c r="BH8" i="1"/>
  <c r="CE9" i="1"/>
  <c r="BH9" i="1"/>
  <c r="CE10" i="1"/>
  <c r="BH10" i="1"/>
  <c r="CE11" i="1"/>
  <c r="BH11" i="1"/>
  <c r="CE12" i="1"/>
  <c r="BH12" i="1"/>
  <c r="CE13" i="1"/>
  <c r="BH13" i="1"/>
  <c r="CE14" i="1"/>
  <c r="BH14" i="1"/>
  <c r="CE15" i="1"/>
  <c r="BH15" i="1"/>
  <c r="CE16" i="1"/>
  <c r="BH16" i="1"/>
  <c r="CE18" i="1"/>
  <c r="BH18" i="1"/>
  <c r="CE19" i="1"/>
  <c r="BH19" i="1"/>
  <c r="CE20" i="1"/>
  <c r="BH20" i="1"/>
  <c r="CE21" i="1"/>
  <c r="BH21" i="1"/>
  <c r="CE23" i="1"/>
  <c r="BH23" i="1"/>
  <c r="CE24" i="1"/>
  <c r="BH24" i="1"/>
  <c r="CE25" i="1"/>
  <c r="BH25" i="1"/>
  <c r="CE26" i="1"/>
  <c r="BH26" i="1"/>
  <c r="CE27" i="1"/>
  <c r="BH27" i="1"/>
  <c r="CE28" i="1"/>
  <c r="BH28" i="1"/>
  <c r="CE29" i="1"/>
  <c r="BH29" i="1"/>
  <c r="CE30" i="1"/>
  <c r="BH30" i="1"/>
  <c r="CE31" i="1"/>
  <c r="BH31" i="1"/>
  <c r="CE32" i="1"/>
  <c r="BH32" i="1"/>
  <c r="CE33" i="1"/>
  <c r="BH33" i="1"/>
  <c r="CE34" i="1"/>
  <c r="BH34" i="1"/>
  <c r="BG35" i="1"/>
  <c r="BF35" i="1"/>
  <c r="AJ35" i="1"/>
  <c r="AL35" i="1"/>
  <c r="AM35" i="1"/>
  <c r="AN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AI35" i="1"/>
  <c r="AH35" i="1"/>
  <c r="AG35" i="1"/>
  <c r="BC4" i="1"/>
  <c r="AF4" i="1"/>
  <c r="BC5" i="1"/>
  <c r="AF5" i="1"/>
  <c r="BC6" i="1"/>
  <c r="AF6" i="1"/>
  <c r="BC7" i="1"/>
  <c r="AF7" i="1"/>
  <c r="BC8" i="1"/>
  <c r="AF8" i="1"/>
  <c r="BC9" i="1"/>
  <c r="AF9" i="1"/>
  <c r="BC10" i="1"/>
  <c r="AF10" i="1"/>
  <c r="BC11" i="1"/>
  <c r="AF11" i="1"/>
  <c r="BC12" i="1"/>
  <c r="AF12" i="1"/>
  <c r="BC13" i="1"/>
  <c r="AF13" i="1"/>
  <c r="BC14" i="1"/>
  <c r="AF14" i="1"/>
  <c r="BC15" i="1"/>
  <c r="AF15" i="1"/>
  <c r="BC16" i="1"/>
  <c r="AF16" i="1"/>
  <c r="BC17" i="1"/>
  <c r="AF17" i="1"/>
  <c r="BC18" i="1"/>
  <c r="AF18" i="1"/>
  <c r="BC19" i="1"/>
  <c r="AF19" i="1"/>
  <c r="BC20" i="1"/>
  <c r="AF20" i="1"/>
  <c r="BC21" i="1"/>
  <c r="AF21" i="1"/>
  <c r="BC22" i="1"/>
  <c r="AF22" i="1"/>
  <c r="BC23" i="1"/>
  <c r="AF23" i="1"/>
  <c r="BC24" i="1"/>
  <c r="AF24" i="1"/>
  <c r="BC25" i="1"/>
  <c r="AF25" i="1"/>
  <c r="BC26" i="1"/>
  <c r="AF26" i="1"/>
  <c r="BC27" i="1"/>
  <c r="AF27" i="1"/>
  <c r="BC28" i="1"/>
  <c r="AF28" i="1"/>
  <c r="BC29" i="1"/>
  <c r="AF29" i="1"/>
  <c r="BC30" i="1"/>
  <c r="AF30" i="1"/>
  <c r="BC31" i="1"/>
  <c r="AF31" i="1"/>
  <c r="BC32" i="1"/>
  <c r="AF32" i="1"/>
  <c r="BC33" i="1"/>
  <c r="AF33" i="1"/>
  <c r="BC34" i="1"/>
  <c r="AF34" i="1"/>
  <c r="AE35" i="1"/>
  <c r="AD35" i="1"/>
  <c r="H35" i="1"/>
  <c r="L35" i="1"/>
  <c r="AA4" i="1"/>
  <c r="D4" i="1"/>
  <c r="AA5" i="1"/>
  <c r="D5" i="1"/>
  <c r="AA6" i="1"/>
  <c r="D6" i="1"/>
  <c r="AA7" i="1"/>
  <c r="D7" i="1"/>
  <c r="AA8" i="1"/>
  <c r="D8" i="1"/>
  <c r="AA9" i="1"/>
  <c r="D9" i="1"/>
  <c r="AA10" i="1"/>
  <c r="D10" i="1"/>
  <c r="AA11" i="1"/>
  <c r="D11" i="1"/>
  <c r="AA12" i="1"/>
  <c r="D12" i="1"/>
  <c r="AA13" i="1"/>
  <c r="D13" i="1"/>
  <c r="AA14" i="1"/>
  <c r="D14" i="1"/>
  <c r="AA15" i="1"/>
  <c r="D15" i="1"/>
  <c r="AA16" i="1"/>
  <c r="D16" i="1"/>
  <c r="AA17" i="1"/>
  <c r="D17" i="1"/>
  <c r="AA18" i="1"/>
  <c r="D18" i="1"/>
  <c r="AA19" i="1"/>
  <c r="D19" i="1"/>
  <c r="AA20" i="1"/>
  <c r="D20" i="1"/>
  <c r="AA21" i="1"/>
  <c r="D21" i="1"/>
  <c r="AA22" i="1"/>
  <c r="D22" i="1"/>
  <c r="AA23" i="1"/>
  <c r="D23" i="1"/>
  <c r="AA24" i="1"/>
  <c r="D24" i="1"/>
  <c r="AA25" i="1"/>
  <c r="D25" i="1"/>
  <c r="AA26" i="1"/>
  <c r="D26" i="1"/>
  <c r="AA27" i="1"/>
  <c r="D27" i="1"/>
  <c r="AA28" i="1"/>
  <c r="D28" i="1"/>
  <c r="AA29" i="1"/>
  <c r="D29" i="1"/>
  <c r="AA30" i="1"/>
  <c r="D30" i="1"/>
  <c r="AA31" i="1"/>
  <c r="D31" i="1"/>
  <c r="AA32" i="1"/>
  <c r="D32" i="1"/>
  <c r="AA33" i="1"/>
  <c r="D33" i="1"/>
  <c r="BC35" i="2"/>
  <c r="EN35" i="2"/>
  <c r="DG35" i="2"/>
  <c r="IV35" i="2"/>
  <c r="JS35" i="2"/>
  <c r="AA35" i="2"/>
  <c r="LW35" i="2"/>
  <c r="EI35" i="2"/>
  <c r="IQ35" i="2"/>
  <c r="FK35" i="2"/>
  <c r="GM35" i="2"/>
  <c r="DL35" i="2"/>
  <c r="AF35" i="2"/>
  <c r="CJ35" i="2"/>
  <c r="KZ35" i="2"/>
  <c r="D35" i="2"/>
  <c r="FP35" i="2"/>
  <c r="HT35" i="2"/>
  <c r="BH35" i="2"/>
  <c r="GR35" i="2"/>
  <c r="CE35" i="2"/>
  <c r="JX35" i="2"/>
  <c r="KU35" i="2"/>
  <c r="HO35" i="2"/>
  <c r="AA34" i="1"/>
  <c r="D34" i="1"/>
  <c r="D35" i="1"/>
  <c r="AF35" i="1"/>
  <c r="FK35" i="1"/>
  <c r="BC35" i="1"/>
  <c r="DG35" i="1"/>
  <c r="EI35" i="1"/>
  <c r="CE35" i="1"/>
  <c r="CJ35" i="1"/>
  <c r="EN35" i="1"/>
  <c r="BH35" i="1"/>
  <c r="DL35" i="1"/>
  <c r="HO34" i="4" l="1"/>
  <c r="FK34" i="4"/>
  <c r="EI34" i="4"/>
  <c r="GM34" i="4"/>
  <c r="DG34" i="4"/>
  <c r="CE34" i="4"/>
  <c r="IQ34" i="4"/>
  <c r="AI34" i="4"/>
  <c r="BC34" i="4"/>
  <c r="AA34" i="4"/>
</calcChain>
</file>

<file path=xl/sharedStrings.xml><?xml version="1.0" encoding="utf-8"?>
<sst xmlns="http://schemas.openxmlformats.org/spreadsheetml/2006/main" count="20339" uniqueCount="197">
  <si>
    <t>DATE</t>
  </si>
  <si>
    <t>QTY</t>
  </si>
  <si>
    <t>SALE</t>
  </si>
  <si>
    <t>EXP</t>
  </si>
  <si>
    <t>TOTAL</t>
  </si>
  <si>
    <t>LPM</t>
  </si>
  <si>
    <t>LPM RUN</t>
  </si>
  <si>
    <t>BLOCK</t>
  </si>
  <si>
    <t xml:space="preserve">BLOCK  </t>
  </si>
  <si>
    <t>APPOXY</t>
  </si>
  <si>
    <t>MAINT.</t>
  </si>
  <si>
    <t xml:space="preserve">CONT </t>
  </si>
  <si>
    <t>VAN</t>
  </si>
  <si>
    <t>BIKE</t>
  </si>
  <si>
    <t>MESS</t>
  </si>
  <si>
    <t>PHONE</t>
  </si>
  <si>
    <t>OFFICIAL</t>
  </si>
  <si>
    <t>DESCRIPTION</t>
  </si>
  <si>
    <t xml:space="preserve">COMM </t>
  </si>
  <si>
    <t>MEDICAL</t>
  </si>
  <si>
    <t>PAYMENTS</t>
  </si>
  <si>
    <t>TO WHOM</t>
  </si>
  <si>
    <t>MISC</t>
  </si>
  <si>
    <t>MULTY-3'</t>
  </si>
  <si>
    <t>POLISH</t>
  </si>
  <si>
    <t>HOURS</t>
  </si>
  <si>
    <t>TRANSPORT</t>
  </si>
  <si>
    <t>PURCHASE</t>
  </si>
  <si>
    <t>BATTI/SEG</t>
  </si>
  <si>
    <t>PAY</t>
  </si>
  <si>
    <t>NET</t>
  </si>
  <si>
    <t>DISC</t>
  </si>
  <si>
    <t xml:space="preserve"> </t>
  </si>
  <si>
    <t xml:space="preserve">  </t>
  </si>
  <si>
    <t>Quty</t>
  </si>
  <si>
    <t>ISIZU</t>
  </si>
  <si>
    <t>CUTTING</t>
  </si>
  <si>
    <t xml:space="preserve">NEXON </t>
  </si>
  <si>
    <t>ROYALTY</t>
  </si>
  <si>
    <t>CONST</t>
  </si>
  <si>
    <t>COOK</t>
  </si>
  <si>
    <t>TANT</t>
  </si>
  <si>
    <t>OCTOBER_2023</t>
  </si>
  <si>
    <t>BILL</t>
  </si>
  <si>
    <t>LABOUR KITCH</t>
  </si>
  <si>
    <t>DE</t>
  </si>
  <si>
    <t>NOVEMBER_2023</t>
  </si>
  <si>
    <t>MUKESH</t>
  </si>
  <si>
    <t>LOAN RETURN</t>
  </si>
  <si>
    <t>180319 BILL,11973 INT</t>
  </si>
  <si>
    <t>TRV AJMER</t>
  </si>
  <si>
    <t>STATIONERY</t>
  </si>
  <si>
    <t>TRV MINE</t>
  </si>
  <si>
    <t>LOAN STAMP PAPER</t>
  </si>
  <si>
    <t>ca fee loan</t>
  </si>
  <si>
    <t>didel creta</t>
  </si>
  <si>
    <t>309278BILL,214285 LOAN KIST,227402 INT</t>
  </si>
  <si>
    <t>SANDEEP</t>
  </si>
  <si>
    <t>SURESH, MUKESH TRV GUJ AND MAH AND HP</t>
  </si>
  <si>
    <t>RAJAI SODIA</t>
  </si>
  <si>
    <t>EV</t>
  </si>
  <si>
    <t>30K MUKESH, 180COOK</t>
  </si>
  <si>
    <t>HANGER, PARDA</t>
  </si>
  <si>
    <t>LIGHT BILL</t>
  </si>
  <si>
    <t>214285 loan kist,251014 INT</t>
  </si>
  <si>
    <t>HC</t>
  </si>
  <si>
    <t>EMI214285,INT227788, BILL501598</t>
  </si>
  <si>
    <t>180COOK,20000MUKESH</t>
  </si>
  <si>
    <t>cook</t>
  </si>
  <si>
    <t>APR_2024</t>
  </si>
  <si>
    <t>214285LOAN KIST,209087INT</t>
  </si>
  <si>
    <t>stationery</t>
  </si>
  <si>
    <t>AC</t>
  </si>
  <si>
    <t>PILLOW</t>
  </si>
  <si>
    <t>CHANDA</t>
  </si>
  <si>
    <t>214285 emi.213342 int</t>
  </si>
  <si>
    <t>TRV</t>
  </si>
  <si>
    <t>SANJAY TRV MARKETING</t>
  </si>
  <si>
    <t>214285 LOAN KIST,211415INT,297108 BILL,4120 GADI KI RISWAT GST OFF GUJRAT</t>
  </si>
  <si>
    <t>123901sandeep,52420mukesh,900cook</t>
  </si>
  <si>
    <t>trv</t>
  </si>
  <si>
    <t>bedsheet</t>
  </si>
  <si>
    <t xml:space="preserve">riico off pmt ka </t>
  </si>
  <si>
    <t>BUR RENT</t>
  </si>
  <si>
    <t>214285 LOAN KIST,197520INT,8681OD INT,24780CA</t>
  </si>
  <si>
    <t>CC INT</t>
  </si>
  <si>
    <t>rajai sodia</t>
  </si>
  <si>
    <t>186 stationery, 520037EMI,148027INT</t>
  </si>
  <si>
    <t>CTO</t>
  </si>
  <si>
    <t>BEDSHEET</t>
  </si>
  <si>
    <t>15000SANDEEP,2000COOK</t>
  </si>
  <si>
    <t>BILL JUNE JULY</t>
  </si>
  <si>
    <t>520037LOAN KIST138238INT</t>
  </si>
  <si>
    <t>NEMARAM</t>
  </si>
  <si>
    <t>2000NEMARAM,1500COOK</t>
  </si>
  <si>
    <t>40000mukesh1400cook</t>
  </si>
  <si>
    <t>700mouse,50stationery,9000LED</t>
  </si>
  <si>
    <t>mukesh</t>
  </si>
  <si>
    <t>19200cook,50000sandeep</t>
  </si>
  <si>
    <t>560200 loan kist,130220int</t>
  </si>
  <si>
    <t>9562CC INT,NEW CONTAINER ME BATHROOM KA SAMAN</t>
  </si>
  <si>
    <t>BLANKET PILLOW</t>
  </si>
  <si>
    <t>CA FOR ITR</t>
  </si>
  <si>
    <t>165000WPPF 2000COOK</t>
  </si>
  <si>
    <t>4000NEMARAM 1160COOK</t>
  </si>
  <si>
    <t>305752 LOAN KIST,171850 LOAN INT</t>
  </si>
  <si>
    <t>30000MUKESH,21000COOK</t>
  </si>
  <si>
    <t>POLLUTION CERTIFICATE</t>
  </si>
  <si>
    <t>PRINTER REPAIR</t>
  </si>
  <si>
    <t>305752 KIST, 163925 INT</t>
  </si>
  <si>
    <t>DECEMBER_2024</t>
  </si>
  <si>
    <t>CCTV</t>
  </si>
  <si>
    <t>305752 LOAN KIST,166916 LOAN INT,13324 OD INT,28597 LIMIT EXT CHARGES</t>
  </si>
  <si>
    <t>TRV SANJAY AND MUKESH BLR</t>
  </si>
  <si>
    <t>35085 PLAN INSURANCE,305752 LOAN KIST,164449LOAN INT,15553 CC INT</t>
  </si>
  <si>
    <t>1500COOK, 20300 SURESH SALARY</t>
  </si>
  <si>
    <t>RAJAI SODIYA</t>
  </si>
  <si>
    <t>305752 KIST.146312 INT,517593 BILL.29722CC INT</t>
  </si>
  <si>
    <t>INT TO JMB</t>
  </si>
  <si>
    <t>305752 LOAN KIST,148729 INT</t>
  </si>
  <si>
    <t>APRIL_2025</t>
  </si>
  <si>
    <t>CC INT MARCH</t>
  </si>
  <si>
    <t>150557 LOAN FEE, 479940 BILL, 305752 LOAN KIST, 160973 LOAN INT</t>
  </si>
  <si>
    <t>50K SURESH CASH, 200 COOK</t>
  </si>
  <si>
    <t>CA AND TDS</t>
  </si>
  <si>
    <t>513445BILL, 185941LOAN KIST</t>
  </si>
  <si>
    <t>CHAIR</t>
  </si>
  <si>
    <t>21000NEMARAM,15000MUKESH,1200DINESH</t>
  </si>
  <si>
    <t>4500CCTV,305752LOAN KIST,147456LOAN INT,30470CC INT,26078SOLAR MERTER AND INSP,50000AVVNL SECURITY DEPOSIT</t>
  </si>
  <si>
    <t>SOLAR EMI</t>
  </si>
  <si>
    <t>SHER JI INT</t>
  </si>
  <si>
    <t>305752 LOAN KIST, 139389INT, 37265CC INT</t>
  </si>
  <si>
    <t>2500 P WHITE MINE DIESEL,10665 SURESH TRV</t>
  </si>
  <si>
    <t>233692 SOLAR EMI 34801 CC INT</t>
  </si>
  <si>
    <t>PLANTS</t>
  </si>
  <si>
    <t>3 TABLES MISTRY KO DIYA</t>
  </si>
  <si>
    <t>305752 LOAN KIST,140468 INT</t>
  </si>
  <si>
    <t>JMB RETURN</t>
  </si>
  <si>
    <t>WASHING MACHINE</t>
  </si>
  <si>
    <t>305752 LOAN KIST,128246 LOAN INT</t>
  </si>
  <si>
    <t>CC INT AUG</t>
  </si>
  <si>
    <t>WPPF</t>
  </si>
  <si>
    <t>PHOTO</t>
  </si>
  <si>
    <t>305752 LOAN KIST, 129647 INT, 50000 LABOUR CESS K AJAM KARVAYA</t>
  </si>
  <si>
    <t xml:space="preserve">MULTY  </t>
  </si>
  <si>
    <t>TELLY RENEW</t>
  </si>
  <si>
    <t>50K SANDEEP 50K MUKESH</t>
  </si>
  <si>
    <t>233692 SOLAR EMI34420 CC INT</t>
  </si>
  <si>
    <t>GATE FEB</t>
  </si>
  <si>
    <t>ppf</t>
  </si>
  <si>
    <t>270248BILL, 305752 LOAN KIST, 127273 INT</t>
  </si>
  <si>
    <t>SODIYA</t>
  </si>
  <si>
    <t>AMOUNT</t>
  </si>
  <si>
    <t>safety tank empty</t>
  </si>
  <si>
    <t>room itmes</t>
  </si>
  <si>
    <t>LPM POLISH</t>
  </si>
  <si>
    <t>BLOCK  PURCHASE</t>
  </si>
  <si>
    <t>APPOXY BATTI/SEG</t>
  </si>
  <si>
    <t>CONT PAY</t>
  </si>
  <si>
    <t>PHONE NET</t>
  </si>
  <si>
    <t>COMM DISC</t>
  </si>
  <si>
    <t>MULTY-21"</t>
  </si>
  <si>
    <t>LMP HRS</t>
  </si>
  <si>
    <t>BLOCK TRANS</t>
  </si>
  <si>
    <t>NEXON EV</t>
  </si>
  <si>
    <t>305752 LOAN EMI,117002 INT</t>
  </si>
  <si>
    <t>SURESH</t>
  </si>
  <si>
    <t>LABOUR UTINSIL</t>
  </si>
  <si>
    <t>CA KO SUBSIDY KA</t>
  </si>
  <si>
    <t>33699 CC INT, 233692 SOLAR KIST</t>
  </si>
  <si>
    <t>305752 LOAN KIST,126336 INT 329363 BILL</t>
  </si>
  <si>
    <t>SOLAR KIST</t>
  </si>
  <si>
    <t>305752 LOAN KIST, 119730 INT,450745 BILL</t>
  </si>
  <si>
    <t>SOLAR LIST</t>
  </si>
  <si>
    <t>RR</t>
  </si>
  <si>
    <t>DONATION</t>
  </si>
  <si>
    <t>305752 LOAN KIST,100177 OD INT</t>
  </si>
  <si>
    <t>15000 NEMARAM670COOK</t>
  </si>
  <si>
    <t>RO</t>
  </si>
  <si>
    <t>KITCHRN UPVC</t>
  </si>
  <si>
    <t>305735 LOAN KIST, 112840INT</t>
  </si>
  <si>
    <t>APRIL_2026</t>
  </si>
  <si>
    <t>233692 SOLAR KIST, 3002 CC INT</t>
  </si>
  <si>
    <t>50k sandeep, 5lac wppf</t>
  </si>
  <si>
    <t>233692 solar kist, 30893 cc int</t>
  </si>
  <si>
    <t>new gara tank started</t>
  </si>
  <si>
    <t>152088 BILL,305752 LOAN KIST, 110681 LOAN INT</t>
  </si>
  <si>
    <t>40678 AC, 3000 ROOM RENT</t>
  </si>
  <si>
    <t>wppf</t>
  </si>
  <si>
    <t>233692 SOLAER KIST,29260 CC INT,</t>
  </si>
  <si>
    <t>SANJAY TRV</t>
  </si>
  <si>
    <t>305752 LOAN KIST,105037INT97801 GST</t>
  </si>
  <si>
    <t>233692 SOLAR INST,31197 OD INT,</t>
  </si>
  <si>
    <t>1000 COOK,1400 KESHAR SINGH</t>
  </si>
  <si>
    <t>134513 BILL, 204733 GST</t>
  </si>
  <si>
    <t>305752 LOAN KIST,106396 INT</t>
  </si>
  <si>
    <t xml:space="preserve">MUKESH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</si>
</sst>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0"/>
      <color rgb="FF000000"/>
      <name val="Franklin Gothic Demi Cond"/>
      <family val="2"/>
    </font>
    <font>
      <b/>
      <sz val="10"/>
      <color rgb="FF00B050"/>
      <name val="Franklin Gothic Demi Cond"/>
      <family val="2"/>
    </font>
    <font>
      <b/>
      <sz val="10"/>
      <color rgb="FFFF0000"/>
      <name val="Franklin Gothic Demi Cond"/>
      <family val="2"/>
    </font>
    <font>
      <b/>
      <sz val="10"/>
      <color rgb="FF00B0F0"/>
      <name val="Franklin Gothic Demi Cond"/>
      <family val="2"/>
    </font>
    <font>
      <sz val="10"/>
      <color rgb="FF66FF66"/>
      <name val="Franklin Gothic Demi Cond"/>
      <family val="2"/>
    </font>
    <font>
      <b/>
      <sz val="10"/>
      <color theme="1"/>
      <name val="Franklin Gothic Demi Cond"/>
      <family val="2"/>
    </font>
    <font>
      <sz val="10"/>
      <color rgb="FF00CC66"/>
      <name val="Franklin Gothic Demi Cond"/>
      <family val="2"/>
    </font>
    <font>
      <b/>
      <sz val="10"/>
      <color rgb="FF66FF66"/>
      <name val="Franklin Gothic Demi Cond"/>
      <family val="2"/>
    </font>
    <font>
      <sz val="10"/>
      <name val="Franklin Gothic Demi Cond"/>
      <family val="2"/>
    </font>
    <font>
      <sz val="10"/>
      <color theme="1"/>
      <name val="Calibri"/>
      <family val="2"/>
      <scheme val="minor"/>
    </font>
    <font>
      <sz val="10"/>
      <color theme="1"/>
      <name val="Franklin Gothic Demi Cond"/>
      <family val="2"/>
    </font>
    <font>
      <b/>
      <sz val="10"/>
      <color rgb="FF7030A0"/>
      <name val="Franklin Gothic Demi Cond"/>
      <family val="2"/>
    </font>
    <font>
      <b/>
      <sz val="10"/>
      <name val="Franklin Gothic Demi Cond"/>
      <family val="2"/>
    </font>
    <font>
      <sz val="10"/>
      <color rgb="FF00B050"/>
      <name val="Franklin Gothic Demi Cond"/>
      <family val="2"/>
    </font>
    <font>
      <sz val="10"/>
      <color rgb="FF00B0F0"/>
      <name val="Franklin Gothic Demi Cond"/>
      <family val="2"/>
    </font>
    <font>
      <sz val="10"/>
      <color rgb="FFFF0000"/>
      <name val="Franklin Gothic Demi Cond"/>
      <family val="2"/>
    </font>
    <font>
      <sz val="10"/>
      <color rgb="FF00B050"/>
      <name val="Calibri"/>
      <family val="2"/>
      <scheme val="minor"/>
    </font>
    <font>
      <sz val="10"/>
      <color rgb="FF7030A0"/>
      <name val="Franklin Gothic Demi Cond"/>
      <family val="2"/>
    </font>
    <font>
      <b/>
      <sz val="10"/>
      <color rgb="FFFF00FF"/>
      <name val="Franklin Gothic Demi Cond"/>
      <family val="2"/>
    </font>
    <font>
      <sz val="10"/>
      <color rgb="FFFF00FF"/>
      <name val="Franklin Gothic Demi Cond"/>
      <family val="2"/>
    </font>
    <font>
      <sz val="10"/>
      <color rgb="FF00B0F0"/>
      <name val="Calibri"/>
      <family val="2"/>
      <scheme val="minor"/>
    </font>
    <font>
      <sz val="10"/>
      <name val="Calibri"/>
      <family val="2"/>
      <scheme val="minor"/>
    </font>
    <font>
      <sz val="10"/>
      <color rgb="FF7030A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FF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top"/>
    </xf>
    <xf numFmtId="0" fontId="8" fillId="2" borderId="2" xfId="0" applyFont="1" applyFill="1" applyBorder="1" applyAlignment="1">
      <alignment horizontal="center"/>
    </xf>
    <xf numFmtId="0" fontId="9" fillId="2" borderId="0" xfId="0" applyFont="1" applyFill="1"/>
    <xf numFmtId="0" fontId="10" fillId="0" borderId="0" xfId="0" applyFont="1"/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vertical="top"/>
    </xf>
    <xf numFmtId="0" fontId="8" fillId="2" borderId="3" xfId="0" applyFont="1" applyFill="1" applyBorder="1" applyAlignment="1">
      <alignment horizontal="center"/>
    </xf>
    <xf numFmtId="0" fontId="11" fillId="2" borderId="0" xfId="0" applyFont="1" applyFill="1"/>
    <xf numFmtId="0" fontId="6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12" fillId="0" borderId="0" xfId="0" applyFont="1"/>
    <xf numFmtId="0" fontId="11" fillId="3" borderId="0" xfId="0" applyFont="1" applyFill="1"/>
    <xf numFmtId="15" fontId="13" fillId="0" borderId="2" xfId="0" applyNumberFormat="1" applyFont="1" applyBorder="1"/>
    <xf numFmtId="0" fontId="1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3" fillId="0" borderId="2" xfId="0" applyFont="1" applyBorder="1"/>
    <xf numFmtId="0" fontId="11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1" xfId="0" applyFont="1" applyBorder="1"/>
    <xf numFmtId="0" fontId="4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9" fillId="3" borderId="0" xfId="0" applyFont="1" applyFill="1"/>
    <xf numFmtId="0" fontId="14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3" fillId="3" borderId="0" xfId="0" applyFont="1" applyFill="1"/>
    <xf numFmtId="0" fontId="6" fillId="3" borderId="0" xfId="0" applyFont="1" applyFill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4" fillId="3" borderId="0" xfId="0" applyFont="1" applyFill="1" applyAlignment="1">
      <alignment horizontal="left"/>
    </xf>
    <xf numFmtId="0" fontId="17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5" fillId="0" borderId="0" xfId="0" applyFont="1"/>
    <xf numFmtId="0" fontId="1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0" xfId="0" applyFont="1"/>
    <xf numFmtId="0" fontId="12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6" fillId="0" borderId="0" xfId="0" applyFont="1"/>
    <xf numFmtId="0" fontId="16" fillId="0" borderId="1" xfId="0" applyFont="1" applyBorder="1" applyAlignment="1">
      <alignment horizontal="center"/>
    </xf>
    <xf numFmtId="0" fontId="19" fillId="0" borderId="0" xfId="0" applyFont="1"/>
    <xf numFmtId="0" fontId="20" fillId="0" borderId="2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3" borderId="0" xfId="0" applyFont="1" applyFill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17" fillId="0" borderId="0" xfId="0" applyFont="1" applyAlignment="1">
      <alignment horizontal="center"/>
    </xf>
    <xf numFmtId="0" fontId="11" fillId="2" borderId="0" xfId="0" applyFont="1" applyFill="1" applyAlignment="1">
      <alignment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26" fillId="0" borderId="0" xfId="0" applyFont="1"/>
    <xf numFmtId="15" fontId="13" fillId="3" borderId="2" xfId="0" applyNumberFormat="1" applyFont="1" applyFill="1" applyBorder="1"/>
    <xf numFmtId="0" fontId="18" fillId="3" borderId="2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3" fillId="3" borderId="2" xfId="0" applyFont="1" applyFill="1" applyBorder="1"/>
    <xf numFmtId="15" fontId="13" fillId="0" borderId="1" xfId="0" applyNumberFormat="1" applyFont="1" applyBorder="1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0" fillId="0" borderId="2" xfId="0" applyBorder="1"/>
    <xf numFmtId="0" fontId="3" fillId="3" borderId="1" xfId="0" applyFont="1" applyFill="1" applyBorder="1"/>
    <xf numFmtId="0" fontId="20" fillId="0" borderId="0" xfId="0" applyFont="1"/>
    <xf numFmtId="0" fontId="27" fillId="0" borderId="0" xfId="0" applyFont="1"/>
    <xf numFmtId="0" fontId="28" fillId="0" borderId="0" xfId="0" applyFont="1"/>
    <xf numFmtId="0" fontId="6" fillId="0" borderId="4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38"/>
  <sheetViews>
    <sheetView topLeftCell="EO7" zoomScale="90" zoomScaleNormal="90" workbookViewId="0">
      <selection activeCell="FD34" sqref="FD34"/>
    </sheetView>
  </sheetViews>
  <sheetFormatPr defaultRowHeight="13.8" x14ac:dyDescent="0.3"/>
  <cols>
    <col min="1" max="1" width="10.5546875" style="8" bestFit="1" customWidth="1"/>
    <col min="2" max="2" width="9" style="8" customWidth="1"/>
    <col min="3" max="3" width="9" style="8" bestFit="1" customWidth="1"/>
    <col min="4" max="4" width="9.6640625" style="8" bestFit="1" customWidth="1"/>
    <col min="5" max="5" width="9" style="8" bestFit="1" customWidth="1"/>
    <col min="6" max="7" width="9" style="68" customWidth="1"/>
    <col min="8" max="13" width="9" style="8" bestFit="1" customWidth="1"/>
    <col min="14" max="14" width="6.44140625" style="8" customWidth="1"/>
    <col min="15" max="18" width="9" style="8" bestFit="1" customWidth="1"/>
    <col min="19" max="19" width="5.77734375" style="8" customWidth="1"/>
    <col min="20" max="20" width="9" style="8" bestFit="1" customWidth="1"/>
    <col min="21" max="21" width="9" style="68" bestFit="1" customWidth="1"/>
    <col min="22" max="25" width="9" style="8" bestFit="1" customWidth="1"/>
    <col min="26" max="26" width="8.88671875" style="8"/>
    <col min="27" max="27" width="9.6640625" style="8" bestFit="1" customWidth="1"/>
    <col min="28" max="28" width="3" style="8" customWidth="1"/>
    <col min="29" max="29" width="9.6640625" style="8" bestFit="1" customWidth="1"/>
    <col min="30" max="32" width="9" style="8" bestFit="1" customWidth="1"/>
    <col min="33" max="33" width="9.109375" style="8" bestFit="1" customWidth="1"/>
    <col min="34" max="34" width="6.5546875" style="8" bestFit="1" customWidth="1"/>
    <col min="35" max="35" width="7.77734375" style="8" bestFit="1" customWidth="1"/>
    <col min="36" max="36" width="9" style="8" bestFit="1" customWidth="1"/>
    <col min="37" max="37" width="8.21875" style="8" bestFit="1" customWidth="1"/>
    <col min="38" max="39" width="9" style="8" bestFit="1" customWidth="1"/>
    <col min="40" max="40" width="7" style="8" bestFit="1" customWidth="1"/>
    <col min="41" max="41" width="7.88671875" style="8" customWidth="1"/>
    <col min="42" max="42" width="6.5546875" style="8" bestFit="1" customWidth="1"/>
    <col min="43" max="43" width="7.109375" style="8" bestFit="1" customWidth="1"/>
    <col min="44" max="44" width="5.44140625" style="8" bestFit="1" customWidth="1"/>
    <col min="45" max="45" width="6.6640625" style="8" customWidth="1"/>
    <col min="46" max="46" width="6.77734375" style="8" bestFit="1" customWidth="1"/>
    <col min="47" max="48" width="9" style="8" bestFit="1" customWidth="1"/>
    <col min="49" max="49" width="6.88671875" style="8" bestFit="1" customWidth="1"/>
    <col min="50" max="52" width="9" style="8" bestFit="1" customWidth="1"/>
    <col min="53" max="53" width="5.44140625" style="8" bestFit="1" customWidth="1"/>
    <col min="54" max="54" width="8.88671875" style="8"/>
    <col min="55" max="55" width="9" style="8" bestFit="1" customWidth="1"/>
    <col min="56" max="56" width="2.33203125" style="8" customWidth="1"/>
    <col min="57" max="57" width="10" style="8" bestFit="1" customWidth="1"/>
    <col min="58" max="61" width="8.88671875" style="8"/>
    <col min="62" max="63" width="8.88671875" style="68"/>
    <col min="64" max="71" width="8.88671875" style="8"/>
    <col min="72" max="72" width="7" style="8" customWidth="1"/>
    <col min="73" max="76" width="8.88671875" style="8"/>
    <col min="77" max="77" width="8.88671875" style="68"/>
    <col min="78" max="83" width="8.88671875" style="8"/>
    <col min="84" max="84" width="1.5546875" style="8" customWidth="1"/>
    <col min="85" max="85" width="9.5546875" style="8" bestFit="1" customWidth="1"/>
    <col min="86" max="111" width="8.88671875" style="8"/>
    <col min="112" max="112" width="2.77734375" style="8" customWidth="1"/>
    <col min="113" max="113" width="9.77734375" style="8" bestFit="1" customWidth="1"/>
    <col min="114" max="119" width="8.88671875" style="8"/>
    <col min="120" max="120" width="7.88671875" style="8" customWidth="1"/>
    <col min="121" max="121" width="7.77734375" style="8" customWidth="1"/>
    <col min="122" max="122" width="7.88671875" style="8" customWidth="1"/>
    <col min="123" max="123" width="7.6640625" style="8" customWidth="1"/>
    <col min="124" max="126" width="8.88671875" style="8"/>
    <col min="127" max="127" width="7.109375" style="8" bestFit="1" customWidth="1"/>
    <col min="128" max="128" width="6" style="8" customWidth="1"/>
    <col min="129" max="129" width="7.6640625" style="8" customWidth="1"/>
    <col min="130" max="132" width="8.88671875" style="8"/>
    <col min="133" max="133" width="8.88671875" style="62"/>
    <col min="134" max="134" width="8.5546875" style="8" bestFit="1" customWidth="1"/>
    <col min="135" max="136" width="8.88671875" style="8"/>
    <col min="137" max="137" width="5.44140625" style="8" bestFit="1" customWidth="1"/>
    <col min="138" max="139" width="8.88671875" style="8"/>
    <col min="140" max="140" width="2" style="8" customWidth="1"/>
    <col min="141" max="141" width="10" style="8" bestFit="1" customWidth="1"/>
    <col min="142" max="142" width="8.109375" style="8" customWidth="1"/>
    <col min="143" max="143" width="8.77734375" style="8" customWidth="1"/>
    <col min="144" max="147" width="8.88671875" style="8"/>
    <col min="148" max="148" width="8.109375" style="8" customWidth="1"/>
    <col min="149" max="149" width="8.88671875" style="8"/>
    <col min="150" max="150" width="7.6640625" style="8" customWidth="1"/>
    <col min="151" max="153" width="8.88671875" style="8"/>
    <col min="154" max="154" width="7.77734375" style="8" bestFit="1" customWidth="1"/>
    <col min="155" max="155" width="7.109375" style="8" bestFit="1" customWidth="1"/>
    <col min="156" max="156" width="5" style="8" bestFit="1" customWidth="1"/>
    <col min="157" max="157" width="6.6640625" style="8" bestFit="1" customWidth="1"/>
    <col min="158" max="164" width="8.88671875" style="8"/>
    <col min="165" max="165" width="5.44140625" style="8" bestFit="1" customWidth="1"/>
    <col min="166" max="16384" width="8.88671875" style="8"/>
  </cols>
  <sheetData>
    <row r="1" spans="1:168" x14ac:dyDescent="0.3">
      <c r="A1" s="159" t="s">
        <v>0</v>
      </c>
      <c r="B1" s="144" t="s">
        <v>1</v>
      </c>
      <c r="C1" s="144" t="s">
        <v>2</v>
      </c>
      <c r="D1" s="146" t="s">
        <v>3</v>
      </c>
      <c r="E1" s="161" t="s">
        <v>36</v>
      </c>
      <c r="F1" s="63" t="s">
        <v>5</v>
      </c>
      <c r="G1" s="63" t="s">
        <v>6</v>
      </c>
      <c r="H1" s="3" t="s">
        <v>7</v>
      </c>
      <c r="I1" s="3" t="s">
        <v>38</v>
      </c>
      <c r="J1" s="4" t="s">
        <v>8</v>
      </c>
      <c r="K1" s="3" t="s">
        <v>9</v>
      </c>
      <c r="L1" s="146" t="s">
        <v>10</v>
      </c>
      <c r="M1" s="1" t="s">
        <v>39</v>
      </c>
      <c r="N1" s="3" t="s">
        <v>11</v>
      </c>
      <c r="O1" s="5" t="s">
        <v>37</v>
      </c>
      <c r="P1" s="145" t="s">
        <v>13</v>
      </c>
      <c r="Q1" s="143" t="s">
        <v>14</v>
      </c>
      <c r="R1" s="3" t="s">
        <v>15</v>
      </c>
      <c r="S1" s="151" t="s">
        <v>16</v>
      </c>
      <c r="T1" s="146" t="s">
        <v>17</v>
      </c>
      <c r="U1" s="69" t="s">
        <v>18</v>
      </c>
      <c r="V1" s="153" t="s">
        <v>19</v>
      </c>
      <c r="W1" s="155" t="s">
        <v>20</v>
      </c>
      <c r="X1" s="157" t="s">
        <v>21</v>
      </c>
      <c r="Y1" s="157" t="s">
        <v>22</v>
      </c>
      <c r="Z1" s="157" t="s">
        <v>17</v>
      </c>
      <c r="AA1" s="151" t="s">
        <v>4</v>
      </c>
      <c r="AB1" s="7"/>
      <c r="AC1" s="159" t="s">
        <v>0</v>
      </c>
      <c r="AD1" s="144" t="s">
        <v>1</v>
      </c>
      <c r="AE1" s="144" t="s">
        <v>2</v>
      </c>
      <c r="AF1" s="146" t="s">
        <v>3</v>
      </c>
      <c r="AG1" s="161" t="s">
        <v>36</v>
      </c>
      <c r="AH1" s="2" t="s">
        <v>5</v>
      </c>
      <c r="AI1" s="2" t="s">
        <v>6</v>
      </c>
      <c r="AJ1" s="3" t="s">
        <v>7</v>
      </c>
      <c r="AK1" s="3" t="s">
        <v>38</v>
      </c>
      <c r="AL1" s="4" t="s">
        <v>8</v>
      </c>
      <c r="AM1" s="3" t="s">
        <v>9</v>
      </c>
      <c r="AN1" s="146" t="s">
        <v>10</v>
      </c>
      <c r="AO1" s="1" t="s">
        <v>39</v>
      </c>
      <c r="AP1" s="3" t="s">
        <v>11</v>
      </c>
      <c r="AQ1" s="5" t="s">
        <v>37</v>
      </c>
      <c r="AR1" s="145" t="s">
        <v>13</v>
      </c>
      <c r="AS1" s="143" t="s">
        <v>14</v>
      </c>
      <c r="AT1" s="3" t="s">
        <v>15</v>
      </c>
      <c r="AU1" s="151" t="s">
        <v>16</v>
      </c>
      <c r="AV1" s="146" t="s">
        <v>17</v>
      </c>
      <c r="AW1" s="6" t="s">
        <v>18</v>
      </c>
      <c r="AX1" s="153" t="s">
        <v>19</v>
      </c>
      <c r="AY1" s="155" t="s">
        <v>20</v>
      </c>
      <c r="AZ1" s="157" t="s">
        <v>21</v>
      </c>
      <c r="BA1" s="157" t="s">
        <v>22</v>
      </c>
      <c r="BB1" s="157" t="s">
        <v>17</v>
      </c>
      <c r="BC1" s="151" t="s">
        <v>4</v>
      </c>
      <c r="BD1" s="7"/>
      <c r="BE1" s="159" t="s">
        <v>0</v>
      </c>
      <c r="BF1" s="144" t="s">
        <v>1</v>
      </c>
      <c r="BG1" s="144" t="s">
        <v>2</v>
      </c>
      <c r="BH1" s="146" t="s">
        <v>3</v>
      </c>
      <c r="BI1" s="161" t="s">
        <v>36</v>
      </c>
      <c r="BJ1" s="63" t="s">
        <v>5</v>
      </c>
      <c r="BK1" s="63" t="s">
        <v>6</v>
      </c>
      <c r="BL1" s="3" t="s">
        <v>7</v>
      </c>
      <c r="BM1" s="3" t="s">
        <v>38</v>
      </c>
      <c r="BN1" s="4" t="s">
        <v>8</v>
      </c>
      <c r="BO1" s="3" t="s">
        <v>9</v>
      </c>
      <c r="BP1" s="146" t="s">
        <v>10</v>
      </c>
      <c r="BQ1" s="1" t="s">
        <v>39</v>
      </c>
      <c r="BR1" s="3" t="s">
        <v>11</v>
      </c>
      <c r="BS1" s="5" t="s">
        <v>37</v>
      </c>
      <c r="BT1" s="145" t="s">
        <v>13</v>
      </c>
      <c r="BU1" s="143" t="s">
        <v>14</v>
      </c>
      <c r="BV1" s="3" t="s">
        <v>15</v>
      </c>
      <c r="BW1" s="151" t="s">
        <v>16</v>
      </c>
      <c r="BX1" s="146" t="s">
        <v>17</v>
      </c>
      <c r="BY1" s="69" t="s">
        <v>18</v>
      </c>
      <c r="BZ1" s="153" t="s">
        <v>19</v>
      </c>
      <c r="CA1" s="155" t="s">
        <v>20</v>
      </c>
      <c r="CB1" s="157" t="s">
        <v>21</v>
      </c>
      <c r="CC1" s="157" t="s">
        <v>22</v>
      </c>
      <c r="CD1" s="157" t="s">
        <v>17</v>
      </c>
      <c r="CE1" s="151" t="s">
        <v>4</v>
      </c>
      <c r="CF1" s="7"/>
      <c r="CG1" s="159" t="s">
        <v>0</v>
      </c>
      <c r="CH1" s="144" t="s">
        <v>1</v>
      </c>
      <c r="CI1" s="144" t="s">
        <v>2</v>
      </c>
      <c r="CJ1" s="146" t="s">
        <v>3</v>
      </c>
      <c r="CK1" s="161" t="s">
        <v>36</v>
      </c>
      <c r="CL1" s="2" t="s">
        <v>5</v>
      </c>
      <c r="CM1" s="2" t="s">
        <v>6</v>
      </c>
      <c r="CN1" s="3" t="s">
        <v>7</v>
      </c>
      <c r="CO1" s="3" t="s">
        <v>38</v>
      </c>
      <c r="CP1" s="4" t="s">
        <v>8</v>
      </c>
      <c r="CQ1" s="3" t="s">
        <v>9</v>
      </c>
      <c r="CR1" s="146" t="s">
        <v>10</v>
      </c>
      <c r="CS1" s="1" t="s">
        <v>39</v>
      </c>
      <c r="CT1" s="3" t="s">
        <v>11</v>
      </c>
      <c r="CU1" s="5" t="s">
        <v>37</v>
      </c>
      <c r="CV1" s="145" t="s">
        <v>13</v>
      </c>
      <c r="CW1" s="143" t="s">
        <v>14</v>
      </c>
      <c r="CX1" s="3" t="s">
        <v>15</v>
      </c>
      <c r="CY1" s="151" t="s">
        <v>16</v>
      </c>
      <c r="CZ1" s="146" t="s">
        <v>17</v>
      </c>
      <c r="DA1" s="6" t="s">
        <v>18</v>
      </c>
      <c r="DB1" s="153" t="s">
        <v>19</v>
      </c>
      <c r="DC1" s="155" t="s">
        <v>20</v>
      </c>
      <c r="DD1" s="157" t="s">
        <v>21</v>
      </c>
      <c r="DE1" s="157" t="s">
        <v>22</v>
      </c>
      <c r="DF1" s="157" t="s">
        <v>17</v>
      </c>
      <c r="DG1" s="151" t="s">
        <v>4</v>
      </c>
      <c r="DH1" s="7"/>
      <c r="DI1" s="159" t="s">
        <v>0</v>
      </c>
      <c r="DJ1" s="144" t="s">
        <v>1</v>
      </c>
      <c r="DK1" s="144" t="s">
        <v>2</v>
      </c>
      <c r="DL1" s="146" t="s">
        <v>3</v>
      </c>
      <c r="DM1" s="161" t="s">
        <v>36</v>
      </c>
      <c r="DN1" s="2" t="s">
        <v>5</v>
      </c>
      <c r="DO1" s="2" t="s">
        <v>6</v>
      </c>
      <c r="DP1" s="3" t="s">
        <v>7</v>
      </c>
      <c r="DQ1" s="3" t="s">
        <v>38</v>
      </c>
      <c r="DR1" s="4" t="s">
        <v>8</v>
      </c>
      <c r="DS1" s="3" t="s">
        <v>9</v>
      </c>
      <c r="DT1" s="146" t="s">
        <v>10</v>
      </c>
      <c r="DU1" s="1" t="s">
        <v>39</v>
      </c>
      <c r="DV1" s="3" t="s">
        <v>11</v>
      </c>
      <c r="DW1" s="5" t="s">
        <v>37</v>
      </c>
      <c r="DX1" s="145" t="s">
        <v>13</v>
      </c>
      <c r="DY1" s="143" t="s">
        <v>14</v>
      </c>
      <c r="DZ1" s="3" t="s">
        <v>15</v>
      </c>
      <c r="EA1" s="151" t="s">
        <v>16</v>
      </c>
      <c r="EB1" s="146" t="s">
        <v>17</v>
      </c>
      <c r="EC1" s="6" t="s">
        <v>18</v>
      </c>
      <c r="ED1" s="153" t="s">
        <v>19</v>
      </c>
      <c r="EE1" s="155" t="s">
        <v>20</v>
      </c>
      <c r="EF1" s="157" t="s">
        <v>21</v>
      </c>
      <c r="EG1" s="157" t="s">
        <v>22</v>
      </c>
      <c r="EH1" s="157" t="s">
        <v>17</v>
      </c>
      <c r="EI1" s="151" t="s">
        <v>4</v>
      </c>
      <c r="EJ1" s="7"/>
      <c r="EK1" s="159" t="s">
        <v>0</v>
      </c>
      <c r="EL1" s="144" t="s">
        <v>1</v>
      </c>
      <c r="EM1" s="144" t="s">
        <v>2</v>
      </c>
      <c r="EN1" s="146" t="s">
        <v>3</v>
      </c>
      <c r="EO1" s="161" t="s">
        <v>36</v>
      </c>
      <c r="EP1" s="2" t="s">
        <v>5</v>
      </c>
      <c r="EQ1" s="2" t="s">
        <v>6</v>
      </c>
      <c r="ER1" s="3" t="s">
        <v>7</v>
      </c>
      <c r="ES1" s="3" t="s">
        <v>38</v>
      </c>
      <c r="ET1" s="4" t="s">
        <v>8</v>
      </c>
      <c r="EU1" s="3" t="s">
        <v>9</v>
      </c>
      <c r="EV1" s="146" t="s">
        <v>10</v>
      </c>
      <c r="EW1" s="1" t="s">
        <v>39</v>
      </c>
      <c r="EX1" s="3" t="s">
        <v>11</v>
      </c>
      <c r="EY1" s="5" t="s">
        <v>37</v>
      </c>
      <c r="EZ1" s="145" t="s">
        <v>13</v>
      </c>
      <c r="FA1" s="143" t="s">
        <v>14</v>
      </c>
      <c r="FB1" s="3" t="s">
        <v>15</v>
      </c>
      <c r="FC1" s="151" t="s">
        <v>16</v>
      </c>
      <c r="FD1" s="146" t="s">
        <v>17</v>
      </c>
      <c r="FE1" s="6" t="s">
        <v>18</v>
      </c>
      <c r="FF1" s="153" t="s">
        <v>19</v>
      </c>
      <c r="FG1" s="155" t="s">
        <v>20</v>
      </c>
      <c r="FH1" s="157" t="s">
        <v>21</v>
      </c>
      <c r="FI1" s="157" t="s">
        <v>22</v>
      </c>
      <c r="FJ1" s="157" t="s">
        <v>17</v>
      </c>
      <c r="FK1" s="151" t="s">
        <v>4</v>
      </c>
      <c r="FL1" s="7"/>
    </row>
    <row r="2" spans="1:168" x14ac:dyDescent="0.3">
      <c r="A2" s="160"/>
      <c r="B2" s="147"/>
      <c r="C2" s="147"/>
      <c r="D2" s="148"/>
      <c r="E2" s="162"/>
      <c r="F2" s="64" t="s">
        <v>24</v>
      </c>
      <c r="G2" s="64" t="s">
        <v>25</v>
      </c>
      <c r="H2" s="12" t="s">
        <v>26</v>
      </c>
      <c r="I2" s="12"/>
      <c r="J2" s="13" t="s">
        <v>27</v>
      </c>
      <c r="K2" s="12" t="s">
        <v>28</v>
      </c>
      <c r="L2" s="148"/>
      <c r="M2" s="9"/>
      <c r="N2" s="12" t="s">
        <v>29</v>
      </c>
      <c r="O2" s="14" t="s">
        <v>3</v>
      </c>
      <c r="P2" s="149"/>
      <c r="Q2" s="150"/>
      <c r="R2" s="12" t="s">
        <v>30</v>
      </c>
      <c r="S2" s="152"/>
      <c r="T2" s="148"/>
      <c r="U2" s="70" t="s">
        <v>31</v>
      </c>
      <c r="V2" s="154"/>
      <c r="W2" s="156"/>
      <c r="X2" s="158"/>
      <c r="Y2" s="158"/>
      <c r="Z2" s="158"/>
      <c r="AA2" s="152"/>
      <c r="AB2" s="16"/>
      <c r="AC2" s="160"/>
      <c r="AD2" s="147"/>
      <c r="AE2" s="147"/>
      <c r="AF2" s="148"/>
      <c r="AG2" s="162"/>
      <c r="AH2" s="11" t="s">
        <v>24</v>
      </c>
      <c r="AI2" s="11" t="s">
        <v>25</v>
      </c>
      <c r="AJ2" s="12" t="s">
        <v>26</v>
      </c>
      <c r="AK2" s="12"/>
      <c r="AL2" s="13" t="s">
        <v>27</v>
      </c>
      <c r="AM2" s="12" t="s">
        <v>28</v>
      </c>
      <c r="AN2" s="148"/>
      <c r="AO2" s="9"/>
      <c r="AP2" s="12" t="s">
        <v>29</v>
      </c>
      <c r="AQ2" s="14" t="s">
        <v>3</v>
      </c>
      <c r="AR2" s="149"/>
      <c r="AS2" s="150"/>
      <c r="AT2" s="12" t="s">
        <v>30</v>
      </c>
      <c r="AU2" s="152"/>
      <c r="AV2" s="148"/>
      <c r="AW2" s="15" t="s">
        <v>31</v>
      </c>
      <c r="AX2" s="154"/>
      <c r="AY2" s="156"/>
      <c r="AZ2" s="158"/>
      <c r="BA2" s="158"/>
      <c r="BB2" s="158"/>
      <c r="BC2" s="152"/>
      <c r="BD2" s="16"/>
      <c r="BE2" s="160"/>
      <c r="BF2" s="147"/>
      <c r="BG2" s="147"/>
      <c r="BH2" s="148"/>
      <c r="BI2" s="162"/>
      <c r="BJ2" s="64" t="s">
        <v>24</v>
      </c>
      <c r="BK2" s="64" t="s">
        <v>25</v>
      </c>
      <c r="BL2" s="12" t="s">
        <v>26</v>
      </c>
      <c r="BM2" s="12"/>
      <c r="BN2" s="13" t="s">
        <v>27</v>
      </c>
      <c r="BO2" s="12" t="s">
        <v>28</v>
      </c>
      <c r="BP2" s="148"/>
      <c r="BQ2" s="9"/>
      <c r="BR2" s="12" t="s">
        <v>29</v>
      </c>
      <c r="BS2" s="14" t="s">
        <v>3</v>
      </c>
      <c r="BT2" s="149"/>
      <c r="BU2" s="150"/>
      <c r="BV2" s="12" t="s">
        <v>30</v>
      </c>
      <c r="BW2" s="152"/>
      <c r="BX2" s="148"/>
      <c r="BY2" s="70" t="s">
        <v>31</v>
      </c>
      <c r="BZ2" s="154"/>
      <c r="CA2" s="156"/>
      <c r="CB2" s="158"/>
      <c r="CC2" s="158"/>
      <c r="CD2" s="158"/>
      <c r="CE2" s="152"/>
      <c r="CF2" s="16"/>
      <c r="CG2" s="160"/>
      <c r="CH2" s="147"/>
      <c r="CI2" s="147"/>
      <c r="CJ2" s="148"/>
      <c r="CK2" s="162"/>
      <c r="CL2" s="11" t="s">
        <v>24</v>
      </c>
      <c r="CM2" s="11" t="s">
        <v>25</v>
      </c>
      <c r="CN2" s="12" t="s">
        <v>26</v>
      </c>
      <c r="CO2" s="12"/>
      <c r="CP2" s="13" t="s">
        <v>27</v>
      </c>
      <c r="CQ2" s="12" t="s">
        <v>28</v>
      </c>
      <c r="CR2" s="148"/>
      <c r="CS2" s="9"/>
      <c r="CT2" s="12" t="s">
        <v>29</v>
      </c>
      <c r="CU2" s="14" t="s">
        <v>3</v>
      </c>
      <c r="CV2" s="149"/>
      <c r="CW2" s="150"/>
      <c r="CX2" s="12" t="s">
        <v>30</v>
      </c>
      <c r="CY2" s="152"/>
      <c r="CZ2" s="148"/>
      <c r="DA2" s="15" t="s">
        <v>31</v>
      </c>
      <c r="DB2" s="154"/>
      <c r="DC2" s="156"/>
      <c r="DD2" s="158"/>
      <c r="DE2" s="158"/>
      <c r="DF2" s="158"/>
      <c r="DG2" s="152"/>
      <c r="DH2" s="16"/>
      <c r="DI2" s="160"/>
      <c r="DJ2" s="147"/>
      <c r="DK2" s="147"/>
      <c r="DL2" s="148"/>
      <c r="DM2" s="162"/>
      <c r="DN2" s="11" t="s">
        <v>24</v>
      </c>
      <c r="DO2" s="11" t="s">
        <v>25</v>
      </c>
      <c r="DP2" s="12" t="s">
        <v>26</v>
      </c>
      <c r="DQ2" s="12"/>
      <c r="DR2" s="13" t="s">
        <v>27</v>
      </c>
      <c r="DS2" s="12" t="s">
        <v>28</v>
      </c>
      <c r="DT2" s="148"/>
      <c r="DU2" s="9"/>
      <c r="DV2" s="12" t="s">
        <v>29</v>
      </c>
      <c r="DW2" s="14" t="s">
        <v>3</v>
      </c>
      <c r="DX2" s="149"/>
      <c r="DY2" s="150"/>
      <c r="DZ2" s="12" t="s">
        <v>30</v>
      </c>
      <c r="EA2" s="152"/>
      <c r="EB2" s="148"/>
      <c r="EC2" s="15" t="s">
        <v>31</v>
      </c>
      <c r="ED2" s="154"/>
      <c r="EE2" s="156"/>
      <c r="EF2" s="158"/>
      <c r="EG2" s="158"/>
      <c r="EH2" s="158"/>
      <c r="EI2" s="152"/>
      <c r="EJ2" s="16"/>
      <c r="EK2" s="160"/>
      <c r="EL2" s="147"/>
      <c r="EM2" s="147"/>
      <c r="EN2" s="148"/>
      <c r="EO2" s="162"/>
      <c r="EP2" s="11" t="s">
        <v>24</v>
      </c>
      <c r="EQ2" s="11" t="s">
        <v>25</v>
      </c>
      <c r="ER2" s="12" t="s">
        <v>26</v>
      </c>
      <c r="ES2" s="12"/>
      <c r="ET2" s="13" t="s">
        <v>27</v>
      </c>
      <c r="EU2" s="12" t="s">
        <v>28</v>
      </c>
      <c r="EV2" s="148"/>
      <c r="EW2" s="9"/>
      <c r="EX2" s="12" t="s">
        <v>29</v>
      </c>
      <c r="EY2" s="14" t="s">
        <v>3</v>
      </c>
      <c r="EZ2" s="149"/>
      <c r="FA2" s="150"/>
      <c r="FB2" s="12" t="s">
        <v>30</v>
      </c>
      <c r="FC2" s="152"/>
      <c r="FD2" s="148"/>
      <c r="FE2" s="15" t="s">
        <v>31</v>
      </c>
      <c r="FF2" s="154"/>
      <c r="FG2" s="156"/>
      <c r="FH2" s="158"/>
      <c r="FI2" s="158"/>
      <c r="FJ2" s="158"/>
      <c r="FK2" s="152"/>
      <c r="FL2" s="16"/>
    </row>
    <row r="3" spans="1:168" x14ac:dyDescent="0.3">
      <c r="A3" s="17"/>
      <c r="B3" s="18"/>
      <c r="C3" s="18"/>
      <c r="D3" s="19"/>
      <c r="E3" s="20"/>
      <c r="F3" s="65"/>
      <c r="G3" s="65"/>
      <c r="H3" s="142" t="s">
        <v>42</v>
      </c>
      <c r="I3" s="142"/>
      <c r="J3" s="142"/>
      <c r="K3" s="142"/>
      <c r="L3" s="142"/>
      <c r="M3" s="142"/>
      <c r="N3" s="142"/>
      <c r="O3" s="20"/>
      <c r="P3" s="20"/>
      <c r="Q3" s="17"/>
      <c r="R3" s="17"/>
      <c r="S3" s="19"/>
      <c r="T3" s="19"/>
      <c r="U3" s="18"/>
      <c r="V3" s="20"/>
      <c r="W3" s="23"/>
      <c r="X3" s="17"/>
      <c r="Y3" s="17"/>
      <c r="Z3" s="17"/>
      <c r="AA3" s="19"/>
      <c r="AB3" s="24"/>
      <c r="AC3" s="17"/>
      <c r="AD3" s="18"/>
      <c r="AE3" s="18"/>
      <c r="AF3" s="19"/>
      <c r="AG3" s="20"/>
      <c r="AH3" s="21"/>
      <c r="AI3" s="21"/>
      <c r="AJ3" s="142" t="s">
        <v>46</v>
      </c>
      <c r="AK3" s="142"/>
      <c r="AL3" s="142"/>
      <c r="AM3" s="142"/>
      <c r="AN3" s="142"/>
      <c r="AO3" s="142"/>
      <c r="AP3" s="142"/>
      <c r="AQ3" s="20"/>
      <c r="AR3" s="20"/>
      <c r="AS3" s="17"/>
      <c r="AT3" s="17"/>
      <c r="AU3" s="19"/>
      <c r="AV3" s="19"/>
      <c r="AW3" s="22"/>
      <c r="AX3" s="20"/>
      <c r="AY3" s="23"/>
      <c r="AZ3" s="17"/>
      <c r="BA3" s="17"/>
      <c r="BB3" s="17"/>
      <c r="BC3" s="19"/>
      <c r="BD3" s="24"/>
      <c r="BE3" s="17"/>
      <c r="BF3" s="18"/>
      <c r="BG3" s="18"/>
      <c r="BH3" s="19"/>
      <c r="BI3" s="20"/>
      <c r="BJ3" s="65"/>
      <c r="BK3" s="65"/>
      <c r="BL3" s="142" t="s">
        <v>45</v>
      </c>
      <c r="BM3" s="142"/>
      <c r="BN3" s="142"/>
      <c r="BO3" s="142"/>
      <c r="BP3" s="142"/>
      <c r="BQ3" s="142"/>
      <c r="BR3" s="142"/>
      <c r="BS3" s="20"/>
      <c r="BT3" s="20"/>
      <c r="BU3" s="17"/>
      <c r="BV3" s="17"/>
      <c r="BW3" s="19"/>
      <c r="BX3" s="19"/>
      <c r="BY3" s="18"/>
      <c r="BZ3" s="20"/>
      <c r="CA3" s="23"/>
      <c r="CB3" s="17"/>
      <c r="CC3" s="17"/>
      <c r="CD3" s="17"/>
      <c r="CE3" s="19"/>
      <c r="CF3" s="24"/>
      <c r="CG3" s="17"/>
      <c r="CH3" s="18"/>
      <c r="CI3" s="18"/>
      <c r="CJ3" s="19"/>
      <c r="CK3" s="20"/>
      <c r="CL3" s="21"/>
      <c r="CM3" s="21"/>
      <c r="CN3" s="142" t="s">
        <v>45</v>
      </c>
      <c r="CO3" s="142"/>
      <c r="CP3" s="142"/>
      <c r="CQ3" s="142"/>
      <c r="CR3" s="142"/>
      <c r="CS3" s="142"/>
      <c r="CT3" s="142"/>
      <c r="CU3" s="20"/>
      <c r="CV3" s="20"/>
      <c r="CW3" s="17"/>
      <c r="CX3" s="17"/>
      <c r="CY3" s="19"/>
      <c r="CZ3" s="19"/>
      <c r="DA3" s="22"/>
      <c r="DB3" s="20"/>
      <c r="DC3" s="23"/>
      <c r="DD3" s="17"/>
      <c r="DE3" s="17"/>
      <c r="DF3" s="17"/>
      <c r="DG3" s="19"/>
      <c r="DH3" s="24"/>
      <c r="DI3" s="17"/>
      <c r="DJ3" s="18"/>
      <c r="DK3" s="18"/>
      <c r="DL3" s="19"/>
      <c r="DM3" s="20"/>
      <c r="DN3" s="21"/>
      <c r="DO3" s="21"/>
      <c r="DP3" s="142" t="s">
        <v>45</v>
      </c>
      <c r="DQ3" s="142"/>
      <c r="DR3" s="142"/>
      <c r="DS3" s="142"/>
      <c r="DT3" s="142"/>
      <c r="DU3" s="142"/>
      <c r="DV3" s="142"/>
      <c r="DW3" s="20"/>
      <c r="DX3" s="20"/>
      <c r="DY3" s="17"/>
      <c r="DZ3" s="17"/>
      <c r="EA3" s="19"/>
      <c r="EB3" s="19"/>
      <c r="EC3" s="60"/>
      <c r="ED3" s="20"/>
      <c r="EE3" s="23"/>
      <c r="EF3" s="17"/>
      <c r="EG3" s="17"/>
      <c r="EH3" s="17"/>
      <c r="EI3" s="19"/>
      <c r="EJ3" s="24"/>
      <c r="EK3" s="17"/>
      <c r="EL3" s="18"/>
      <c r="EM3" s="18"/>
      <c r="EN3" s="19"/>
      <c r="EO3" s="20"/>
      <c r="EP3" s="21"/>
      <c r="EQ3" s="21"/>
      <c r="ER3" s="142" t="s">
        <v>45</v>
      </c>
      <c r="ES3" s="142"/>
      <c r="ET3" s="142"/>
      <c r="EU3" s="142"/>
      <c r="EV3" s="142"/>
      <c r="EW3" s="142"/>
      <c r="EX3" s="142"/>
      <c r="EY3" s="20"/>
      <c r="EZ3" s="20"/>
      <c r="FA3" s="17"/>
      <c r="FB3" s="17"/>
      <c r="FC3" s="19"/>
      <c r="FD3" s="19"/>
      <c r="FE3" s="22"/>
      <c r="FF3" s="20"/>
      <c r="FG3" s="23"/>
      <c r="FH3" s="17"/>
      <c r="FI3" s="17"/>
      <c r="FJ3" s="17"/>
      <c r="FK3" s="19"/>
      <c r="FL3" s="24"/>
    </row>
    <row r="4" spans="1:168" x14ac:dyDescent="0.3">
      <c r="A4" s="25">
        <v>45200</v>
      </c>
      <c r="B4" s="26" t="s">
        <v>32</v>
      </c>
      <c r="C4" s="26" t="s">
        <v>32</v>
      </c>
      <c r="D4" s="27">
        <f t="shared" ref="D4:D34" si="0">AA4</f>
        <v>0</v>
      </c>
      <c r="E4" s="28" t="s">
        <v>32</v>
      </c>
      <c r="F4" s="26" t="s">
        <v>32</v>
      </c>
      <c r="G4" s="26" t="s">
        <v>32</v>
      </c>
      <c r="H4" s="30" t="s">
        <v>32</v>
      </c>
      <c r="I4" s="30"/>
      <c r="J4" s="31" t="s">
        <v>32</v>
      </c>
      <c r="K4" s="30" t="s">
        <v>32</v>
      </c>
      <c r="L4" s="30" t="s">
        <v>32</v>
      </c>
      <c r="M4" s="30"/>
      <c r="N4" s="30"/>
      <c r="O4" s="28"/>
      <c r="P4" s="28" t="s">
        <v>32</v>
      </c>
      <c r="Q4" s="30" t="s">
        <v>32</v>
      </c>
      <c r="R4" s="30" t="s">
        <v>32</v>
      </c>
      <c r="S4" s="32" t="s">
        <v>32</v>
      </c>
      <c r="T4" s="32" t="s">
        <v>32</v>
      </c>
      <c r="U4" s="26" t="s">
        <v>32</v>
      </c>
      <c r="V4" s="28" t="s">
        <v>32</v>
      </c>
      <c r="W4" s="26" t="s">
        <v>32</v>
      </c>
      <c r="X4" s="30" t="s">
        <v>32</v>
      </c>
      <c r="Y4" s="30" t="s">
        <v>32</v>
      </c>
      <c r="Z4" s="30"/>
      <c r="AA4" s="33">
        <f>SUM(H4:Y4)</f>
        <v>0</v>
      </c>
      <c r="AB4" s="24"/>
      <c r="AC4" s="25">
        <v>45231</v>
      </c>
      <c r="AD4" s="26">
        <v>0</v>
      </c>
      <c r="AE4" s="26">
        <v>0</v>
      </c>
      <c r="AF4" s="27">
        <f t="shared" ref="AF4:AF34" si="1">BC4</f>
        <v>0</v>
      </c>
      <c r="AG4" s="28">
        <v>706</v>
      </c>
      <c r="AH4" s="29">
        <v>0</v>
      </c>
      <c r="AI4" s="29">
        <v>0</v>
      </c>
      <c r="AJ4" s="30" t="s">
        <v>32</v>
      </c>
      <c r="AK4" s="30"/>
      <c r="AL4" s="31" t="s">
        <v>32</v>
      </c>
      <c r="AM4" s="30" t="s">
        <v>32</v>
      </c>
      <c r="AN4" s="30" t="s">
        <v>32</v>
      </c>
      <c r="AO4" s="30"/>
      <c r="AP4" s="30"/>
      <c r="AQ4" s="28"/>
      <c r="AR4" s="28" t="s">
        <v>32</v>
      </c>
      <c r="AS4" s="30" t="s">
        <v>32</v>
      </c>
      <c r="AT4" s="30" t="s">
        <v>32</v>
      </c>
      <c r="AU4" s="32" t="s">
        <v>32</v>
      </c>
      <c r="AV4" s="32" t="s">
        <v>32</v>
      </c>
      <c r="AW4" s="29" t="s">
        <v>32</v>
      </c>
      <c r="AX4" s="28" t="s">
        <v>32</v>
      </c>
      <c r="AY4" s="26" t="s">
        <v>32</v>
      </c>
      <c r="AZ4" s="30" t="s">
        <v>32</v>
      </c>
      <c r="BA4" s="30" t="s">
        <v>32</v>
      </c>
      <c r="BB4" s="30"/>
      <c r="BC4" s="33">
        <f>SUM(AJ4:BA4)</f>
        <v>0</v>
      </c>
      <c r="BD4" s="24"/>
      <c r="BE4" s="25">
        <v>45261</v>
      </c>
      <c r="BF4" s="26">
        <v>0</v>
      </c>
      <c r="BG4" s="26">
        <v>0</v>
      </c>
      <c r="BH4" s="27">
        <f t="shared" ref="BH4:BH34" si="2">CE4</f>
        <v>0</v>
      </c>
      <c r="BI4" s="28">
        <v>1309</v>
      </c>
      <c r="BJ4" s="26">
        <v>1368</v>
      </c>
      <c r="BK4" s="26">
        <v>9.25</v>
      </c>
      <c r="BL4" s="30" t="s">
        <v>32</v>
      </c>
      <c r="BM4" s="30"/>
      <c r="BN4" s="31" t="s">
        <v>32</v>
      </c>
      <c r="BO4" s="30" t="s">
        <v>32</v>
      </c>
      <c r="BP4" s="30" t="s">
        <v>32</v>
      </c>
      <c r="BQ4" s="30"/>
      <c r="BR4" s="30"/>
      <c r="BS4" s="28"/>
      <c r="BT4" s="28" t="s">
        <v>32</v>
      </c>
      <c r="BU4" s="30" t="s">
        <v>32</v>
      </c>
      <c r="BV4" s="30" t="s">
        <v>32</v>
      </c>
      <c r="BW4" s="32" t="s">
        <v>32</v>
      </c>
      <c r="BX4" s="32" t="s">
        <v>32</v>
      </c>
      <c r="BY4" s="26" t="s">
        <v>32</v>
      </c>
      <c r="BZ4" s="28" t="s">
        <v>32</v>
      </c>
      <c r="CA4" s="26" t="s">
        <v>32</v>
      </c>
      <c r="CB4" s="30" t="s">
        <v>32</v>
      </c>
      <c r="CC4" s="30" t="s">
        <v>32</v>
      </c>
      <c r="CD4" s="30"/>
      <c r="CE4" s="33">
        <f>SUM(BL4:CC4)</f>
        <v>0</v>
      </c>
      <c r="CF4" s="24"/>
      <c r="CG4" s="25">
        <v>45292</v>
      </c>
      <c r="CH4" s="26">
        <v>0</v>
      </c>
      <c r="CI4" s="26">
        <v>0</v>
      </c>
      <c r="CJ4" s="27">
        <f t="shared" ref="CJ4:CJ34" si="3">DG4</f>
        <v>0</v>
      </c>
      <c r="CK4" s="28">
        <v>1682</v>
      </c>
      <c r="CL4" s="29">
        <v>1917</v>
      </c>
      <c r="CM4" s="29">
        <v>7.75</v>
      </c>
      <c r="CN4" s="30" t="s">
        <v>32</v>
      </c>
      <c r="CO4" s="30"/>
      <c r="CP4" s="31" t="s">
        <v>32</v>
      </c>
      <c r="CQ4" s="30" t="s">
        <v>32</v>
      </c>
      <c r="CR4" s="30" t="s">
        <v>32</v>
      </c>
      <c r="CS4" s="30"/>
      <c r="CT4" s="30"/>
      <c r="CU4" s="28"/>
      <c r="CV4" s="28" t="s">
        <v>32</v>
      </c>
      <c r="CW4" s="30" t="s">
        <v>32</v>
      </c>
      <c r="CX4" s="30" t="s">
        <v>32</v>
      </c>
      <c r="CY4" s="32" t="s">
        <v>32</v>
      </c>
      <c r="CZ4" s="32" t="s">
        <v>32</v>
      </c>
      <c r="DA4" s="29" t="s">
        <v>32</v>
      </c>
      <c r="DB4" s="28" t="s">
        <v>32</v>
      </c>
      <c r="DC4" s="26" t="s">
        <v>32</v>
      </c>
      <c r="DD4" s="30" t="s">
        <v>32</v>
      </c>
      <c r="DE4" s="30" t="s">
        <v>32</v>
      </c>
      <c r="DF4" s="30"/>
      <c r="DG4" s="33">
        <f>SUM(CN4:DE4)</f>
        <v>0</v>
      </c>
      <c r="DH4" s="24"/>
      <c r="DI4" s="25">
        <v>45323</v>
      </c>
      <c r="DJ4" s="26">
        <v>0</v>
      </c>
      <c r="DK4" s="26">
        <v>0</v>
      </c>
      <c r="DL4" s="27">
        <f t="shared" ref="DL4:DL34" si="4">EI4</f>
        <v>0</v>
      </c>
      <c r="DM4" s="59">
        <v>1388</v>
      </c>
      <c r="DN4" s="29">
        <v>877</v>
      </c>
      <c r="DO4" s="29">
        <v>10.4</v>
      </c>
      <c r="DP4" s="30" t="s">
        <v>32</v>
      </c>
      <c r="DQ4" s="30"/>
      <c r="DR4" s="31" t="s">
        <v>32</v>
      </c>
      <c r="DS4" s="30" t="s">
        <v>32</v>
      </c>
      <c r="DT4" s="30" t="s">
        <v>32</v>
      </c>
      <c r="DU4" s="30"/>
      <c r="DV4" s="30"/>
      <c r="DW4" s="28"/>
      <c r="DX4" s="28" t="s">
        <v>32</v>
      </c>
      <c r="DY4" s="30" t="s">
        <v>32</v>
      </c>
      <c r="DZ4" s="30" t="s">
        <v>32</v>
      </c>
      <c r="EA4" s="32" t="s">
        <v>32</v>
      </c>
      <c r="EB4" s="32" t="s">
        <v>32</v>
      </c>
      <c r="EC4" s="29" t="s">
        <v>32</v>
      </c>
      <c r="ED4" s="28" t="s">
        <v>32</v>
      </c>
      <c r="EE4" s="26" t="s">
        <v>32</v>
      </c>
      <c r="EF4" s="30" t="s">
        <v>32</v>
      </c>
      <c r="EG4" s="30" t="s">
        <v>32</v>
      </c>
      <c r="EH4" s="30"/>
      <c r="EI4" s="33">
        <f>SUM(DP4:EG4)</f>
        <v>0</v>
      </c>
      <c r="EJ4" s="24"/>
      <c r="EK4" s="25">
        <v>45352</v>
      </c>
      <c r="EL4" s="26">
        <v>0</v>
      </c>
      <c r="EM4" s="26">
        <v>0</v>
      </c>
      <c r="EN4" s="27">
        <f t="shared" ref="EN4:EN34" si="5">FK4</f>
        <v>0</v>
      </c>
      <c r="EO4" s="28">
        <v>2719</v>
      </c>
      <c r="EP4" s="29">
        <v>5140</v>
      </c>
      <c r="EQ4" s="29">
        <v>8.5</v>
      </c>
      <c r="ER4" s="30" t="s">
        <v>32</v>
      </c>
      <c r="ES4" s="30"/>
      <c r="ET4" s="31" t="s">
        <v>32</v>
      </c>
      <c r="EU4" s="30" t="s">
        <v>32</v>
      </c>
      <c r="EV4" s="30" t="s">
        <v>32</v>
      </c>
      <c r="EW4" s="30"/>
      <c r="EX4" s="30"/>
      <c r="EY4" s="28"/>
      <c r="EZ4" s="28" t="s">
        <v>32</v>
      </c>
      <c r="FA4" s="30" t="s">
        <v>32</v>
      </c>
      <c r="FB4" s="30" t="s">
        <v>32</v>
      </c>
      <c r="FC4" s="32" t="s">
        <v>32</v>
      </c>
      <c r="FD4" s="32" t="s">
        <v>32</v>
      </c>
      <c r="FE4" s="29" t="s">
        <v>32</v>
      </c>
      <c r="FF4" s="28" t="s">
        <v>32</v>
      </c>
      <c r="FG4" s="26" t="s">
        <v>32</v>
      </c>
      <c r="FH4" s="30" t="s">
        <v>32</v>
      </c>
      <c r="FI4" s="30" t="s">
        <v>32</v>
      </c>
      <c r="FJ4" s="30"/>
      <c r="FK4" s="33">
        <f>SUM(ER4:FI4)</f>
        <v>0</v>
      </c>
      <c r="FL4" s="24"/>
    </row>
    <row r="5" spans="1:168" x14ac:dyDescent="0.3">
      <c r="A5" s="25">
        <v>45201</v>
      </c>
      <c r="B5" s="26" t="s">
        <v>32</v>
      </c>
      <c r="C5" s="26" t="s">
        <v>32</v>
      </c>
      <c r="D5" s="27">
        <f t="shared" si="0"/>
        <v>0</v>
      </c>
      <c r="E5" s="28" t="s">
        <v>32</v>
      </c>
      <c r="F5" s="26" t="s">
        <v>32</v>
      </c>
      <c r="G5" s="26" t="s">
        <v>32</v>
      </c>
      <c r="H5" s="34" t="s">
        <v>32</v>
      </c>
      <c r="I5" s="34"/>
      <c r="J5" s="31" t="s">
        <v>32</v>
      </c>
      <c r="K5" s="34" t="s">
        <v>32</v>
      </c>
      <c r="L5" s="32" t="s">
        <v>32</v>
      </c>
      <c r="M5" s="32"/>
      <c r="N5" s="34" t="s">
        <v>32</v>
      </c>
      <c r="O5" s="28" t="s">
        <v>32</v>
      </c>
      <c r="P5" s="28" t="s">
        <v>32</v>
      </c>
      <c r="Q5" s="34" t="s">
        <v>32</v>
      </c>
      <c r="R5" s="34" t="s">
        <v>32</v>
      </c>
      <c r="S5" s="32" t="s">
        <v>32</v>
      </c>
      <c r="T5" s="32" t="s">
        <v>32</v>
      </c>
      <c r="U5" s="26" t="s">
        <v>32</v>
      </c>
      <c r="V5" s="28"/>
      <c r="W5" s="26" t="s">
        <v>32</v>
      </c>
      <c r="X5" s="34" t="s">
        <v>32</v>
      </c>
      <c r="Y5" s="34" t="s">
        <v>32</v>
      </c>
      <c r="Z5" s="34" t="s">
        <v>32</v>
      </c>
      <c r="AA5" s="33">
        <f>SUM(H5:Y5)</f>
        <v>0</v>
      </c>
      <c r="AB5" s="24"/>
      <c r="AC5" s="25">
        <v>45232</v>
      </c>
      <c r="AD5" s="26">
        <v>0</v>
      </c>
      <c r="AE5" s="26">
        <v>0</v>
      </c>
      <c r="AF5" s="27">
        <f t="shared" si="1"/>
        <v>0</v>
      </c>
      <c r="AG5" s="28">
        <v>837</v>
      </c>
      <c r="AH5" s="29">
        <v>0</v>
      </c>
      <c r="AI5" s="29">
        <v>2</v>
      </c>
      <c r="AJ5" s="34" t="s">
        <v>32</v>
      </c>
      <c r="AK5" s="34"/>
      <c r="AL5" s="31" t="s">
        <v>32</v>
      </c>
      <c r="AM5" s="34" t="s">
        <v>32</v>
      </c>
      <c r="AN5" s="32" t="s">
        <v>32</v>
      </c>
      <c r="AO5" s="32"/>
      <c r="AP5" s="34" t="s">
        <v>32</v>
      </c>
      <c r="AQ5" s="28" t="s">
        <v>32</v>
      </c>
      <c r="AR5" s="28" t="s">
        <v>32</v>
      </c>
      <c r="AS5" s="34" t="s">
        <v>32</v>
      </c>
      <c r="AT5" s="34" t="s">
        <v>32</v>
      </c>
      <c r="AU5" s="32" t="s">
        <v>32</v>
      </c>
      <c r="AV5" s="32" t="s">
        <v>32</v>
      </c>
      <c r="AW5" s="29" t="s">
        <v>32</v>
      </c>
      <c r="AX5" s="28"/>
      <c r="AY5" s="26" t="s">
        <v>32</v>
      </c>
      <c r="AZ5" s="34" t="s">
        <v>32</v>
      </c>
      <c r="BA5" s="34" t="s">
        <v>32</v>
      </c>
      <c r="BB5" s="34" t="s">
        <v>32</v>
      </c>
      <c r="BC5" s="33">
        <f>SUM(AJ5:BA5)</f>
        <v>0</v>
      </c>
      <c r="BD5" s="24"/>
      <c r="BE5" s="25">
        <v>45262</v>
      </c>
      <c r="BF5" s="26">
        <v>0</v>
      </c>
      <c r="BG5" s="26">
        <v>0</v>
      </c>
      <c r="BH5" s="27">
        <f t="shared" si="2"/>
        <v>0</v>
      </c>
      <c r="BI5" s="28">
        <v>1753</v>
      </c>
      <c r="BJ5" s="26">
        <v>3157</v>
      </c>
      <c r="BK5" s="26">
        <v>7</v>
      </c>
      <c r="BL5" s="34" t="s">
        <v>32</v>
      </c>
      <c r="BM5" s="34"/>
      <c r="BN5" s="31" t="s">
        <v>32</v>
      </c>
      <c r="BO5" s="34" t="s">
        <v>32</v>
      </c>
      <c r="BP5" s="32" t="s">
        <v>32</v>
      </c>
      <c r="BQ5" s="32"/>
      <c r="BR5" s="34" t="s">
        <v>32</v>
      </c>
      <c r="BS5" s="28" t="s">
        <v>32</v>
      </c>
      <c r="BT5" s="28" t="s">
        <v>32</v>
      </c>
      <c r="BU5" s="34" t="s">
        <v>32</v>
      </c>
      <c r="BV5" s="34" t="s">
        <v>32</v>
      </c>
      <c r="BW5" s="32" t="s">
        <v>32</v>
      </c>
      <c r="BX5" s="32" t="s">
        <v>32</v>
      </c>
      <c r="BY5" s="26" t="s">
        <v>32</v>
      </c>
      <c r="BZ5" s="28"/>
      <c r="CA5" s="26" t="s">
        <v>32</v>
      </c>
      <c r="CB5" s="34" t="s">
        <v>32</v>
      </c>
      <c r="CC5" s="34" t="s">
        <v>32</v>
      </c>
      <c r="CD5" s="34" t="s">
        <v>32</v>
      </c>
      <c r="CE5" s="33">
        <f>SUM(BL5:CC5)</f>
        <v>0</v>
      </c>
      <c r="CF5" s="24"/>
      <c r="CG5" s="25">
        <v>45293</v>
      </c>
      <c r="CH5" s="26">
        <v>0</v>
      </c>
      <c r="CI5" s="26">
        <v>0</v>
      </c>
      <c r="CJ5" s="27">
        <f t="shared" si="3"/>
        <v>0</v>
      </c>
      <c r="CK5" s="28">
        <v>1759</v>
      </c>
      <c r="CL5" s="29">
        <v>1848</v>
      </c>
      <c r="CM5" s="29">
        <v>5.5</v>
      </c>
      <c r="CN5" s="34" t="s">
        <v>32</v>
      </c>
      <c r="CO5" s="34"/>
      <c r="CP5" s="31" t="s">
        <v>32</v>
      </c>
      <c r="CQ5" s="34" t="s">
        <v>32</v>
      </c>
      <c r="CR5" s="32" t="s">
        <v>32</v>
      </c>
      <c r="CS5" s="32"/>
      <c r="CT5" s="34" t="s">
        <v>32</v>
      </c>
      <c r="CU5" s="28" t="s">
        <v>32</v>
      </c>
      <c r="CV5" s="28" t="s">
        <v>32</v>
      </c>
      <c r="CW5" s="34" t="s">
        <v>32</v>
      </c>
      <c r="CX5" s="34" t="s">
        <v>32</v>
      </c>
      <c r="CY5" s="32" t="s">
        <v>32</v>
      </c>
      <c r="CZ5" s="32" t="s">
        <v>32</v>
      </c>
      <c r="DA5" s="29" t="s">
        <v>32</v>
      </c>
      <c r="DB5" s="28"/>
      <c r="DC5" s="26" t="s">
        <v>32</v>
      </c>
      <c r="DD5" s="34" t="s">
        <v>32</v>
      </c>
      <c r="DE5" s="34" t="s">
        <v>32</v>
      </c>
      <c r="DF5" s="34" t="s">
        <v>32</v>
      </c>
      <c r="DG5" s="33">
        <f>SUM(CN5:DE5)</f>
        <v>0</v>
      </c>
      <c r="DH5" s="24"/>
      <c r="DI5" s="25">
        <v>45324</v>
      </c>
      <c r="DJ5" s="26">
        <v>0</v>
      </c>
      <c r="DK5" s="26">
        <v>0</v>
      </c>
      <c r="DL5" s="27">
        <f t="shared" si="4"/>
        <v>0</v>
      </c>
      <c r="DM5" s="28">
        <v>4183</v>
      </c>
      <c r="DN5" s="29">
        <v>1467</v>
      </c>
      <c r="DO5" s="29">
        <v>8.1999999999999993</v>
      </c>
      <c r="DP5" s="34" t="s">
        <v>32</v>
      </c>
      <c r="DQ5" s="34"/>
      <c r="DR5" s="31" t="s">
        <v>32</v>
      </c>
      <c r="DS5" s="34" t="s">
        <v>32</v>
      </c>
      <c r="DT5" s="32" t="s">
        <v>32</v>
      </c>
      <c r="DU5" s="32"/>
      <c r="DV5" s="34" t="s">
        <v>32</v>
      </c>
      <c r="DW5" s="28" t="s">
        <v>32</v>
      </c>
      <c r="DX5" s="28" t="s">
        <v>32</v>
      </c>
      <c r="DY5" s="34" t="s">
        <v>32</v>
      </c>
      <c r="DZ5" s="34" t="s">
        <v>32</v>
      </c>
      <c r="EA5" s="32" t="s">
        <v>32</v>
      </c>
      <c r="EB5" s="32" t="s">
        <v>32</v>
      </c>
      <c r="EC5" s="29" t="s">
        <v>32</v>
      </c>
      <c r="ED5" s="28"/>
      <c r="EE5" s="26" t="s">
        <v>32</v>
      </c>
      <c r="EF5" s="34" t="s">
        <v>32</v>
      </c>
      <c r="EG5" s="34" t="s">
        <v>32</v>
      </c>
      <c r="EH5" s="34" t="s">
        <v>32</v>
      </c>
      <c r="EI5" s="33">
        <f>SUM(DP5:EG5)</f>
        <v>0</v>
      </c>
      <c r="EJ5" s="24"/>
      <c r="EK5" s="25">
        <v>45353</v>
      </c>
      <c r="EL5" s="26">
        <v>0</v>
      </c>
      <c r="EM5" s="26">
        <v>0</v>
      </c>
      <c r="EN5" s="27">
        <f t="shared" si="5"/>
        <v>0</v>
      </c>
      <c r="EO5" s="28">
        <v>1352</v>
      </c>
      <c r="EP5" s="29">
        <v>2703</v>
      </c>
      <c r="EQ5" s="29">
        <v>4</v>
      </c>
      <c r="ER5" s="34" t="s">
        <v>32</v>
      </c>
      <c r="ES5" s="34"/>
      <c r="ET5" s="31" t="s">
        <v>32</v>
      </c>
      <c r="EU5" s="34" t="s">
        <v>32</v>
      </c>
      <c r="EV5" s="32" t="s">
        <v>32</v>
      </c>
      <c r="EW5" s="32"/>
      <c r="EX5" s="34" t="s">
        <v>32</v>
      </c>
      <c r="EY5" s="28" t="s">
        <v>32</v>
      </c>
      <c r="EZ5" s="28" t="s">
        <v>32</v>
      </c>
      <c r="FA5" s="34" t="s">
        <v>32</v>
      </c>
      <c r="FB5" s="34" t="s">
        <v>32</v>
      </c>
      <c r="FC5" s="32" t="s">
        <v>32</v>
      </c>
      <c r="FD5" s="32" t="s">
        <v>32</v>
      </c>
      <c r="FE5" s="29" t="s">
        <v>32</v>
      </c>
      <c r="FF5" s="28"/>
      <c r="FG5" s="26" t="s">
        <v>32</v>
      </c>
      <c r="FH5" s="34" t="s">
        <v>32</v>
      </c>
      <c r="FI5" s="34" t="s">
        <v>32</v>
      </c>
      <c r="FJ5" s="34" t="s">
        <v>32</v>
      </c>
      <c r="FK5" s="33">
        <f>SUM(ER5:FI5)</f>
        <v>0</v>
      </c>
      <c r="FL5" s="24"/>
    </row>
    <row r="6" spans="1:168" x14ac:dyDescent="0.3">
      <c r="A6" s="25">
        <v>45202</v>
      </c>
      <c r="B6" s="26" t="s">
        <v>32</v>
      </c>
      <c r="C6" s="26" t="s">
        <v>32</v>
      </c>
      <c r="D6" s="27">
        <f t="shared" si="0"/>
        <v>0</v>
      </c>
      <c r="E6" s="28" t="s">
        <v>32</v>
      </c>
      <c r="F6" s="26" t="s">
        <v>32</v>
      </c>
      <c r="G6" s="26" t="s">
        <v>32</v>
      </c>
      <c r="H6" s="34" t="s">
        <v>32</v>
      </c>
      <c r="I6" s="34"/>
      <c r="J6" s="31" t="s">
        <v>32</v>
      </c>
      <c r="K6" s="34" t="s">
        <v>32</v>
      </c>
      <c r="L6" s="32" t="s">
        <v>32</v>
      </c>
      <c r="M6" s="32"/>
      <c r="N6" s="34" t="s">
        <v>32</v>
      </c>
      <c r="O6" s="28" t="s">
        <v>32</v>
      </c>
      <c r="P6" s="28" t="s">
        <v>32</v>
      </c>
      <c r="Q6" s="34" t="s">
        <v>32</v>
      </c>
      <c r="R6" s="34" t="s">
        <v>32</v>
      </c>
      <c r="S6" s="32" t="s">
        <v>32</v>
      </c>
      <c r="T6" s="32" t="s">
        <v>32</v>
      </c>
      <c r="U6" s="26" t="s">
        <v>32</v>
      </c>
      <c r="V6" s="28" t="s">
        <v>32</v>
      </c>
      <c r="W6" s="26" t="s">
        <v>32</v>
      </c>
      <c r="X6" s="34" t="s">
        <v>32</v>
      </c>
      <c r="Y6" s="34" t="s">
        <v>32</v>
      </c>
      <c r="Z6" s="34" t="s">
        <v>32</v>
      </c>
      <c r="AA6" s="33">
        <f>SUM(H6:Z6)</f>
        <v>0</v>
      </c>
      <c r="AB6" s="24"/>
      <c r="AC6" s="25">
        <v>45233</v>
      </c>
      <c r="AD6" s="26">
        <v>0</v>
      </c>
      <c r="AE6" s="26">
        <v>0</v>
      </c>
      <c r="AF6" s="27">
        <f t="shared" si="1"/>
        <v>0</v>
      </c>
      <c r="AG6" s="28">
        <v>837</v>
      </c>
      <c r="AH6" s="29">
        <v>0</v>
      </c>
      <c r="AI6" s="29">
        <v>0</v>
      </c>
      <c r="AJ6" s="34" t="s">
        <v>32</v>
      </c>
      <c r="AK6" s="34"/>
      <c r="AL6" s="31" t="s">
        <v>32</v>
      </c>
      <c r="AM6" s="34" t="s">
        <v>32</v>
      </c>
      <c r="AN6" s="32" t="s">
        <v>32</v>
      </c>
      <c r="AO6" s="32"/>
      <c r="AP6" s="34" t="s">
        <v>32</v>
      </c>
      <c r="AQ6" s="28" t="s">
        <v>32</v>
      </c>
      <c r="AR6" s="28" t="s">
        <v>32</v>
      </c>
      <c r="AS6" s="34" t="s">
        <v>32</v>
      </c>
      <c r="AT6" s="34" t="s">
        <v>32</v>
      </c>
      <c r="AU6" s="32" t="s">
        <v>32</v>
      </c>
      <c r="AV6" s="32" t="s">
        <v>32</v>
      </c>
      <c r="AW6" s="29" t="s">
        <v>32</v>
      </c>
      <c r="AX6" s="28" t="s">
        <v>32</v>
      </c>
      <c r="AY6" s="26" t="s">
        <v>32</v>
      </c>
      <c r="AZ6" s="34" t="s">
        <v>32</v>
      </c>
      <c r="BA6" s="34" t="s">
        <v>32</v>
      </c>
      <c r="BB6" s="34" t="s">
        <v>32</v>
      </c>
      <c r="BC6" s="33">
        <f>SUM(AJ6:BB6)</f>
        <v>0</v>
      </c>
      <c r="BD6" s="24"/>
      <c r="BE6" s="25">
        <v>45263</v>
      </c>
      <c r="BF6" s="26">
        <v>0</v>
      </c>
      <c r="BG6" s="26">
        <v>0</v>
      </c>
      <c r="BH6" s="27">
        <f t="shared" si="2"/>
        <v>0</v>
      </c>
      <c r="BI6" s="28">
        <v>0</v>
      </c>
      <c r="BJ6" s="26">
        <v>1176</v>
      </c>
      <c r="BK6" s="26">
        <v>5.5</v>
      </c>
      <c r="BL6" s="34" t="s">
        <v>32</v>
      </c>
      <c r="BM6" s="34"/>
      <c r="BN6" s="31" t="s">
        <v>32</v>
      </c>
      <c r="BO6" s="34" t="s">
        <v>32</v>
      </c>
      <c r="BP6" s="32" t="s">
        <v>32</v>
      </c>
      <c r="BQ6" s="32"/>
      <c r="BR6" s="34" t="s">
        <v>32</v>
      </c>
      <c r="BS6" s="28" t="s">
        <v>32</v>
      </c>
      <c r="BT6" s="28" t="s">
        <v>32</v>
      </c>
      <c r="BU6" s="34" t="s">
        <v>32</v>
      </c>
      <c r="BV6" s="34" t="s">
        <v>32</v>
      </c>
      <c r="BW6" s="32" t="s">
        <v>32</v>
      </c>
      <c r="BX6" s="32" t="s">
        <v>32</v>
      </c>
      <c r="BY6" s="26" t="s">
        <v>32</v>
      </c>
      <c r="BZ6" s="28" t="s">
        <v>32</v>
      </c>
      <c r="CA6" s="26" t="s">
        <v>32</v>
      </c>
      <c r="CB6" s="34" t="s">
        <v>32</v>
      </c>
      <c r="CC6" s="34" t="s">
        <v>32</v>
      </c>
      <c r="CD6" s="34" t="s">
        <v>32</v>
      </c>
      <c r="CE6" s="33">
        <f>SUM(BL6:CD6)</f>
        <v>0</v>
      </c>
      <c r="CF6" s="24"/>
      <c r="CG6" s="25">
        <v>45294</v>
      </c>
      <c r="CH6" s="26">
        <v>0</v>
      </c>
      <c r="CI6" s="26">
        <v>0</v>
      </c>
      <c r="CJ6" s="27">
        <f t="shared" si="3"/>
        <v>0</v>
      </c>
      <c r="CK6" s="28">
        <v>2185</v>
      </c>
      <c r="CL6" s="29">
        <v>2695</v>
      </c>
      <c r="CM6" s="29">
        <v>9.5</v>
      </c>
      <c r="CN6" s="34" t="s">
        <v>32</v>
      </c>
      <c r="CO6" s="34"/>
      <c r="CP6" s="31" t="s">
        <v>32</v>
      </c>
      <c r="CQ6" s="34" t="s">
        <v>32</v>
      </c>
      <c r="CR6" s="32" t="s">
        <v>32</v>
      </c>
      <c r="CS6" s="32"/>
      <c r="CT6" s="34" t="s">
        <v>32</v>
      </c>
      <c r="CU6" s="28" t="s">
        <v>32</v>
      </c>
      <c r="CV6" s="28" t="s">
        <v>32</v>
      </c>
      <c r="CW6" s="34" t="s">
        <v>32</v>
      </c>
      <c r="CX6" s="34" t="s">
        <v>32</v>
      </c>
      <c r="CY6" s="32" t="s">
        <v>32</v>
      </c>
      <c r="CZ6" s="32" t="s">
        <v>32</v>
      </c>
      <c r="DA6" s="29" t="s">
        <v>32</v>
      </c>
      <c r="DB6" s="28" t="s">
        <v>32</v>
      </c>
      <c r="DC6" s="26" t="s">
        <v>32</v>
      </c>
      <c r="DD6" s="34" t="s">
        <v>32</v>
      </c>
      <c r="DE6" s="34" t="s">
        <v>32</v>
      </c>
      <c r="DF6" s="34" t="s">
        <v>32</v>
      </c>
      <c r="DG6" s="33">
        <f>SUM(CN6:DF6)</f>
        <v>0</v>
      </c>
      <c r="DH6" s="24"/>
      <c r="DI6" s="25">
        <v>45325</v>
      </c>
      <c r="DJ6" s="26">
        <v>16780</v>
      </c>
      <c r="DK6" s="26">
        <v>1039271</v>
      </c>
      <c r="DL6" s="27">
        <f t="shared" si="4"/>
        <v>172769</v>
      </c>
      <c r="DM6" s="28">
        <v>2890</v>
      </c>
      <c r="DN6" s="29">
        <v>0</v>
      </c>
      <c r="DO6" s="29">
        <v>10.25</v>
      </c>
      <c r="DP6" s="34">
        <v>13415</v>
      </c>
      <c r="DQ6" s="34">
        <v>16185</v>
      </c>
      <c r="DR6" s="31">
        <v>121200</v>
      </c>
      <c r="DS6" s="34" t="s">
        <v>32</v>
      </c>
      <c r="DT6" s="32" t="s">
        <v>32</v>
      </c>
      <c r="DU6" s="32" t="s">
        <v>32</v>
      </c>
      <c r="DV6" s="34">
        <v>20000</v>
      </c>
      <c r="DW6" s="28" t="s">
        <v>32</v>
      </c>
      <c r="DX6" s="28">
        <v>500</v>
      </c>
      <c r="DY6" s="34">
        <v>915</v>
      </c>
      <c r="DZ6" s="34" t="s">
        <v>32</v>
      </c>
      <c r="EA6" s="32" t="s">
        <v>32</v>
      </c>
      <c r="EB6" s="32" t="s">
        <v>32</v>
      </c>
      <c r="EC6" s="29">
        <v>554</v>
      </c>
      <c r="ED6" s="28" t="s">
        <v>32</v>
      </c>
      <c r="EE6" s="26" t="s">
        <v>32</v>
      </c>
      <c r="EF6" s="34" t="s">
        <v>32</v>
      </c>
      <c r="EG6" s="34" t="s">
        <v>32</v>
      </c>
      <c r="EH6" s="34" t="s">
        <v>32</v>
      </c>
      <c r="EI6" s="33">
        <f>SUM(DP6:EH6)</f>
        <v>172769</v>
      </c>
      <c r="EJ6" s="24"/>
      <c r="EK6" s="25">
        <v>45354</v>
      </c>
      <c r="EL6" s="26">
        <v>0</v>
      </c>
      <c r="EM6" s="26">
        <v>0</v>
      </c>
      <c r="EN6" s="27">
        <f t="shared" si="5"/>
        <v>0</v>
      </c>
      <c r="EO6" s="28">
        <v>1032</v>
      </c>
      <c r="EP6" s="29">
        <v>840</v>
      </c>
      <c r="EQ6" s="29">
        <v>6.5</v>
      </c>
      <c r="ER6" s="34" t="s">
        <v>32</v>
      </c>
      <c r="ES6" s="34"/>
      <c r="ET6" s="31" t="s">
        <v>32</v>
      </c>
      <c r="EU6" s="34" t="s">
        <v>32</v>
      </c>
      <c r="EV6" s="32" t="s">
        <v>32</v>
      </c>
      <c r="EW6" s="32"/>
      <c r="EX6" s="34" t="s">
        <v>32</v>
      </c>
      <c r="EY6" s="28" t="s">
        <v>32</v>
      </c>
      <c r="EZ6" s="28" t="s">
        <v>32</v>
      </c>
      <c r="FA6" s="34" t="s">
        <v>32</v>
      </c>
      <c r="FB6" s="34" t="s">
        <v>32</v>
      </c>
      <c r="FC6" s="32" t="s">
        <v>32</v>
      </c>
      <c r="FD6" s="32" t="s">
        <v>32</v>
      </c>
      <c r="FE6" s="29" t="s">
        <v>32</v>
      </c>
      <c r="FF6" s="28" t="s">
        <v>32</v>
      </c>
      <c r="FG6" s="26" t="s">
        <v>32</v>
      </c>
      <c r="FH6" s="34" t="s">
        <v>32</v>
      </c>
      <c r="FI6" s="34" t="s">
        <v>32</v>
      </c>
      <c r="FJ6" s="34" t="s">
        <v>32</v>
      </c>
      <c r="FK6" s="33">
        <f>SUM(ER6:FJ6)</f>
        <v>0</v>
      </c>
      <c r="FL6" s="24"/>
    </row>
    <row r="7" spans="1:168" x14ac:dyDescent="0.3">
      <c r="A7" s="25">
        <v>45203</v>
      </c>
      <c r="B7" s="26" t="s">
        <v>32</v>
      </c>
      <c r="C7" s="26" t="s">
        <v>32</v>
      </c>
      <c r="D7" s="27">
        <f t="shared" si="0"/>
        <v>0</v>
      </c>
      <c r="E7" s="28" t="s">
        <v>32</v>
      </c>
      <c r="F7" s="26" t="s">
        <v>32</v>
      </c>
      <c r="G7" s="26" t="s">
        <v>32</v>
      </c>
      <c r="H7" s="34" t="s">
        <v>32</v>
      </c>
      <c r="I7" s="34"/>
      <c r="J7" s="31" t="s">
        <v>32</v>
      </c>
      <c r="K7" s="34" t="s">
        <v>32</v>
      </c>
      <c r="L7" s="32" t="s">
        <v>32</v>
      </c>
      <c r="M7" s="32"/>
      <c r="N7" s="34"/>
      <c r="O7" s="28"/>
      <c r="P7" s="28" t="s">
        <v>32</v>
      </c>
      <c r="Q7" s="34" t="s">
        <v>32</v>
      </c>
      <c r="R7" s="34" t="s">
        <v>32</v>
      </c>
      <c r="S7" s="32" t="s">
        <v>32</v>
      </c>
      <c r="T7" s="32" t="s">
        <v>32</v>
      </c>
      <c r="U7" s="65" t="s">
        <v>32</v>
      </c>
      <c r="V7" s="28" t="s">
        <v>32</v>
      </c>
      <c r="W7" s="26" t="s">
        <v>32</v>
      </c>
      <c r="X7" s="34" t="s">
        <v>32</v>
      </c>
      <c r="Y7" s="34" t="s">
        <v>32</v>
      </c>
      <c r="Z7" s="34"/>
      <c r="AA7" s="33">
        <f>SUM(H7:Y7)</f>
        <v>0</v>
      </c>
      <c r="AB7" s="24"/>
      <c r="AC7" s="25">
        <v>45234</v>
      </c>
      <c r="AD7" s="26">
        <v>0</v>
      </c>
      <c r="AE7" s="26">
        <v>0</v>
      </c>
      <c r="AF7" s="27">
        <f t="shared" si="1"/>
        <v>0</v>
      </c>
      <c r="AG7" s="28">
        <v>1659</v>
      </c>
      <c r="AH7" s="29">
        <v>0</v>
      </c>
      <c r="AI7" s="29">
        <v>8</v>
      </c>
      <c r="AJ7" s="34" t="s">
        <v>32</v>
      </c>
      <c r="AK7" s="34"/>
      <c r="AL7" s="31" t="s">
        <v>32</v>
      </c>
      <c r="AM7" s="34" t="s">
        <v>32</v>
      </c>
      <c r="AN7" s="32" t="s">
        <v>32</v>
      </c>
      <c r="AO7" s="32"/>
      <c r="AP7" s="34"/>
      <c r="AQ7" s="28"/>
      <c r="AR7" s="28" t="s">
        <v>32</v>
      </c>
      <c r="AS7" s="34" t="s">
        <v>32</v>
      </c>
      <c r="AT7" s="34" t="s">
        <v>32</v>
      </c>
      <c r="AU7" s="32" t="s">
        <v>32</v>
      </c>
      <c r="AV7" s="32" t="s">
        <v>32</v>
      </c>
      <c r="AW7" s="21" t="s">
        <v>32</v>
      </c>
      <c r="AX7" s="28" t="s">
        <v>32</v>
      </c>
      <c r="AY7" s="26" t="s">
        <v>32</v>
      </c>
      <c r="AZ7" s="34" t="s">
        <v>32</v>
      </c>
      <c r="BA7" s="34" t="s">
        <v>32</v>
      </c>
      <c r="BB7" s="34"/>
      <c r="BC7" s="33">
        <f>SUM(AJ7:BA7)</f>
        <v>0</v>
      </c>
      <c r="BD7" s="24"/>
      <c r="BE7" s="25">
        <v>45264</v>
      </c>
      <c r="BF7" s="26">
        <v>7638</v>
      </c>
      <c r="BG7" s="26">
        <v>553956</v>
      </c>
      <c r="BH7" s="27">
        <f t="shared" si="2"/>
        <v>29980</v>
      </c>
      <c r="BI7" s="28">
        <v>1593</v>
      </c>
      <c r="BJ7" s="26">
        <v>0</v>
      </c>
      <c r="BK7" s="26">
        <v>2</v>
      </c>
      <c r="BL7" s="34" t="s">
        <v>32</v>
      </c>
      <c r="BM7" s="34"/>
      <c r="BN7" s="31" t="s">
        <v>32</v>
      </c>
      <c r="BO7" s="34" t="s">
        <v>32</v>
      </c>
      <c r="BP7" s="32">
        <v>15000</v>
      </c>
      <c r="BQ7" s="32">
        <v>14100</v>
      </c>
      <c r="BR7" s="34"/>
      <c r="BS7" s="28"/>
      <c r="BT7" s="28" t="s">
        <v>32</v>
      </c>
      <c r="BU7" s="34">
        <v>880</v>
      </c>
      <c r="BV7" s="34" t="s">
        <v>32</v>
      </c>
      <c r="BW7" s="32" t="s">
        <v>32</v>
      </c>
      <c r="BX7" s="32" t="s">
        <v>32</v>
      </c>
      <c r="BY7" s="65" t="s">
        <v>32</v>
      </c>
      <c r="BZ7" s="28" t="s">
        <v>32</v>
      </c>
      <c r="CA7" s="26" t="s">
        <v>32</v>
      </c>
      <c r="CB7" s="34" t="s">
        <v>32</v>
      </c>
      <c r="CC7" s="34" t="s">
        <v>32</v>
      </c>
      <c r="CD7" s="34"/>
      <c r="CE7" s="33">
        <f>SUM(BL7:CC7)</f>
        <v>29980</v>
      </c>
      <c r="CF7" s="24"/>
      <c r="CG7" s="25">
        <v>45295</v>
      </c>
      <c r="CH7" s="26">
        <v>0</v>
      </c>
      <c r="CI7" s="26">
        <v>0</v>
      </c>
      <c r="CJ7" s="27">
        <f t="shared" si="3"/>
        <v>0</v>
      </c>
      <c r="CK7" s="28">
        <v>1998</v>
      </c>
      <c r="CL7" s="29">
        <v>1156</v>
      </c>
      <c r="CM7" s="29">
        <v>6.5</v>
      </c>
      <c r="CN7" s="34" t="s">
        <v>32</v>
      </c>
      <c r="CO7" s="34"/>
      <c r="CP7" s="31" t="s">
        <v>32</v>
      </c>
      <c r="CQ7" s="34" t="s">
        <v>32</v>
      </c>
      <c r="CR7" s="32" t="s">
        <v>32</v>
      </c>
      <c r="CS7" s="32"/>
      <c r="CT7" s="34"/>
      <c r="CU7" s="28"/>
      <c r="CV7" s="28" t="s">
        <v>32</v>
      </c>
      <c r="CW7" s="34" t="s">
        <v>32</v>
      </c>
      <c r="CX7" s="34" t="s">
        <v>32</v>
      </c>
      <c r="CY7" s="32" t="s">
        <v>32</v>
      </c>
      <c r="CZ7" s="32" t="s">
        <v>32</v>
      </c>
      <c r="DA7" s="21" t="s">
        <v>32</v>
      </c>
      <c r="DB7" s="28" t="s">
        <v>32</v>
      </c>
      <c r="DC7" s="26" t="s">
        <v>32</v>
      </c>
      <c r="DD7" s="34" t="s">
        <v>32</v>
      </c>
      <c r="DE7" s="34" t="s">
        <v>32</v>
      </c>
      <c r="DF7" s="34"/>
      <c r="DG7" s="33">
        <f>SUM(CN7:DE7)</f>
        <v>0</v>
      </c>
      <c r="DH7" s="24"/>
      <c r="DI7" s="25">
        <v>45326</v>
      </c>
      <c r="DJ7" s="26">
        <v>3750</v>
      </c>
      <c r="DK7" s="26">
        <v>291614</v>
      </c>
      <c r="DL7" s="27">
        <f t="shared" si="4"/>
        <v>2180</v>
      </c>
      <c r="DM7" s="28">
        <v>2551</v>
      </c>
      <c r="DN7" s="29">
        <v>5736</v>
      </c>
      <c r="DO7" s="29">
        <v>9.4</v>
      </c>
      <c r="DP7" s="34" t="s">
        <v>32</v>
      </c>
      <c r="DQ7" s="34"/>
      <c r="DR7" s="31" t="s">
        <v>32</v>
      </c>
      <c r="DS7" s="34" t="s">
        <v>32</v>
      </c>
      <c r="DT7" s="32">
        <v>1180</v>
      </c>
      <c r="DU7" s="32"/>
      <c r="DV7" s="34"/>
      <c r="DW7" s="28"/>
      <c r="DX7" s="28" t="s">
        <v>32</v>
      </c>
      <c r="DY7" s="34" t="s">
        <v>32</v>
      </c>
      <c r="DZ7" s="34" t="s">
        <v>32</v>
      </c>
      <c r="EA7" s="32" t="s">
        <v>32</v>
      </c>
      <c r="EB7" s="32" t="s">
        <v>32</v>
      </c>
      <c r="EC7" s="61">
        <v>1000</v>
      </c>
      <c r="ED7" s="28" t="s">
        <v>32</v>
      </c>
      <c r="EE7" s="26" t="s">
        <v>32</v>
      </c>
      <c r="EF7" s="34" t="s">
        <v>32</v>
      </c>
      <c r="EG7" s="34" t="s">
        <v>32</v>
      </c>
      <c r="EH7" s="34"/>
      <c r="EI7" s="33">
        <f>SUM(DP7:EG7)</f>
        <v>2180</v>
      </c>
      <c r="EJ7" s="24"/>
      <c r="EK7" s="25">
        <v>45355</v>
      </c>
      <c r="EL7" s="26">
        <v>0</v>
      </c>
      <c r="EM7" s="26">
        <v>0</v>
      </c>
      <c r="EN7" s="27">
        <f t="shared" si="5"/>
        <v>0</v>
      </c>
      <c r="EO7" s="28">
        <v>0</v>
      </c>
      <c r="EP7" s="29">
        <v>2782</v>
      </c>
      <c r="EQ7" s="29">
        <v>5.05</v>
      </c>
      <c r="ER7" s="34" t="s">
        <v>32</v>
      </c>
      <c r="ES7" s="34"/>
      <c r="ET7" s="31" t="s">
        <v>32</v>
      </c>
      <c r="EU7" s="34" t="s">
        <v>32</v>
      </c>
      <c r="EV7" s="32" t="s">
        <v>32</v>
      </c>
      <c r="EW7" s="32"/>
      <c r="EX7" s="34"/>
      <c r="EY7" s="28"/>
      <c r="EZ7" s="28" t="s">
        <v>32</v>
      </c>
      <c r="FA7" s="34" t="s">
        <v>32</v>
      </c>
      <c r="FB7" s="34" t="s">
        <v>32</v>
      </c>
      <c r="FC7" s="32" t="s">
        <v>32</v>
      </c>
      <c r="FD7" s="32" t="s">
        <v>32</v>
      </c>
      <c r="FE7" s="21" t="s">
        <v>32</v>
      </c>
      <c r="FF7" s="28" t="s">
        <v>32</v>
      </c>
      <c r="FG7" s="26" t="s">
        <v>32</v>
      </c>
      <c r="FH7" s="34" t="s">
        <v>32</v>
      </c>
      <c r="FI7" s="34" t="s">
        <v>32</v>
      </c>
      <c r="FJ7" s="34"/>
      <c r="FK7" s="33">
        <f>SUM(ER7:FI7)</f>
        <v>0</v>
      </c>
      <c r="FL7" s="24"/>
    </row>
    <row r="8" spans="1:168" x14ac:dyDescent="0.3">
      <c r="A8" s="25">
        <v>45204</v>
      </c>
      <c r="B8" s="26" t="s">
        <v>32</v>
      </c>
      <c r="C8" s="26" t="s">
        <v>32</v>
      </c>
      <c r="D8" s="27">
        <f t="shared" si="0"/>
        <v>0</v>
      </c>
      <c r="E8" s="28" t="s">
        <v>32</v>
      </c>
      <c r="F8" s="26" t="s">
        <v>32</v>
      </c>
      <c r="G8" s="26" t="s">
        <v>32</v>
      </c>
      <c r="H8" s="34" t="s">
        <v>32</v>
      </c>
      <c r="I8" s="34"/>
      <c r="J8" s="31" t="s">
        <v>32</v>
      </c>
      <c r="K8" s="34" t="s">
        <v>32</v>
      </c>
      <c r="L8" s="32" t="s">
        <v>32</v>
      </c>
      <c r="M8" s="32"/>
      <c r="N8" s="34" t="s">
        <v>32</v>
      </c>
      <c r="O8" s="28"/>
      <c r="P8" s="28" t="s">
        <v>32</v>
      </c>
      <c r="Q8" s="34" t="s">
        <v>32</v>
      </c>
      <c r="R8" s="34" t="s">
        <v>32</v>
      </c>
      <c r="S8" s="32" t="s">
        <v>32</v>
      </c>
      <c r="T8" s="32" t="s">
        <v>33</v>
      </c>
      <c r="U8" s="26" t="s">
        <v>32</v>
      </c>
      <c r="V8" s="28" t="s">
        <v>32</v>
      </c>
      <c r="W8" s="26" t="s">
        <v>32</v>
      </c>
      <c r="X8" s="34" t="s">
        <v>32</v>
      </c>
      <c r="Y8" s="34" t="s">
        <v>32</v>
      </c>
      <c r="Z8" s="34" t="s">
        <v>32</v>
      </c>
      <c r="AA8" s="33">
        <f>SUM(H8:Z8)</f>
        <v>0</v>
      </c>
      <c r="AB8" s="24"/>
      <c r="AC8" s="25">
        <v>45235</v>
      </c>
      <c r="AD8" s="26">
        <v>0</v>
      </c>
      <c r="AE8" s="26">
        <v>0</v>
      </c>
      <c r="AF8" s="27">
        <f t="shared" si="1"/>
        <v>48990</v>
      </c>
      <c r="AG8" s="28">
        <v>1047</v>
      </c>
      <c r="AH8" s="29">
        <v>1714</v>
      </c>
      <c r="AI8" s="29">
        <v>7.5</v>
      </c>
      <c r="AJ8" s="34" t="s">
        <v>32</v>
      </c>
      <c r="AK8" s="34"/>
      <c r="AL8" s="31" t="s">
        <v>32</v>
      </c>
      <c r="AM8" s="34" t="s">
        <v>32</v>
      </c>
      <c r="AN8" s="32" t="s">
        <v>32</v>
      </c>
      <c r="AO8" s="32">
        <v>35230</v>
      </c>
      <c r="AP8" s="34">
        <v>5020</v>
      </c>
      <c r="AQ8" s="28">
        <v>300</v>
      </c>
      <c r="AR8" s="28">
        <v>500</v>
      </c>
      <c r="AS8" s="34">
        <v>3140</v>
      </c>
      <c r="AT8" s="34" t="s">
        <v>32</v>
      </c>
      <c r="AU8" s="32" t="s">
        <v>32</v>
      </c>
      <c r="AV8" s="32" t="s">
        <v>33</v>
      </c>
      <c r="AW8" s="29" t="s">
        <v>32</v>
      </c>
      <c r="AX8" s="28" t="s">
        <v>32</v>
      </c>
      <c r="AY8" s="26" t="s">
        <v>32</v>
      </c>
      <c r="AZ8" s="34" t="s">
        <v>32</v>
      </c>
      <c r="BA8" s="34">
        <v>4800</v>
      </c>
      <c r="BB8" s="34" t="s">
        <v>44</v>
      </c>
      <c r="BC8" s="33">
        <f>SUM(AJ8:BB8)</f>
        <v>48990</v>
      </c>
      <c r="BD8" s="24"/>
      <c r="BE8" s="25">
        <v>45265</v>
      </c>
      <c r="BF8" s="26">
        <v>0</v>
      </c>
      <c r="BG8" s="26">
        <v>0</v>
      </c>
      <c r="BH8" s="27">
        <f t="shared" si="2"/>
        <v>200000</v>
      </c>
      <c r="BI8" s="28">
        <v>1968</v>
      </c>
      <c r="BJ8" s="26">
        <v>1958</v>
      </c>
      <c r="BK8" s="26">
        <v>6.5</v>
      </c>
      <c r="BL8" s="34" t="s">
        <v>32</v>
      </c>
      <c r="BM8" s="34"/>
      <c r="BN8" s="31">
        <v>200000</v>
      </c>
      <c r="BO8" s="34" t="s">
        <v>32</v>
      </c>
      <c r="BP8" s="32" t="s">
        <v>32</v>
      </c>
      <c r="BQ8" s="32" t="s">
        <v>32</v>
      </c>
      <c r="BR8" s="34" t="s">
        <v>32</v>
      </c>
      <c r="BS8" s="28" t="s">
        <v>32</v>
      </c>
      <c r="BT8" s="28" t="s">
        <v>32</v>
      </c>
      <c r="BU8" s="34" t="s">
        <v>32</v>
      </c>
      <c r="BV8" s="34" t="s">
        <v>32</v>
      </c>
      <c r="BW8" s="32" t="s">
        <v>32</v>
      </c>
      <c r="BX8" s="32" t="s">
        <v>33</v>
      </c>
      <c r="BY8" s="26" t="s">
        <v>32</v>
      </c>
      <c r="BZ8" s="28" t="s">
        <v>32</v>
      </c>
      <c r="CA8" s="26" t="s">
        <v>32</v>
      </c>
      <c r="CB8" s="34" t="s">
        <v>32</v>
      </c>
      <c r="CC8" s="34" t="s">
        <v>32</v>
      </c>
      <c r="CD8" s="34" t="s">
        <v>32</v>
      </c>
      <c r="CE8" s="33">
        <f>SUM(BL8:CD8)</f>
        <v>200000</v>
      </c>
      <c r="CF8" s="24"/>
      <c r="CG8" s="25">
        <v>45296</v>
      </c>
      <c r="CH8" s="26">
        <v>25345</v>
      </c>
      <c r="CI8" s="26">
        <v>1699618</v>
      </c>
      <c r="CJ8" s="27">
        <f t="shared" si="3"/>
        <v>64505</v>
      </c>
      <c r="CK8" s="28">
        <v>1799</v>
      </c>
      <c r="CL8" s="29">
        <v>1176</v>
      </c>
      <c r="CM8" s="29">
        <v>7</v>
      </c>
      <c r="CN8" s="34" t="s">
        <v>32</v>
      </c>
      <c r="CO8" s="34"/>
      <c r="CP8" s="31" t="s">
        <v>32</v>
      </c>
      <c r="CQ8" s="34" t="s">
        <v>32</v>
      </c>
      <c r="CR8" s="32">
        <v>5400</v>
      </c>
      <c r="CS8" s="32"/>
      <c r="CT8" s="34">
        <v>6000</v>
      </c>
      <c r="CU8" s="28" t="s">
        <v>32</v>
      </c>
      <c r="CV8" s="28" t="s">
        <v>32</v>
      </c>
      <c r="CW8" s="34">
        <v>3105</v>
      </c>
      <c r="CX8" s="34" t="s">
        <v>32</v>
      </c>
      <c r="CY8" s="32" t="s">
        <v>32</v>
      </c>
      <c r="CZ8" s="32" t="s">
        <v>33</v>
      </c>
      <c r="DA8" s="29" t="s">
        <v>32</v>
      </c>
      <c r="DB8" s="28" t="s">
        <v>32</v>
      </c>
      <c r="DC8" s="26">
        <v>50000</v>
      </c>
      <c r="DD8" s="34" t="s">
        <v>57</v>
      </c>
      <c r="DE8" s="34" t="s">
        <v>32</v>
      </c>
      <c r="DF8" s="34" t="s">
        <v>32</v>
      </c>
      <c r="DG8" s="33">
        <f>SUM(CN8:DF8)</f>
        <v>64505</v>
      </c>
      <c r="DH8" s="24"/>
      <c r="DI8" s="25">
        <v>45327</v>
      </c>
      <c r="DJ8" s="26">
        <v>0</v>
      </c>
      <c r="DK8" s="26">
        <v>0</v>
      </c>
      <c r="DL8" s="27">
        <f t="shared" si="4"/>
        <v>0</v>
      </c>
      <c r="DM8" s="28">
        <v>1224</v>
      </c>
      <c r="DN8" s="29">
        <v>2504</v>
      </c>
      <c r="DO8" s="29">
        <v>8.25</v>
      </c>
      <c r="DP8" s="34" t="s">
        <v>32</v>
      </c>
      <c r="DQ8" s="34"/>
      <c r="DR8" s="31" t="s">
        <v>32</v>
      </c>
      <c r="DS8" s="34" t="s">
        <v>32</v>
      </c>
      <c r="DT8" s="32" t="s">
        <v>32</v>
      </c>
      <c r="DU8" s="32" t="s">
        <v>32</v>
      </c>
      <c r="DV8" s="34" t="s">
        <v>32</v>
      </c>
      <c r="DW8" s="28" t="s">
        <v>32</v>
      </c>
      <c r="DX8" s="28" t="s">
        <v>32</v>
      </c>
      <c r="DY8" s="34" t="s">
        <v>32</v>
      </c>
      <c r="DZ8" s="34" t="s">
        <v>32</v>
      </c>
      <c r="EA8" s="32" t="s">
        <v>32</v>
      </c>
      <c r="EB8" s="32" t="s">
        <v>33</v>
      </c>
      <c r="EC8" s="29" t="s">
        <v>32</v>
      </c>
      <c r="ED8" s="28" t="s">
        <v>32</v>
      </c>
      <c r="EE8" s="26" t="s">
        <v>32</v>
      </c>
      <c r="EF8" s="34" t="s">
        <v>32</v>
      </c>
      <c r="EG8" s="34" t="s">
        <v>32</v>
      </c>
      <c r="EH8" s="34" t="s">
        <v>32</v>
      </c>
      <c r="EI8" s="33">
        <f>SUM(DP8:EH8)</f>
        <v>0</v>
      </c>
      <c r="EJ8" s="24"/>
      <c r="EK8" s="25">
        <v>45356</v>
      </c>
      <c r="EL8" s="26">
        <v>0</v>
      </c>
      <c r="EM8" s="26">
        <v>0</v>
      </c>
      <c r="EN8" s="27">
        <f t="shared" si="5"/>
        <v>0</v>
      </c>
      <c r="EO8" s="28">
        <v>1620</v>
      </c>
      <c r="EP8" s="29">
        <v>1728</v>
      </c>
      <c r="EQ8" s="29">
        <v>2.75</v>
      </c>
      <c r="ER8" s="34" t="s">
        <v>32</v>
      </c>
      <c r="ES8" s="34"/>
      <c r="ET8" s="31" t="s">
        <v>32</v>
      </c>
      <c r="EU8" s="34" t="s">
        <v>32</v>
      </c>
      <c r="EV8" s="32" t="s">
        <v>32</v>
      </c>
      <c r="EW8" s="32" t="s">
        <v>32</v>
      </c>
      <c r="EX8" s="34" t="s">
        <v>32</v>
      </c>
      <c r="EY8" s="28" t="s">
        <v>32</v>
      </c>
      <c r="EZ8" s="28" t="s">
        <v>32</v>
      </c>
      <c r="FA8" s="34" t="s">
        <v>32</v>
      </c>
      <c r="FB8" s="34" t="s">
        <v>32</v>
      </c>
      <c r="FC8" s="32" t="s">
        <v>32</v>
      </c>
      <c r="FD8" s="32" t="s">
        <v>33</v>
      </c>
      <c r="FE8" s="29" t="s">
        <v>32</v>
      </c>
      <c r="FF8" s="28" t="s">
        <v>32</v>
      </c>
      <c r="FG8" s="26" t="s">
        <v>32</v>
      </c>
      <c r="FH8" s="34" t="s">
        <v>32</v>
      </c>
      <c r="FI8" s="34" t="s">
        <v>32</v>
      </c>
      <c r="FJ8" s="34" t="s">
        <v>32</v>
      </c>
      <c r="FK8" s="33">
        <f>SUM(ER8:FJ8)</f>
        <v>0</v>
      </c>
      <c r="FL8" s="24"/>
    </row>
    <row r="9" spans="1:168" x14ac:dyDescent="0.3">
      <c r="A9" s="25">
        <v>45205</v>
      </c>
      <c r="B9" s="26" t="s">
        <v>32</v>
      </c>
      <c r="C9" s="26" t="s">
        <v>32</v>
      </c>
      <c r="D9" s="27">
        <f t="shared" si="0"/>
        <v>0</v>
      </c>
      <c r="E9" s="28" t="s">
        <v>32</v>
      </c>
      <c r="F9" s="26" t="s">
        <v>32</v>
      </c>
      <c r="G9" s="26" t="s">
        <v>32</v>
      </c>
      <c r="H9" s="34" t="s">
        <v>32</v>
      </c>
      <c r="I9" s="34"/>
      <c r="J9" s="31" t="s">
        <v>32</v>
      </c>
      <c r="K9" s="34" t="s">
        <v>32</v>
      </c>
      <c r="L9" s="32" t="s">
        <v>32</v>
      </c>
      <c r="M9" s="32"/>
      <c r="N9" s="34" t="s">
        <v>32</v>
      </c>
      <c r="O9" s="28" t="s">
        <v>32</v>
      </c>
      <c r="P9" s="28" t="s">
        <v>32</v>
      </c>
      <c r="Q9" s="34" t="s">
        <v>32</v>
      </c>
      <c r="R9" s="34" t="s">
        <v>32</v>
      </c>
      <c r="S9" s="32" t="s">
        <v>32</v>
      </c>
      <c r="T9" s="32" t="s">
        <v>32</v>
      </c>
      <c r="U9" s="26" t="s">
        <v>32</v>
      </c>
      <c r="V9" s="28"/>
      <c r="W9" s="26" t="s">
        <v>32</v>
      </c>
      <c r="X9" s="34" t="s">
        <v>32</v>
      </c>
      <c r="Y9" s="34" t="s">
        <v>32</v>
      </c>
      <c r="Z9" s="34"/>
      <c r="AA9" s="33">
        <f t="shared" ref="AA9:AA16" si="6">SUM(H9:Y9)</f>
        <v>0</v>
      </c>
      <c r="AB9" s="24"/>
      <c r="AC9" s="25">
        <v>45236</v>
      </c>
      <c r="AD9" s="26">
        <v>0</v>
      </c>
      <c r="AE9" s="26">
        <v>0</v>
      </c>
      <c r="AF9" s="27">
        <f t="shared" si="1"/>
        <v>0</v>
      </c>
      <c r="AG9" s="28">
        <v>1659</v>
      </c>
      <c r="AH9" s="29">
        <v>1946</v>
      </c>
      <c r="AI9" s="29">
        <v>5</v>
      </c>
      <c r="AJ9" s="34" t="s">
        <v>32</v>
      </c>
      <c r="AK9" s="34"/>
      <c r="AL9" s="31" t="s">
        <v>32</v>
      </c>
      <c r="AM9" s="34" t="s">
        <v>32</v>
      </c>
      <c r="AN9" s="32" t="s">
        <v>32</v>
      </c>
      <c r="AO9" s="32"/>
      <c r="AP9" s="34" t="s">
        <v>32</v>
      </c>
      <c r="AQ9" s="28" t="s">
        <v>32</v>
      </c>
      <c r="AR9" s="28" t="s">
        <v>32</v>
      </c>
      <c r="AS9" s="34" t="s">
        <v>32</v>
      </c>
      <c r="AT9" s="34" t="s">
        <v>32</v>
      </c>
      <c r="AU9" s="32" t="s">
        <v>32</v>
      </c>
      <c r="AV9" s="32" t="s">
        <v>32</v>
      </c>
      <c r="AW9" s="29" t="s">
        <v>32</v>
      </c>
      <c r="AX9" s="28"/>
      <c r="AY9" s="26" t="s">
        <v>32</v>
      </c>
      <c r="AZ9" s="34" t="s">
        <v>32</v>
      </c>
      <c r="BA9" s="34" t="s">
        <v>32</v>
      </c>
      <c r="BB9" s="34"/>
      <c r="BC9" s="33">
        <f t="shared" ref="BC9:BC16" si="7">SUM(AJ9:BA9)</f>
        <v>0</v>
      </c>
      <c r="BD9" s="24"/>
      <c r="BE9" s="25">
        <v>45266</v>
      </c>
      <c r="BF9" s="26">
        <v>0</v>
      </c>
      <c r="BG9" s="26">
        <v>0</v>
      </c>
      <c r="BH9" s="27">
        <f t="shared" si="2"/>
        <v>492292</v>
      </c>
      <c r="BI9" s="28">
        <v>1548</v>
      </c>
      <c r="BJ9" s="26">
        <v>992</v>
      </c>
      <c r="BK9" s="26">
        <v>6.5</v>
      </c>
      <c r="BL9" s="34" t="s">
        <v>32</v>
      </c>
      <c r="BM9" s="34"/>
      <c r="BN9" s="31" t="s">
        <v>32</v>
      </c>
      <c r="BO9" s="34">
        <v>300000</v>
      </c>
      <c r="BP9" s="32" t="s">
        <v>32</v>
      </c>
      <c r="BQ9" s="32"/>
      <c r="BR9" s="34" t="s">
        <v>32</v>
      </c>
      <c r="BS9" s="28" t="s">
        <v>32</v>
      </c>
      <c r="BT9" s="28" t="s">
        <v>32</v>
      </c>
      <c r="BU9" s="34" t="s">
        <v>32</v>
      </c>
      <c r="BV9" s="34" t="s">
        <v>32</v>
      </c>
      <c r="BW9" s="32">
        <v>192292</v>
      </c>
      <c r="BX9" s="32" t="s">
        <v>49</v>
      </c>
      <c r="BY9" s="26" t="s">
        <v>32</v>
      </c>
      <c r="BZ9" s="28"/>
      <c r="CA9" s="26" t="s">
        <v>32</v>
      </c>
      <c r="CB9" s="34" t="s">
        <v>32</v>
      </c>
      <c r="CC9" s="34" t="s">
        <v>32</v>
      </c>
      <c r="CD9" s="34"/>
      <c r="CE9" s="33">
        <f t="shared" ref="CE9:CE16" si="8">SUM(BL9:CC9)</f>
        <v>492292</v>
      </c>
      <c r="CF9" s="24"/>
      <c r="CG9" s="25">
        <v>45297</v>
      </c>
      <c r="CH9" s="26">
        <v>2023</v>
      </c>
      <c r="CI9" s="26">
        <v>143132</v>
      </c>
      <c r="CJ9" s="27">
        <f t="shared" si="3"/>
        <v>125102</v>
      </c>
      <c r="CK9" s="28">
        <v>1836</v>
      </c>
      <c r="CL9" s="29">
        <v>3888</v>
      </c>
      <c r="CM9" s="29">
        <v>9.5</v>
      </c>
      <c r="CN9" s="34">
        <v>11169</v>
      </c>
      <c r="CO9" s="34">
        <v>13445</v>
      </c>
      <c r="CP9" s="31">
        <v>100488</v>
      </c>
      <c r="CQ9" s="34" t="s">
        <v>32</v>
      </c>
      <c r="CR9" s="32" t="s">
        <v>32</v>
      </c>
      <c r="CS9" s="32"/>
      <c r="CT9" s="34" t="s">
        <v>32</v>
      </c>
      <c r="CU9" s="28" t="s">
        <v>32</v>
      </c>
      <c r="CV9" s="28" t="s">
        <v>32</v>
      </c>
      <c r="CW9" s="34" t="s">
        <v>32</v>
      </c>
      <c r="CX9" s="34" t="s">
        <v>32</v>
      </c>
      <c r="CY9" s="32" t="s">
        <v>32</v>
      </c>
      <c r="CZ9" s="32" t="s">
        <v>32</v>
      </c>
      <c r="DA9" s="29" t="s">
        <v>32</v>
      </c>
      <c r="DB9" s="28"/>
      <c r="DC9" s="26" t="s">
        <v>32</v>
      </c>
      <c r="DD9" s="34" t="s">
        <v>32</v>
      </c>
      <c r="DE9" s="34" t="s">
        <v>32</v>
      </c>
      <c r="DF9" s="34"/>
      <c r="DG9" s="33">
        <f t="shared" ref="DG9:DG16" si="9">SUM(CN9:DE9)</f>
        <v>125102</v>
      </c>
      <c r="DH9" s="24"/>
      <c r="DI9" s="25">
        <v>45328</v>
      </c>
      <c r="DJ9" s="26">
        <v>1125</v>
      </c>
      <c r="DK9" s="26">
        <v>58600</v>
      </c>
      <c r="DL9" s="27">
        <f t="shared" si="4"/>
        <v>25534</v>
      </c>
      <c r="DM9" s="28">
        <v>3240</v>
      </c>
      <c r="DN9" s="29">
        <v>2571</v>
      </c>
      <c r="DO9" s="29">
        <v>9.4</v>
      </c>
      <c r="DP9" s="34" t="s">
        <v>32</v>
      </c>
      <c r="DQ9" s="34"/>
      <c r="DR9" s="31">
        <v>15000</v>
      </c>
      <c r="DS9" s="34" t="s">
        <v>32</v>
      </c>
      <c r="DT9" s="32">
        <v>3200</v>
      </c>
      <c r="DU9" s="32"/>
      <c r="DV9" s="34" t="s">
        <v>32</v>
      </c>
      <c r="DW9" s="28">
        <v>130</v>
      </c>
      <c r="DX9" s="28" t="s">
        <v>32</v>
      </c>
      <c r="DY9" s="34">
        <v>890</v>
      </c>
      <c r="DZ9" s="34" t="s">
        <v>32</v>
      </c>
      <c r="EA9" s="32">
        <v>500</v>
      </c>
      <c r="EB9" s="32" t="s">
        <v>65</v>
      </c>
      <c r="EC9" s="29">
        <v>5814</v>
      </c>
      <c r="ED9" s="28"/>
      <c r="EE9" s="26" t="s">
        <v>32</v>
      </c>
      <c r="EF9" s="34" t="s">
        <v>32</v>
      </c>
      <c r="EG9" s="34" t="s">
        <v>32</v>
      </c>
      <c r="EH9" s="34"/>
      <c r="EI9" s="33">
        <f t="shared" ref="EI9:EI16" si="10">SUM(DP9:EG9)</f>
        <v>25534</v>
      </c>
      <c r="EJ9" s="24"/>
      <c r="EK9" s="25">
        <v>45357</v>
      </c>
      <c r="EL9" s="26">
        <v>0</v>
      </c>
      <c r="EM9" s="26">
        <v>0</v>
      </c>
      <c r="EN9" s="27">
        <f t="shared" si="5"/>
        <v>0</v>
      </c>
      <c r="EO9" s="28">
        <v>1692</v>
      </c>
      <c r="EP9" s="29">
        <v>0</v>
      </c>
      <c r="EQ9" s="29">
        <v>3.8</v>
      </c>
      <c r="ER9" s="34" t="s">
        <v>32</v>
      </c>
      <c r="ES9" s="34"/>
      <c r="ET9" s="31" t="s">
        <v>32</v>
      </c>
      <c r="EU9" s="34" t="s">
        <v>32</v>
      </c>
      <c r="EV9" s="32" t="s">
        <v>32</v>
      </c>
      <c r="EW9" s="32"/>
      <c r="EX9" s="34" t="s">
        <v>32</v>
      </c>
      <c r="EY9" s="28" t="s">
        <v>32</v>
      </c>
      <c r="EZ9" s="28" t="s">
        <v>32</v>
      </c>
      <c r="FA9" s="34" t="s">
        <v>32</v>
      </c>
      <c r="FB9" s="34" t="s">
        <v>32</v>
      </c>
      <c r="FC9" s="32" t="s">
        <v>32</v>
      </c>
      <c r="FD9" s="32" t="s">
        <v>32</v>
      </c>
      <c r="FE9" s="29" t="s">
        <v>32</v>
      </c>
      <c r="FF9" s="28"/>
      <c r="FG9" s="26" t="s">
        <v>32</v>
      </c>
      <c r="FH9" s="34" t="s">
        <v>32</v>
      </c>
      <c r="FI9" s="34" t="s">
        <v>32</v>
      </c>
      <c r="FJ9" s="34"/>
      <c r="FK9" s="33">
        <f t="shared" ref="FK9:FK16" si="11">SUM(ER9:FI9)</f>
        <v>0</v>
      </c>
      <c r="FL9" s="24"/>
    </row>
    <row r="10" spans="1:168" x14ac:dyDescent="0.3">
      <c r="A10" s="25">
        <v>45206</v>
      </c>
      <c r="B10" s="26" t="s">
        <v>32</v>
      </c>
      <c r="C10" s="26" t="s">
        <v>32</v>
      </c>
      <c r="D10" s="27">
        <f t="shared" si="0"/>
        <v>0</v>
      </c>
      <c r="E10" s="28" t="s">
        <v>32</v>
      </c>
      <c r="F10" s="26" t="s">
        <v>32</v>
      </c>
      <c r="G10" s="26" t="s">
        <v>32</v>
      </c>
      <c r="H10" s="34" t="s">
        <v>32</v>
      </c>
      <c r="I10" s="34"/>
      <c r="J10" s="31" t="s">
        <v>32</v>
      </c>
      <c r="K10" s="34" t="s">
        <v>32</v>
      </c>
      <c r="L10" s="32" t="s">
        <v>32</v>
      </c>
      <c r="M10" s="32"/>
      <c r="N10" s="34"/>
      <c r="O10" s="28" t="s">
        <v>32</v>
      </c>
      <c r="P10" s="28" t="s">
        <v>32</v>
      </c>
      <c r="Q10" s="34" t="s">
        <v>32</v>
      </c>
      <c r="R10" s="34" t="s">
        <v>32</v>
      </c>
      <c r="S10" s="32" t="s">
        <v>32</v>
      </c>
      <c r="T10" s="32" t="s">
        <v>32</v>
      </c>
      <c r="U10" s="26" t="s">
        <v>32</v>
      </c>
      <c r="V10" s="28" t="s">
        <v>32</v>
      </c>
      <c r="W10" s="26" t="s">
        <v>32</v>
      </c>
      <c r="X10" s="34" t="s">
        <v>32</v>
      </c>
      <c r="Y10" s="34" t="s">
        <v>32</v>
      </c>
      <c r="Z10" s="34" t="s">
        <v>32</v>
      </c>
      <c r="AA10" s="33">
        <f t="shared" si="6"/>
        <v>0</v>
      </c>
      <c r="AB10" s="24"/>
      <c r="AC10" s="25">
        <v>45237</v>
      </c>
      <c r="AD10" s="26">
        <v>0</v>
      </c>
      <c r="AE10" s="26">
        <v>0</v>
      </c>
      <c r="AF10" s="27">
        <f t="shared" si="1"/>
        <v>3478</v>
      </c>
      <c r="AG10" s="28">
        <v>2048</v>
      </c>
      <c r="AH10" s="29">
        <v>2479</v>
      </c>
      <c r="AI10" s="29">
        <v>7</v>
      </c>
      <c r="AJ10" s="34" t="s">
        <v>32</v>
      </c>
      <c r="AK10" s="34"/>
      <c r="AL10" s="31" t="s">
        <v>32</v>
      </c>
      <c r="AM10" s="34" t="s">
        <v>32</v>
      </c>
      <c r="AN10" s="32" t="s">
        <v>32</v>
      </c>
      <c r="AO10" s="32">
        <v>300</v>
      </c>
      <c r="AP10" s="34">
        <v>3000</v>
      </c>
      <c r="AQ10" s="28" t="s">
        <v>32</v>
      </c>
      <c r="AR10" s="28" t="s">
        <v>32</v>
      </c>
      <c r="AS10" s="34">
        <v>178</v>
      </c>
      <c r="AT10" s="34" t="s">
        <v>32</v>
      </c>
      <c r="AU10" s="32" t="s">
        <v>32</v>
      </c>
      <c r="AV10" s="32" t="s">
        <v>32</v>
      </c>
      <c r="AW10" s="29" t="s">
        <v>32</v>
      </c>
      <c r="AX10" s="28" t="s">
        <v>32</v>
      </c>
      <c r="AY10" s="26" t="s">
        <v>32</v>
      </c>
      <c r="AZ10" s="34" t="s">
        <v>32</v>
      </c>
      <c r="BA10" s="34" t="s">
        <v>32</v>
      </c>
      <c r="BB10" s="34" t="s">
        <v>32</v>
      </c>
      <c r="BC10" s="33">
        <f t="shared" si="7"/>
        <v>3478</v>
      </c>
      <c r="BD10" s="24"/>
      <c r="BE10" s="25">
        <v>45267</v>
      </c>
      <c r="BF10" s="26">
        <v>0</v>
      </c>
      <c r="BG10" s="26">
        <v>0</v>
      </c>
      <c r="BH10" s="27">
        <f t="shared" si="2"/>
        <v>0</v>
      </c>
      <c r="BI10" s="28">
        <v>1500</v>
      </c>
      <c r="BJ10" s="26">
        <v>660</v>
      </c>
      <c r="BK10" s="26">
        <v>6</v>
      </c>
      <c r="BL10" s="34" t="s">
        <v>32</v>
      </c>
      <c r="BM10" s="34"/>
      <c r="BN10" s="31" t="s">
        <v>32</v>
      </c>
      <c r="BO10" s="34" t="s">
        <v>32</v>
      </c>
      <c r="BP10" s="32" t="s">
        <v>32</v>
      </c>
      <c r="BQ10" s="32" t="s">
        <v>32</v>
      </c>
      <c r="BR10" s="34" t="s">
        <v>32</v>
      </c>
      <c r="BS10" s="28" t="s">
        <v>32</v>
      </c>
      <c r="BT10" s="28" t="s">
        <v>32</v>
      </c>
      <c r="BU10" s="34" t="s">
        <v>32</v>
      </c>
      <c r="BV10" s="34" t="s">
        <v>32</v>
      </c>
      <c r="BW10" s="32" t="s">
        <v>32</v>
      </c>
      <c r="BX10" s="32" t="s">
        <v>32</v>
      </c>
      <c r="BY10" s="26" t="s">
        <v>32</v>
      </c>
      <c r="BZ10" s="28" t="s">
        <v>32</v>
      </c>
      <c r="CA10" s="26" t="s">
        <v>32</v>
      </c>
      <c r="CB10" s="34" t="s">
        <v>32</v>
      </c>
      <c r="CC10" s="34" t="s">
        <v>32</v>
      </c>
      <c r="CD10" s="34" t="s">
        <v>32</v>
      </c>
      <c r="CE10" s="33">
        <f t="shared" si="8"/>
        <v>0</v>
      </c>
      <c r="CF10" s="24"/>
      <c r="CG10" s="25">
        <v>45298</v>
      </c>
      <c r="CH10" s="26">
        <v>0</v>
      </c>
      <c r="CI10" s="26">
        <v>0</v>
      </c>
      <c r="CJ10" s="27">
        <f t="shared" si="3"/>
        <v>292222</v>
      </c>
      <c r="CK10" s="28">
        <v>1572</v>
      </c>
      <c r="CL10" s="29">
        <v>1828</v>
      </c>
      <c r="CM10" s="29">
        <v>6.75</v>
      </c>
      <c r="CN10" s="34" t="s">
        <v>32</v>
      </c>
      <c r="CO10" s="34"/>
      <c r="CP10" s="31" t="s">
        <v>32</v>
      </c>
      <c r="CQ10" s="34">
        <v>250000</v>
      </c>
      <c r="CR10" s="32" t="s">
        <v>32</v>
      </c>
      <c r="CS10" s="32" t="s">
        <v>32</v>
      </c>
      <c r="CT10" s="34" t="s">
        <v>32</v>
      </c>
      <c r="CU10" s="28" t="s">
        <v>32</v>
      </c>
      <c r="CV10" s="28" t="s">
        <v>32</v>
      </c>
      <c r="CW10" s="34">
        <v>6500</v>
      </c>
      <c r="CX10" s="34" t="s">
        <v>32</v>
      </c>
      <c r="CY10" s="32" t="s">
        <v>32</v>
      </c>
      <c r="CZ10" s="32" t="s">
        <v>32</v>
      </c>
      <c r="DA10" s="29" t="s">
        <v>32</v>
      </c>
      <c r="DB10" s="28" t="s">
        <v>32</v>
      </c>
      <c r="DC10" s="26" t="s">
        <v>32</v>
      </c>
      <c r="DD10" s="34" t="s">
        <v>32</v>
      </c>
      <c r="DE10" s="34">
        <v>35722</v>
      </c>
      <c r="DF10" s="34" t="s">
        <v>58</v>
      </c>
      <c r="DG10" s="33">
        <f t="shared" si="9"/>
        <v>292222</v>
      </c>
      <c r="DH10" s="24"/>
      <c r="DI10" s="25">
        <v>45329</v>
      </c>
      <c r="DJ10" s="26">
        <v>0</v>
      </c>
      <c r="DK10" s="26">
        <v>0</v>
      </c>
      <c r="DL10" s="27">
        <f t="shared" si="4"/>
        <v>0</v>
      </c>
      <c r="DM10" s="28">
        <v>2160</v>
      </c>
      <c r="DN10" s="29">
        <v>0</v>
      </c>
      <c r="DO10" s="29">
        <v>8.1999999999999993</v>
      </c>
      <c r="DP10" s="34"/>
      <c r="DQ10" s="34"/>
      <c r="DR10" s="31" t="s">
        <v>32</v>
      </c>
      <c r="DS10" s="34" t="s">
        <v>32</v>
      </c>
      <c r="DT10" s="32" t="s">
        <v>32</v>
      </c>
      <c r="DU10" s="32" t="s">
        <v>32</v>
      </c>
      <c r="DV10" s="34" t="s">
        <v>32</v>
      </c>
      <c r="DW10" s="28" t="s">
        <v>32</v>
      </c>
      <c r="DX10" s="28" t="s">
        <v>32</v>
      </c>
      <c r="DY10" s="34" t="s">
        <v>32</v>
      </c>
      <c r="DZ10" s="34" t="s">
        <v>32</v>
      </c>
      <c r="EA10" s="32" t="s">
        <v>32</v>
      </c>
      <c r="EB10" s="32" t="s">
        <v>32</v>
      </c>
      <c r="EC10" s="29" t="s">
        <v>32</v>
      </c>
      <c r="ED10" s="28" t="s">
        <v>32</v>
      </c>
      <c r="EE10" s="26" t="s">
        <v>32</v>
      </c>
      <c r="EF10" s="34" t="s">
        <v>32</v>
      </c>
      <c r="EG10" s="34" t="s">
        <v>32</v>
      </c>
      <c r="EH10" s="34" t="s">
        <v>32</v>
      </c>
      <c r="EI10" s="33">
        <f t="shared" si="10"/>
        <v>0</v>
      </c>
      <c r="EJ10" s="24"/>
      <c r="EK10" s="25">
        <v>45358</v>
      </c>
      <c r="EL10" s="26">
        <v>0</v>
      </c>
      <c r="EM10" s="26">
        <v>0</v>
      </c>
      <c r="EN10" s="27">
        <f t="shared" si="5"/>
        <v>0</v>
      </c>
      <c r="EO10" s="28">
        <v>1921</v>
      </c>
      <c r="EP10" s="29">
        <v>3258</v>
      </c>
      <c r="EQ10" s="29">
        <v>8.0500000000000007</v>
      </c>
      <c r="ER10" s="34" t="s">
        <v>32</v>
      </c>
      <c r="ES10" s="34"/>
      <c r="ET10" s="31" t="s">
        <v>32</v>
      </c>
      <c r="EU10" s="34" t="s">
        <v>32</v>
      </c>
      <c r="EV10" s="32" t="s">
        <v>32</v>
      </c>
      <c r="EW10" s="32" t="s">
        <v>32</v>
      </c>
      <c r="EX10" s="34" t="s">
        <v>32</v>
      </c>
      <c r="EY10" s="28" t="s">
        <v>32</v>
      </c>
      <c r="EZ10" s="28" t="s">
        <v>32</v>
      </c>
      <c r="FA10" s="34" t="s">
        <v>32</v>
      </c>
      <c r="FB10" s="34" t="s">
        <v>32</v>
      </c>
      <c r="FC10" s="32" t="s">
        <v>32</v>
      </c>
      <c r="FD10" s="32" t="s">
        <v>32</v>
      </c>
      <c r="FE10" s="29" t="s">
        <v>32</v>
      </c>
      <c r="FF10" s="28" t="s">
        <v>32</v>
      </c>
      <c r="FG10" s="26" t="s">
        <v>32</v>
      </c>
      <c r="FH10" s="34" t="s">
        <v>32</v>
      </c>
      <c r="FI10" s="34" t="s">
        <v>32</v>
      </c>
      <c r="FJ10" s="34" t="s">
        <v>32</v>
      </c>
      <c r="FK10" s="33">
        <f t="shared" si="11"/>
        <v>0</v>
      </c>
      <c r="FL10" s="24"/>
    </row>
    <row r="11" spans="1:168" x14ac:dyDescent="0.3">
      <c r="A11" s="25">
        <v>45207</v>
      </c>
      <c r="B11" s="26" t="s">
        <v>32</v>
      </c>
      <c r="C11" s="26" t="s">
        <v>32</v>
      </c>
      <c r="D11" s="27">
        <f t="shared" si="0"/>
        <v>0</v>
      </c>
      <c r="E11" s="28" t="s">
        <v>32</v>
      </c>
      <c r="F11" s="26" t="s">
        <v>32</v>
      </c>
      <c r="G11" s="26" t="s">
        <v>32</v>
      </c>
      <c r="H11" s="34" t="s">
        <v>32</v>
      </c>
      <c r="I11" s="34"/>
      <c r="J11" s="31" t="s">
        <v>32</v>
      </c>
      <c r="K11" s="34" t="s">
        <v>32</v>
      </c>
      <c r="L11" s="32" t="s">
        <v>32</v>
      </c>
      <c r="M11" s="32"/>
      <c r="N11" s="34" t="s">
        <v>32</v>
      </c>
      <c r="O11" s="28"/>
      <c r="P11" s="28" t="s">
        <v>32</v>
      </c>
      <c r="Q11" s="34" t="s">
        <v>32</v>
      </c>
      <c r="R11" s="34" t="s">
        <v>32</v>
      </c>
      <c r="S11" s="32" t="s">
        <v>32</v>
      </c>
      <c r="T11" s="32" t="s">
        <v>32</v>
      </c>
      <c r="U11" s="26" t="s">
        <v>32</v>
      </c>
      <c r="V11" s="28" t="s">
        <v>32</v>
      </c>
      <c r="W11" s="26" t="s">
        <v>32</v>
      </c>
      <c r="X11" s="34" t="s">
        <v>32</v>
      </c>
      <c r="Y11" s="34" t="s">
        <v>32</v>
      </c>
      <c r="Z11" s="34"/>
      <c r="AA11" s="33">
        <f t="shared" si="6"/>
        <v>0</v>
      </c>
      <c r="AB11" s="24"/>
      <c r="AC11" s="25">
        <v>45238</v>
      </c>
      <c r="AD11" s="26">
        <v>0</v>
      </c>
      <c r="AE11" s="26">
        <v>0</v>
      </c>
      <c r="AF11" s="27">
        <f t="shared" si="1"/>
        <v>0</v>
      </c>
      <c r="AG11" s="28">
        <v>2817</v>
      </c>
      <c r="AH11" s="29">
        <v>1461</v>
      </c>
      <c r="AI11" s="29">
        <v>5.5</v>
      </c>
      <c r="AJ11" s="34" t="s">
        <v>32</v>
      </c>
      <c r="AK11" s="34"/>
      <c r="AL11" s="31" t="s">
        <v>32</v>
      </c>
      <c r="AM11" s="34" t="s">
        <v>32</v>
      </c>
      <c r="AN11" s="32" t="s">
        <v>32</v>
      </c>
      <c r="AO11" s="32"/>
      <c r="AP11" s="34" t="s">
        <v>32</v>
      </c>
      <c r="AQ11" s="28"/>
      <c r="AR11" s="28" t="s">
        <v>32</v>
      </c>
      <c r="AS11" s="34" t="s">
        <v>32</v>
      </c>
      <c r="AT11" s="34" t="s">
        <v>32</v>
      </c>
      <c r="AU11" s="32" t="s">
        <v>32</v>
      </c>
      <c r="AV11" s="32" t="s">
        <v>32</v>
      </c>
      <c r="AW11" s="29" t="s">
        <v>32</v>
      </c>
      <c r="AX11" s="28" t="s">
        <v>32</v>
      </c>
      <c r="AY11" s="26" t="s">
        <v>32</v>
      </c>
      <c r="AZ11" s="34" t="s">
        <v>32</v>
      </c>
      <c r="BA11" s="34" t="s">
        <v>32</v>
      </c>
      <c r="BB11" s="34"/>
      <c r="BC11" s="33">
        <f t="shared" si="7"/>
        <v>0</v>
      </c>
      <c r="BD11" s="24"/>
      <c r="BE11" s="25">
        <v>45268</v>
      </c>
      <c r="BF11" s="26">
        <v>0</v>
      </c>
      <c r="BG11" s="26">
        <v>0</v>
      </c>
      <c r="BH11" s="27">
        <f t="shared" si="2"/>
        <v>0</v>
      </c>
      <c r="BI11" s="28">
        <v>945</v>
      </c>
      <c r="BJ11" s="26">
        <v>880</v>
      </c>
      <c r="BK11" s="26">
        <v>6.5</v>
      </c>
      <c r="BL11" s="34" t="s">
        <v>32</v>
      </c>
      <c r="BM11" s="34"/>
      <c r="BN11" s="31" t="s">
        <v>32</v>
      </c>
      <c r="BO11" s="34" t="s">
        <v>32</v>
      </c>
      <c r="BP11" s="32" t="s">
        <v>32</v>
      </c>
      <c r="BQ11" s="32" t="s">
        <v>32</v>
      </c>
      <c r="BR11" s="34" t="s">
        <v>32</v>
      </c>
      <c r="BS11" s="28"/>
      <c r="BT11" s="28" t="s">
        <v>32</v>
      </c>
      <c r="BU11" s="34" t="s">
        <v>32</v>
      </c>
      <c r="BV11" s="34" t="s">
        <v>32</v>
      </c>
      <c r="BW11" s="32" t="s">
        <v>32</v>
      </c>
      <c r="BX11" s="32" t="s">
        <v>32</v>
      </c>
      <c r="BY11" s="26" t="s">
        <v>32</v>
      </c>
      <c r="BZ11" s="28" t="s">
        <v>32</v>
      </c>
      <c r="CA11" s="26" t="s">
        <v>32</v>
      </c>
      <c r="CB11" s="34" t="s">
        <v>32</v>
      </c>
      <c r="CC11" s="34" t="s">
        <v>32</v>
      </c>
      <c r="CD11" s="34"/>
      <c r="CE11" s="33">
        <f t="shared" si="8"/>
        <v>0</v>
      </c>
      <c r="CF11" s="24"/>
      <c r="CG11" s="25">
        <v>45299</v>
      </c>
      <c r="CH11" s="26">
        <v>0</v>
      </c>
      <c r="CI11" s="26">
        <v>0</v>
      </c>
      <c r="CJ11" s="27">
        <f t="shared" si="3"/>
        <v>138865</v>
      </c>
      <c r="CK11" s="28">
        <v>1995</v>
      </c>
      <c r="CL11" s="29">
        <v>0</v>
      </c>
      <c r="CM11" s="29">
        <v>3.75</v>
      </c>
      <c r="CN11" s="34">
        <v>11700</v>
      </c>
      <c r="CO11" s="34">
        <v>14105</v>
      </c>
      <c r="CP11" s="31">
        <v>105360</v>
      </c>
      <c r="CQ11" s="34" t="s">
        <v>32</v>
      </c>
      <c r="CR11" s="32">
        <v>1200</v>
      </c>
      <c r="CS11" s="32">
        <v>4250</v>
      </c>
      <c r="CT11" s="34" t="s">
        <v>32</v>
      </c>
      <c r="CU11" s="28"/>
      <c r="CV11" s="28" t="s">
        <v>32</v>
      </c>
      <c r="CW11" s="34" t="s">
        <v>32</v>
      </c>
      <c r="CX11" s="34" t="s">
        <v>32</v>
      </c>
      <c r="CY11" s="32" t="s">
        <v>32</v>
      </c>
      <c r="CZ11" s="32" t="s">
        <v>32</v>
      </c>
      <c r="DA11" s="29" t="s">
        <v>32</v>
      </c>
      <c r="DB11" s="28" t="s">
        <v>32</v>
      </c>
      <c r="DC11" s="26" t="s">
        <v>32</v>
      </c>
      <c r="DD11" s="34" t="s">
        <v>32</v>
      </c>
      <c r="DE11" s="34">
        <v>2250</v>
      </c>
      <c r="DF11" s="34" t="s">
        <v>59</v>
      </c>
      <c r="DG11" s="33">
        <f t="shared" si="9"/>
        <v>138865</v>
      </c>
      <c r="DH11" s="24"/>
      <c r="DI11" s="25">
        <v>45330</v>
      </c>
      <c r="DJ11" s="26">
        <v>3524</v>
      </c>
      <c r="DK11" s="26">
        <v>304013</v>
      </c>
      <c r="DL11" s="27">
        <f t="shared" si="4"/>
        <v>322760</v>
      </c>
      <c r="DM11" s="28">
        <v>1732</v>
      </c>
      <c r="DN11" s="29">
        <v>3483</v>
      </c>
      <c r="DO11" s="29">
        <v>9.3000000000000007</v>
      </c>
      <c r="DP11" s="34">
        <v>31069</v>
      </c>
      <c r="DQ11" s="34">
        <v>36131</v>
      </c>
      <c r="DR11" s="31" t="s">
        <v>32</v>
      </c>
      <c r="DS11" s="34">
        <v>250000</v>
      </c>
      <c r="DT11" s="32" t="s">
        <v>32</v>
      </c>
      <c r="DU11" s="32">
        <v>5000</v>
      </c>
      <c r="DV11" s="34" t="s">
        <v>32</v>
      </c>
      <c r="DW11" s="28"/>
      <c r="DX11" s="28" t="s">
        <v>32</v>
      </c>
      <c r="DY11" s="34">
        <v>560</v>
      </c>
      <c r="DZ11" s="34" t="s">
        <v>32</v>
      </c>
      <c r="EA11" s="32" t="s">
        <v>32</v>
      </c>
      <c r="EB11" s="32" t="s">
        <v>32</v>
      </c>
      <c r="EC11" s="29" t="s">
        <v>32</v>
      </c>
      <c r="ED11" s="28" t="s">
        <v>32</v>
      </c>
      <c r="EE11" s="26" t="s">
        <v>32</v>
      </c>
      <c r="EF11" s="34" t="s">
        <v>32</v>
      </c>
      <c r="EG11" s="34" t="s">
        <v>32</v>
      </c>
      <c r="EH11" s="34"/>
      <c r="EI11" s="33">
        <f t="shared" si="10"/>
        <v>322760</v>
      </c>
      <c r="EJ11" s="24"/>
      <c r="EK11" s="25">
        <v>45359</v>
      </c>
      <c r="EL11" s="26">
        <v>0</v>
      </c>
      <c r="EM11" s="26">
        <v>0</v>
      </c>
      <c r="EN11" s="27">
        <f t="shared" si="5"/>
        <v>0</v>
      </c>
      <c r="EO11" s="28">
        <v>2911</v>
      </c>
      <c r="EP11" s="29">
        <v>704</v>
      </c>
      <c r="EQ11" s="29">
        <v>6</v>
      </c>
      <c r="ER11" s="34" t="s">
        <v>32</v>
      </c>
      <c r="ES11" s="34"/>
      <c r="ET11" s="31" t="s">
        <v>32</v>
      </c>
      <c r="EU11" s="34" t="s">
        <v>32</v>
      </c>
      <c r="EV11" s="32" t="s">
        <v>32</v>
      </c>
      <c r="EW11" s="32" t="s">
        <v>32</v>
      </c>
      <c r="EX11" s="34" t="s">
        <v>32</v>
      </c>
      <c r="EY11" s="28"/>
      <c r="EZ11" s="28" t="s">
        <v>32</v>
      </c>
      <c r="FA11" s="34" t="s">
        <v>32</v>
      </c>
      <c r="FB11" s="34" t="s">
        <v>32</v>
      </c>
      <c r="FC11" s="32" t="s">
        <v>32</v>
      </c>
      <c r="FD11" s="32" t="s">
        <v>32</v>
      </c>
      <c r="FE11" s="29" t="s">
        <v>32</v>
      </c>
      <c r="FF11" s="28" t="s">
        <v>32</v>
      </c>
      <c r="FG11" s="26" t="s">
        <v>32</v>
      </c>
      <c r="FH11" s="34" t="s">
        <v>32</v>
      </c>
      <c r="FI11" s="34" t="s">
        <v>32</v>
      </c>
      <c r="FJ11" s="34"/>
      <c r="FK11" s="33">
        <f t="shared" si="11"/>
        <v>0</v>
      </c>
      <c r="FL11" s="24"/>
    </row>
    <row r="12" spans="1:168" x14ac:dyDescent="0.3">
      <c r="A12" s="25">
        <v>45208</v>
      </c>
      <c r="B12" s="26" t="s">
        <v>32</v>
      </c>
      <c r="C12" s="26" t="s">
        <v>32</v>
      </c>
      <c r="D12" s="27">
        <f t="shared" si="0"/>
        <v>0</v>
      </c>
      <c r="E12" s="28" t="s">
        <v>32</v>
      </c>
      <c r="F12" s="26" t="s">
        <v>32</v>
      </c>
      <c r="G12" s="26" t="s">
        <v>32</v>
      </c>
      <c r="H12" s="34" t="s">
        <v>32</v>
      </c>
      <c r="I12" s="34"/>
      <c r="J12" s="31" t="s">
        <v>32</v>
      </c>
      <c r="K12" s="34" t="s">
        <v>32</v>
      </c>
      <c r="L12" s="32" t="s">
        <v>32</v>
      </c>
      <c r="M12" s="32"/>
      <c r="N12" s="34" t="s">
        <v>32</v>
      </c>
      <c r="O12" s="28"/>
      <c r="P12" s="28" t="s">
        <v>32</v>
      </c>
      <c r="Q12" s="34" t="s">
        <v>32</v>
      </c>
      <c r="R12" s="34" t="s">
        <v>32</v>
      </c>
      <c r="S12" s="32" t="s">
        <v>32</v>
      </c>
      <c r="T12" s="32" t="s">
        <v>32</v>
      </c>
      <c r="U12" s="26" t="s">
        <v>32</v>
      </c>
      <c r="V12" s="28" t="s">
        <v>32</v>
      </c>
      <c r="W12" s="26" t="s">
        <v>32</v>
      </c>
      <c r="X12" s="34" t="s">
        <v>32</v>
      </c>
      <c r="Y12" s="34" t="s">
        <v>32</v>
      </c>
      <c r="Z12" s="34" t="s">
        <v>32</v>
      </c>
      <c r="AA12" s="33">
        <f t="shared" si="6"/>
        <v>0</v>
      </c>
      <c r="AB12" s="24"/>
      <c r="AC12" s="25">
        <v>45239</v>
      </c>
      <c r="AD12" s="26">
        <v>0</v>
      </c>
      <c r="AE12" s="26">
        <v>0</v>
      </c>
      <c r="AF12" s="27">
        <f t="shared" si="1"/>
        <v>268420</v>
      </c>
      <c r="AG12" s="28">
        <v>1782</v>
      </c>
      <c r="AH12" s="29">
        <v>1300</v>
      </c>
      <c r="AI12" s="29">
        <v>7</v>
      </c>
      <c r="AJ12" s="34">
        <v>36925</v>
      </c>
      <c r="AK12" s="34">
        <v>41146</v>
      </c>
      <c r="AL12" s="31" t="s">
        <v>32</v>
      </c>
      <c r="AM12" s="34" t="s">
        <v>32</v>
      </c>
      <c r="AN12" s="32">
        <v>32327</v>
      </c>
      <c r="AO12" s="32">
        <v>65507</v>
      </c>
      <c r="AP12" s="34" t="s">
        <v>32</v>
      </c>
      <c r="AQ12" s="28"/>
      <c r="AR12" s="28" t="s">
        <v>32</v>
      </c>
      <c r="AS12" s="34" t="s">
        <v>32</v>
      </c>
      <c r="AT12" s="34" t="s">
        <v>32</v>
      </c>
      <c r="AU12" s="32">
        <v>88458</v>
      </c>
      <c r="AV12" s="32" t="s">
        <v>43</v>
      </c>
      <c r="AW12" s="29" t="s">
        <v>32</v>
      </c>
      <c r="AX12" s="28" t="s">
        <v>32</v>
      </c>
      <c r="AY12" s="26">
        <v>4057</v>
      </c>
      <c r="AZ12" s="34" t="s">
        <v>40</v>
      </c>
      <c r="BA12" s="34" t="s">
        <v>32</v>
      </c>
      <c r="BB12" s="34" t="s">
        <v>32</v>
      </c>
      <c r="BC12" s="33">
        <f t="shared" si="7"/>
        <v>268420</v>
      </c>
      <c r="BD12" s="24"/>
      <c r="BE12" s="25">
        <v>45269</v>
      </c>
      <c r="BF12" s="26">
        <v>0</v>
      </c>
      <c r="BG12" s="26">
        <v>0</v>
      </c>
      <c r="BH12" s="27">
        <f t="shared" si="2"/>
        <v>1295</v>
      </c>
      <c r="BI12" s="28">
        <v>1181</v>
      </c>
      <c r="BJ12" s="26">
        <v>3066</v>
      </c>
      <c r="BK12" s="26">
        <v>6.6</v>
      </c>
      <c r="BL12" s="34" t="s">
        <v>32</v>
      </c>
      <c r="BM12" s="34" t="s">
        <v>32</v>
      </c>
      <c r="BN12" s="31" t="s">
        <v>32</v>
      </c>
      <c r="BO12" s="34" t="s">
        <v>32</v>
      </c>
      <c r="BP12" s="32" t="s">
        <v>32</v>
      </c>
      <c r="BQ12" s="32" t="s">
        <v>32</v>
      </c>
      <c r="BR12" s="34" t="s">
        <v>32</v>
      </c>
      <c r="BS12" s="28">
        <v>270</v>
      </c>
      <c r="BT12" s="28" t="s">
        <v>32</v>
      </c>
      <c r="BU12" s="34">
        <v>850</v>
      </c>
      <c r="BV12" s="34" t="s">
        <v>32</v>
      </c>
      <c r="BW12" s="32" t="s">
        <v>32</v>
      </c>
      <c r="BX12" s="32" t="s">
        <v>32</v>
      </c>
      <c r="BY12" s="26" t="s">
        <v>32</v>
      </c>
      <c r="BZ12" s="28" t="s">
        <v>32</v>
      </c>
      <c r="CA12" s="26" t="s">
        <v>32</v>
      </c>
      <c r="CB12" s="34" t="s">
        <v>32</v>
      </c>
      <c r="CC12" s="34">
        <v>175</v>
      </c>
      <c r="CD12" s="34" t="s">
        <v>50</v>
      </c>
      <c r="CE12" s="33">
        <f t="shared" si="8"/>
        <v>1295</v>
      </c>
      <c r="CF12" s="24"/>
      <c r="CG12" s="25">
        <v>45300</v>
      </c>
      <c r="CH12" s="26">
        <v>0</v>
      </c>
      <c r="CI12" s="26">
        <v>0</v>
      </c>
      <c r="CJ12" s="27">
        <f t="shared" si="3"/>
        <v>0</v>
      </c>
      <c r="CK12" s="28">
        <v>2546</v>
      </c>
      <c r="CL12" s="29">
        <v>1785</v>
      </c>
      <c r="CM12" s="29">
        <v>8</v>
      </c>
      <c r="CN12" s="34" t="s">
        <v>32</v>
      </c>
      <c r="CO12" s="34" t="s">
        <v>32</v>
      </c>
      <c r="CP12" s="31" t="s">
        <v>32</v>
      </c>
      <c r="CQ12" s="34" t="s">
        <v>32</v>
      </c>
      <c r="CR12" s="32" t="s">
        <v>32</v>
      </c>
      <c r="CS12" s="32" t="s">
        <v>32</v>
      </c>
      <c r="CT12" s="34" t="s">
        <v>32</v>
      </c>
      <c r="CU12" s="28"/>
      <c r="CV12" s="28" t="s">
        <v>32</v>
      </c>
      <c r="CW12" s="34" t="s">
        <v>32</v>
      </c>
      <c r="CX12" s="34" t="s">
        <v>32</v>
      </c>
      <c r="CY12" s="32" t="s">
        <v>32</v>
      </c>
      <c r="CZ12" s="32" t="s">
        <v>32</v>
      </c>
      <c r="DA12" s="29" t="s">
        <v>32</v>
      </c>
      <c r="DB12" s="28" t="s">
        <v>32</v>
      </c>
      <c r="DC12" s="26" t="s">
        <v>32</v>
      </c>
      <c r="DD12" s="34" t="s">
        <v>32</v>
      </c>
      <c r="DE12" s="34" t="s">
        <v>32</v>
      </c>
      <c r="DF12" s="34" t="s">
        <v>32</v>
      </c>
      <c r="DG12" s="33">
        <f t="shared" si="9"/>
        <v>0</v>
      </c>
      <c r="DH12" s="24"/>
      <c r="DI12" s="25">
        <v>45331</v>
      </c>
      <c r="DJ12" s="26">
        <v>0</v>
      </c>
      <c r="DK12" s="26">
        <v>0</v>
      </c>
      <c r="DL12" s="27">
        <f t="shared" si="4"/>
        <v>0</v>
      </c>
      <c r="DM12" s="28">
        <v>0</v>
      </c>
      <c r="DN12" s="29">
        <v>0</v>
      </c>
      <c r="DO12" s="29">
        <v>0</v>
      </c>
      <c r="DP12" s="34" t="s">
        <v>32</v>
      </c>
      <c r="DQ12" s="34" t="s">
        <v>32</v>
      </c>
      <c r="DR12" s="31" t="s">
        <v>32</v>
      </c>
      <c r="DS12" s="34" t="s">
        <v>32</v>
      </c>
      <c r="DT12" s="32" t="s">
        <v>32</v>
      </c>
      <c r="DU12" s="32" t="s">
        <v>32</v>
      </c>
      <c r="DV12" s="34" t="s">
        <v>32</v>
      </c>
      <c r="DW12" s="28"/>
      <c r="DX12" s="28" t="s">
        <v>32</v>
      </c>
      <c r="DY12" s="34" t="s">
        <v>32</v>
      </c>
      <c r="DZ12" s="34" t="s">
        <v>32</v>
      </c>
      <c r="EA12" s="32" t="s">
        <v>32</v>
      </c>
      <c r="EB12" s="32" t="s">
        <v>32</v>
      </c>
      <c r="EC12" s="29" t="s">
        <v>32</v>
      </c>
      <c r="ED12" s="28" t="s">
        <v>32</v>
      </c>
      <c r="EE12" s="26" t="s">
        <v>32</v>
      </c>
      <c r="EF12" s="34" t="s">
        <v>32</v>
      </c>
      <c r="EG12" s="34" t="s">
        <v>32</v>
      </c>
      <c r="EH12" s="34" t="s">
        <v>32</v>
      </c>
      <c r="EI12" s="33">
        <f t="shared" si="10"/>
        <v>0</v>
      </c>
      <c r="EJ12" s="24"/>
      <c r="EK12" s="25">
        <v>45360</v>
      </c>
      <c r="EL12" s="26">
        <v>4385</v>
      </c>
      <c r="EM12" s="26">
        <v>350019</v>
      </c>
      <c r="EN12" s="27">
        <f t="shared" si="5"/>
        <v>287100</v>
      </c>
      <c r="EO12" s="28">
        <v>2080</v>
      </c>
      <c r="EP12" s="29">
        <v>2493</v>
      </c>
      <c r="EQ12" s="29">
        <v>7.1</v>
      </c>
      <c r="ER12" s="34">
        <v>15600</v>
      </c>
      <c r="ES12" s="34">
        <v>12675</v>
      </c>
      <c r="ET12" s="31">
        <v>140320</v>
      </c>
      <c r="EU12" s="34">
        <v>100000</v>
      </c>
      <c r="EV12" s="32">
        <v>2100</v>
      </c>
      <c r="EW12" s="32" t="s">
        <v>32</v>
      </c>
      <c r="EX12" s="34">
        <v>13500</v>
      </c>
      <c r="EY12" s="28"/>
      <c r="EZ12" s="28">
        <v>500</v>
      </c>
      <c r="FA12" s="34">
        <v>170</v>
      </c>
      <c r="FB12" s="34" t="s">
        <v>32</v>
      </c>
      <c r="FC12" s="32" t="s">
        <v>32</v>
      </c>
      <c r="FD12" s="32" t="s">
        <v>32</v>
      </c>
      <c r="FE12" s="29">
        <v>105</v>
      </c>
      <c r="FF12" s="28">
        <v>1630</v>
      </c>
      <c r="FG12" s="26">
        <v>500</v>
      </c>
      <c r="FH12" s="34" t="s">
        <v>40</v>
      </c>
      <c r="FI12" s="34" t="s">
        <v>32</v>
      </c>
      <c r="FJ12" s="34" t="s">
        <v>32</v>
      </c>
      <c r="FK12" s="33">
        <f t="shared" si="11"/>
        <v>287100</v>
      </c>
      <c r="FL12" s="24"/>
    </row>
    <row r="13" spans="1:168" x14ac:dyDescent="0.3">
      <c r="A13" s="25">
        <v>45209</v>
      </c>
      <c r="B13" s="26" t="s">
        <v>32</v>
      </c>
      <c r="C13" s="26" t="s">
        <v>32</v>
      </c>
      <c r="D13" s="27">
        <f t="shared" si="0"/>
        <v>0</v>
      </c>
      <c r="E13" s="28" t="s">
        <v>32</v>
      </c>
      <c r="F13" s="26" t="s">
        <v>32</v>
      </c>
      <c r="G13" s="26" t="s">
        <v>32</v>
      </c>
      <c r="H13" s="34" t="s">
        <v>32</v>
      </c>
      <c r="I13" s="34"/>
      <c r="J13" s="31" t="s">
        <v>32</v>
      </c>
      <c r="K13" s="34" t="s">
        <v>32</v>
      </c>
      <c r="L13" s="32" t="s">
        <v>32</v>
      </c>
      <c r="M13" s="32"/>
      <c r="N13" s="34" t="s">
        <v>32</v>
      </c>
      <c r="O13" s="28"/>
      <c r="P13" s="28" t="s">
        <v>32</v>
      </c>
      <c r="Q13" s="34" t="s">
        <v>32</v>
      </c>
      <c r="R13" s="34" t="s">
        <v>32</v>
      </c>
      <c r="S13" s="32" t="s">
        <v>32</v>
      </c>
      <c r="T13" s="32" t="s">
        <v>32</v>
      </c>
      <c r="U13" s="26" t="s">
        <v>32</v>
      </c>
      <c r="V13" s="28" t="s">
        <v>32</v>
      </c>
      <c r="W13" s="26" t="s">
        <v>32</v>
      </c>
      <c r="X13" s="34" t="s">
        <v>32</v>
      </c>
      <c r="Y13" s="34" t="s">
        <v>32</v>
      </c>
      <c r="Z13" s="34"/>
      <c r="AA13" s="33">
        <f t="shared" si="6"/>
        <v>0</v>
      </c>
      <c r="AB13" s="24"/>
      <c r="AC13" s="25">
        <v>45240</v>
      </c>
      <c r="AD13" s="26">
        <v>0</v>
      </c>
      <c r="AE13" s="26">
        <v>0</v>
      </c>
      <c r="AF13" s="27">
        <f t="shared" si="1"/>
        <v>53803</v>
      </c>
      <c r="AG13" s="28">
        <v>0</v>
      </c>
      <c r="AH13" s="29">
        <v>1840</v>
      </c>
      <c r="AI13" s="29">
        <v>10</v>
      </c>
      <c r="AJ13" s="34" t="s">
        <v>32</v>
      </c>
      <c r="AK13" s="34"/>
      <c r="AL13" s="31" t="s">
        <v>32</v>
      </c>
      <c r="AM13" s="34" t="s">
        <v>32</v>
      </c>
      <c r="AN13" s="32" t="s">
        <v>32</v>
      </c>
      <c r="AO13" s="32">
        <v>42650</v>
      </c>
      <c r="AP13" s="34">
        <v>10000</v>
      </c>
      <c r="AQ13" s="28"/>
      <c r="AR13" s="28" t="s">
        <v>32</v>
      </c>
      <c r="AS13" s="34">
        <v>1153</v>
      </c>
      <c r="AT13" s="34" t="s">
        <v>32</v>
      </c>
      <c r="AU13" s="32" t="s">
        <v>32</v>
      </c>
      <c r="AV13" s="32" t="s">
        <v>32</v>
      </c>
      <c r="AW13" s="29" t="s">
        <v>32</v>
      </c>
      <c r="AX13" s="28" t="s">
        <v>32</v>
      </c>
      <c r="AY13" s="26" t="s">
        <v>32</v>
      </c>
      <c r="AZ13" s="34" t="s">
        <v>32</v>
      </c>
      <c r="BA13" s="34" t="s">
        <v>32</v>
      </c>
      <c r="BB13" s="34"/>
      <c r="BC13" s="33">
        <f t="shared" si="7"/>
        <v>53803</v>
      </c>
      <c r="BD13" s="24"/>
      <c r="BE13" s="25">
        <v>45270</v>
      </c>
      <c r="BF13" s="26">
        <v>0</v>
      </c>
      <c r="BG13" s="26">
        <v>0</v>
      </c>
      <c r="BH13" s="27">
        <f t="shared" si="2"/>
        <v>0</v>
      </c>
      <c r="BI13" s="28">
        <v>1428</v>
      </c>
      <c r="BJ13" s="26">
        <v>481</v>
      </c>
      <c r="BK13" s="26">
        <v>6.5</v>
      </c>
      <c r="BL13" s="34" t="s">
        <v>32</v>
      </c>
      <c r="BM13" s="34"/>
      <c r="BN13" s="31" t="s">
        <v>32</v>
      </c>
      <c r="BO13" s="34" t="s">
        <v>32</v>
      </c>
      <c r="BP13" s="32" t="s">
        <v>32</v>
      </c>
      <c r="BQ13" s="32" t="s">
        <v>32</v>
      </c>
      <c r="BR13" s="34" t="s">
        <v>32</v>
      </c>
      <c r="BS13" s="28"/>
      <c r="BT13" s="28" t="s">
        <v>32</v>
      </c>
      <c r="BU13" s="34" t="s">
        <v>32</v>
      </c>
      <c r="BV13" s="34" t="s">
        <v>32</v>
      </c>
      <c r="BW13" s="32" t="s">
        <v>32</v>
      </c>
      <c r="BX13" s="32" t="s">
        <v>32</v>
      </c>
      <c r="BY13" s="26" t="s">
        <v>32</v>
      </c>
      <c r="BZ13" s="28" t="s">
        <v>32</v>
      </c>
      <c r="CA13" s="26" t="s">
        <v>32</v>
      </c>
      <c r="CB13" s="34" t="s">
        <v>32</v>
      </c>
      <c r="CC13" s="34" t="s">
        <v>32</v>
      </c>
      <c r="CD13" s="34"/>
      <c r="CE13" s="33">
        <f t="shared" si="8"/>
        <v>0</v>
      </c>
      <c r="CF13" s="24"/>
      <c r="CG13" s="25">
        <v>45301</v>
      </c>
      <c r="CH13" s="26">
        <v>7652</v>
      </c>
      <c r="CI13" s="26">
        <v>579356</v>
      </c>
      <c r="CJ13" s="27">
        <f t="shared" si="3"/>
        <v>49810</v>
      </c>
      <c r="CK13" s="28">
        <v>3355</v>
      </c>
      <c r="CL13" s="29">
        <v>3806</v>
      </c>
      <c r="CM13" s="29">
        <v>6.5</v>
      </c>
      <c r="CN13" s="34">
        <v>16478</v>
      </c>
      <c r="CO13" s="34">
        <v>13422</v>
      </c>
      <c r="CP13" s="31" t="s">
        <v>32</v>
      </c>
      <c r="CQ13" s="34">
        <v>1960</v>
      </c>
      <c r="CR13" s="32">
        <v>17950</v>
      </c>
      <c r="CS13" s="32" t="s">
        <v>32</v>
      </c>
      <c r="CT13" s="34" t="s">
        <v>32</v>
      </c>
      <c r="CU13" s="28"/>
      <c r="CV13" s="28" t="s">
        <v>32</v>
      </c>
      <c r="CW13" s="34" t="s">
        <v>32</v>
      </c>
      <c r="CX13" s="34" t="s">
        <v>32</v>
      </c>
      <c r="CY13" s="32" t="s">
        <v>32</v>
      </c>
      <c r="CZ13" s="32" t="s">
        <v>32</v>
      </c>
      <c r="DA13" s="29" t="s">
        <v>32</v>
      </c>
      <c r="DB13" s="28" t="s">
        <v>32</v>
      </c>
      <c r="DC13" s="26" t="s">
        <v>32</v>
      </c>
      <c r="DD13" s="34" t="s">
        <v>32</v>
      </c>
      <c r="DE13" s="34" t="s">
        <v>32</v>
      </c>
      <c r="DF13" s="34"/>
      <c r="DG13" s="33">
        <f t="shared" si="9"/>
        <v>49810</v>
      </c>
      <c r="DH13" s="24"/>
      <c r="DI13" s="25">
        <v>45332</v>
      </c>
      <c r="DJ13" s="26">
        <v>0</v>
      </c>
      <c r="DK13" s="26">
        <v>0</v>
      </c>
      <c r="DL13" s="27">
        <f t="shared" si="4"/>
        <v>0</v>
      </c>
      <c r="DM13" s="28">
        <v>0</v>
      </c>
      <c r="DN13" s="29">
        <v>2323</v>
      </c>
      <c r="DO13" s="29">
        <v>8</v>
      </c>
      <c r="DP13" s="34" t="s">
        <v>32</v>
      </c>
      <c r="DQ13" s="34"/>
      <c r="DR13" s="31" t="s">
        <v>32</v>
      </c>
      <c r="DS13" s="34" t="s">
        <v>32</v>
      </c>
      <c r="DT13" s="32" t="s">
        <v>32</v>
      </c>
      <c r="DU13" s="32" t="s">
        <v>32</v>
      </c>
      <c r="DV13" s="34" t="s">
        <v>32</v>
      </c>
      <c r="DW13" s="28"/>
      <c r="DX13" s="28" t="s">
        <v>32</v>
      </c>
      <c r="DY13" s="34" t="s">
        <v>32</v>
      </c>
      <c r="DZ13" s="34" t="s">
        <v>32</v>
      </c>
      <c r="EA13" s="32" t="s">
        <v>32</v>
      </c>
      <c r="EB13" s="32" t="s">
        <v>32</v>
      </c>
      <c r="EC13" s="29" t="s">
        <v>32</v>
      </c>
      <c r="ED13" s="28" t="s">
        <v>32</v>
      </c>
      <c r="EE13" s="26" t="s">
        <v>32</v>
      </c>
      <c r="EF13" s="34" t="s">
        <v>32</v>
      </c>
      <c r="EG13" s="34" t="s">
        <v>32</v>
      </c>
      <c r="EH13" s="34"/>
      <c r="EI13" s="33">
        <f t="shared" si="10"/>
        <v>0</v>
      </c>
      <c r="EJ13" s="24"/>
      <c r="EK13" s="25">
        <v>45361</v>
      </c>
      <c r="EL13" s="26" t="s">
        <v>32</v>
      </c>
      <c r="EM13" s="26" t="s">
        <v>32</v>
      </c>
      <c r="EN13" s="27">
        <f t="shared" si="5"/>
        <v>0</v>
      </c>
      <c r="EO13" s="28" t="s">
        <v>32</v>
      </c>
      <c r="EP13" s="29" t="s">
        <v>32</v>
      </c>
      <c r="EQ13" s="29" t="s">
        <v>32</v>
      </c>
      <c r="ER13" s="34" t="s">
        <v>32</v>
      </c>
      <c r="ES13" s="34"/>
      <c r="ET13" s="31" t="s">
        <v>32</v>
      </c>
      <c r="EU13" s="34" t="s">
        <v>32</v>
      </c>
      <c r="EV13" s="32" t="s">
        <v>32</v>
      </c>
      <c r="EW13" s="32" t="s">
        <v>32</v>
      </c>
      <c r="EX13" s="34" t="s">
        <v>32</v>
      </c>
      <c r="EY13" s="28"/>
      <c r="EZ13" s="28" t="s">
        <v>32</v>
      </c>
      <c r="FA13" s="34" t="s">
        <v>32</v>
      </c>
      <c r="FB13" s="34" t="s">
        <v>32</v>
      </c>
      <c r="FC13" s="32" t="s">
        <v>32</v>
      </c>
      <c r="FD13" s="32" t="s">
        <v>32</v>
      </c>
      <c r="FE13" s="29" t="s">
        <v>32</v>
      </c>
      <c r="FF13" s="28" t="s">
        <v>32</v>
      </c>
      <c r="FG13" s="26" t="s">
        <v>32</v>
      </c>
      <c r="FH13" s="34" t="s">
        <v>32</v>
      </c>
      <c r="FI13" s="34" t="s">
        <v>32</v>
      </c>
      <c r="FJ13" s="34"/>
      <c r="FK13" s="33">
        <f t="shared" si="11"/>
        <v>0</v>
      </c>
      <c r="FL13" s="24"/>
    </row>
    <row r="14" spans="1:168" x14ac:dyDescent="0.3">
      <c r="A14" s="25">
        <v>45210</v>
      </c>
      <c r="B14" s="26" t="s">
        <v>32</v>
      </c>
      <c r="C14" s="26" t="s">
        <v>32</v>
      </c>
      <c r="D14" s="27">
        <f t="shared" si="0"/>
        <v>0</v>
      </c>
      <c r="E14" s="28" t="s">
        <v>32</v>
      </c>
      <c r="F14" s="26" t="s">
        <v>32</v>
      </c>
      <c r="G14" s="26" t="s">
        <v>32</v>
      </c>
      <c r="H14" s="34" t="s">
        <v>32</v>
      </c>
      <c r="I14" s="34"/>
      <c r="J14" s="31" t="s">
        <v>32</v>
      </c>
      <c r="K14" s="34" t="s">
        <v>33</v>
      </c>
      <c r="L14" s="32" t="s">
        <v>32</v>
      </c>
      <c r="M14" s="32"/>
      <c r="N14" s="34" t="s">
        <v>32</v>
      </c>
      <c r="O14" s="28"/>
      <c r="P14" s="28" t="s">
        <v>32</v>
      </c>
      <c r="Q14" s="34" t="s">
        <v>32</v>
      </c>
      <c r="R14" s="34" t="s">
        <v>32</v>
      </c>
      <c r="S14" s="32" t="s">
        <v>32</v>
      </c>
      <c r="T14" s="32" t="s">
        <v>33</v>
      </c>
      <c r="U14" s="26" t="s">
        <v>32</v>
      </c>
      <c r="V14" s="28" t="s">
        <v>32</v>
      </c>
      <c r="W14" s="26" t="s">
        <v>32</v>
      </c>
      <c r="X14" s="34" t="s">
        <v>32</v>
      </c>
      <c r="Y14" s="34" t="s">
        <v>32</v>
      </c>
      <c r="Z14" s="34" t="s">
        <v>32</v>
      </c>
      <c r="AA14" s="33">
        <f t="shared" si="6"/>
        <v>0</v>
      </c>
      <c r="AB14" s="24"/>
      <c r="AC14" s="25">
        <v>45241</v>
      </c>
      <c r="AD14" s="26">
        <v>0</v>
      </c>
      <c r="AE14" s="26">
        <v>0</v>
      </c>
      <c r="AF14" s="27">
        <f t="shared" si="1"/>
        <v>0</v>
      </c>
      <c r="AG14" s="28">
        <v>0</v>
      </c>
      <c r="AH14" s="29">
        <v>0</v>
      </c>
      <c r="AI14" s="29">
        <v>0</v>
      </c>
      <c r="AJ14" s="34" t="s">
        <v>32</v>
      </c>
      <c r="AK14" s="34"/>
      <c r="AL14" s="31" t="s">
        <v>32</v>
      </c>
      <c r="AM14" s="34" t="s">
        <v>33</v>
      </c>
      <c r="AN14" s="32" t="s">
        <v>32</v>
      </c>
      <c r="AO14" s="32"/>
      <c r="AP14" s="34" t="s">
        <v>32</v>
      </c>
      <c r="AQ14" s="28"/>
      <c r="AR14" s="28" t="s">
        <v>32</v>
      </c>
      <c r="AS14" s="34" t="s">
        <v>32</v>
      </c>
      <c r="AT14" s="34" t="s">
        <v>32</v>
      </c>
      <c r="AU14" s="32" t="s">
        <v>32</v>
      </c>
      <c r="AV14" s="32" t="s">
        <v>33</v>
      </c>
      <c r="AW14" s="29" t="s">
        <v>32</v>
      </c>
      <c r="AX14" s="28" t="s">
        <v>32</v>
      </c>
      <c r="AY14" s="26" t="s">
        <v>32</v>
      </c>
      <c r="AZ14" s="34" t="s">
        <v>32</v>
      </c>
      <c r="BA14" s="34" t="s">
        <v>32</v>
      </c>
      <c r="BB14" s="34" t="s">
        <v>32</v>
      </c>
      <c r="BC14" s="33">
        <f t="shared" si="7"/>
        <v>0</v>
      </c>
      <c r="BD14" s="24"/>
      <c r="BE14" s="25">
        <v>45271</v>
      </c>
      <c r="BF14" s="26">
        <v>0</v>
      </c>
      <c r="BG14" s="26">
        <v>0</v>
      </c>
      <c r="BH14" s="27">
        <f t="shared" si="2"/>
        <v>0</v>
      </c>
      <c r="BI14" s="28">
        <v>1460</v>
      </c>
      <c r="BJ14" s="26">
        <v>2315</v>
      </c>
      <c r="BK14" s="26">
        <v>4.5</v>
      </c>
      <c r="BL14" s="34" t="s">
        <v>32</v>
      </c>
      <c r="BM14" s="34"/>
      <c r="BN14" s="31" t="s">
        <v>32</v>
      </c>
      <c r="BO14" s="34" t="s">
        <v>33</v>
      </c>
      <c r="BP14" s="32" t="s">
        <v>32</v>
      </c>
      <c r="BQ14" s="32" t="s">
        <v>32</v>
      </c>
      <c r="BR14" s="34" t="s">
        <v>32</v>
      </c>
      <c r="BS14" s="28"/>
      <c r="BT14" s="28" t="s">
        <v>32</v>
      </c>
      <c r="BU14" s="34" t="s">
        <v>32</v>
      </c>
      <c r="BV14" s="34" t="s">
        <v>32</v>
      </c>
      <c r="BW14" s="32" t="s">
        <v>32</v>
      </c>
      <c r="BX14" s="32" t="s">
        <v>33</v>
      </c>
      <c r="BY14" s="26" t="s">
        <v>32</v>
      </c>
      <c r="BZ14" s="28" t="s">
        <v>32</v>
      </c>
      <c r="CA14" s="26" t="s">
        <v>32</v>
      </c>
      <c r="CB14" s="34" t="s">
        <v>32</v>
      </c>
      <c r="CC14" s="34" t="s">
        <v>32</v>
      </c>
      <c r="CD14" s="34" t="s">
        <v>32</v>
      </c>
      <c r="CE14" s="33">
        <f t="shared" si="8"/>
        <v>0</v>
      </c>
      <c r="CF14" s="24"/>
      <c r="CG14" s="25">
        <v>45302</v>
      </c>
      <c r="CH14" s="26">
        <v>0</v>
      </c>
      <c r="CI14" s="26">
        <v>0</v>
      </c>
      <c r="CJ14" s="27">
        <f t="shared" si="3"/>
        <v>0</v>
      </c>
      <c r="CK14" s="28">
        <v>0</v>
      </c>
      <c r="CL14" s="29">
        <v>0</v>
      </c>
      <c r="CM14" s="29">
        <v>0</v>
      </c>
      <c r="CN14" s="34" t="s">
        <v>32</v>
      </c>
      <c r="CO14" s="34"/>
      <c r="CP14" s="31" t="s">
        <v>32</v>
      </c>
      <c r="CQ14" s="34" t="s">
        <v>33</v>
      </c>
      <c r="CR14" s="32" t="s">
        <v>32</v>
      </c>
      <c r="CS14" s="32" t="s">
        <v>32</v>
      </c>
      <c r="CT14" s="34" t="s">
        <v>32</v>
      </c>
      <c r="CU14" s="28"/>
      <c r="CV14" s="28" t="s">
        <v>32</v>
      </c>
      <c r="CW14" s="34" t="s">
        <v>32</v>
      </c>
      <c r="CX14" s="34" t="s">
        <v>32</v>
      </c>
      <c r="CY14" s="32" t="s">
        <v>32</v>
      </c>
      <c r="CZ14" s="32" t="s">
        <v>33</v>
      </c>
      <c r="DA14" s="29" t="s">
        <v>32</v>
      </c>
      <c r="DB14" s="28" t="s">
        <v>32</v>
      </c>
      <c r="DC14" s="26" t="s">
        <v>32</v>
      </c>
      <c r="DD14" s="34" t="s">
        <v>32</v>
      </c>
      <c r="DE14" s="34" t="s">
        <v>32</v>
      </c>
      <c r="DF14" s="34" t="s">
        <v>32</v>
      </c>
      <c r="DG14" s="33">
        <f t="shared" si="9"/>
        <v>0</v>
      </c>
      <c r="DH14" s="24"/>
      <c r="DI14" s="25">
        <v>45333</v>
      </c>
      <c r="DJ14" s="26">
        <v>0</v>
      </c>
      <c r="DK14" s="26">
        <v>0</v>
      </c>
      <c r="DL14" s="27">
        <f t="shared" si="4"/>
        <v>100772</v>
      </c>
      <c r="DM14" s="28">
        <v>792</v>
      </c>
      <c r="DN14" s="29">
        <v>0</v>
      </c>
      <c r="DO14" s="29">
        <v>4</v>
      </c>
      <c r="DP14" s="34" t="s">
        <v>32</v>
      </c>
      <c r="DQ14" s="34"/>
      <c r="DR14" s="31" t="s">
        <v>32</v>
      </c>
      <c r="DS14" s="34" t="s">
        <v>33</v>
      </c>
      <c r="DT14" s="32">
        <v>11400</v>
      </c>
      <c r="DU14" s="32">
        <v>11000</v>
      </c>
      <c r="DV14" s="34">
        <v>45000</v>
      </c>
      <c r="DW14" s="28">
        <v>32822</v>
      </c>
      <c r="DX14" s="28" t="s">
        <v>32</v>
      </c>
      <c r="DY14" s="34">
        <v>550</v>
      </c>
      <c r="DZ14" s="34" t="s">
        <v>32</v>
      </c>
      <c r="EA14" s="32" t="s">
        <v>32</v>
      </c>
      <c r="EB14" s="32" t="s">
        <v>33</v>
      </c>
      <c r="EC14" s="29" t="s">
        <v>32</v>
      </c>
      <c r="ED14" s="28" t="s">
        <v>32</v>
      </c>
      <c r="EE14" s="26" t="s">
        <v>32</v>
      </c>
      <c r="EF14" s="34" t="s">
        <v>32</v>
      </c>
      <c r="EG14" s="34" t="s">
        <v>32</v>
      </c>
      <c r="EH14" s="34" t="s">
        <v>32</v>
      </c>
      <c r="EI14" s="33">
        <f t="shared" si="10"/>
        <v>100772</v>
      </c>
      <c r="EJ14" s="24"/>
      <c r="EK14" s="25">
        <v>45362</v>
      </c>
      <c r="EL14" s="26">
        <v>0</v>
      </c>
      <c r="EM14" s="26">
        <v>0</v>
      </c>
      <c r="EN14" s="27">
        <f t="shared" si="5"/>
        <v>0</v>
      </c>
      <c r="EO14" s="28">
        <v>2190</v>
      </c>
      <c r="EP14" s="29">
        <v>2502</v>
      </c>
      <c r="EQ14" s="29">
        <v>7.75</v>
      </c>
      <c r="ER14" s="34" t="s">
        <v>32</v>
      </c>
      <c r="ES14" s="34"/>
      <c r="ET14" s="31" t="s">
        <v>32</v>
      </c>
      <c r="EU14" s="34" t="s">
        <v>33</v>
      </c>
      <c r="EV14" s="32" t="s">
        <v>32</v>
      </c>
      <c r="EW14" s="32" t="s">
        <v>32</v>
      </c>
      <c r="EX14" s="34" t="s">
        <v>32</v>
      </c>
      <c r="EY14" s="28"/>
      <c r="EZ14" s="28" t="s">
        <v>32</v>
      </c>
      <c r="FA14" s="34" t="s">
        <v>32</v>
      </c>
      <c r="FB14" s="34" t="s">
        <v>32</v>
      </c>
      <c r="FC14" s="32" t="s">
        <v>32</v>
      </c>
      <c r="FD14" s="32" t="s">
        <v>33</v>
      </c>
      <c r="FE14" s="29" t="s">
        <v>32</v>
      </c>
      <c r="FF14" s="28" t="s">
        <v>32</v>
      </c>
      <c r="FG14" s="26" t="s">
        <v>32</v>
      </c>
      <c r="FH14" s="34" t="s">
        <v>32</v>
      </c>
      <c r="FI14" s="34" t="s">
        <v>32</v>
      </c>
      <c r="FJ14" s="34" t="s">
        <v>32</v>
      </c>
      <c r="FK14" s="33">
        <f t="shared" si="11"/>
        <v>0</v>
      </c>
      <c r="FL14" s="24"/>
    </row>
    <row r="15" spans="1:168" x14ac:dyDescent="0.3">
      <c r="A15" s="25">
        <v>45211</v>
      </c>
      <c r="B15" s="26" t="s">
        <v>32</v>
      </c>
      <c r="C15" s="26" t="s">
        <v>32</v>
      </c>
      <c r="D15" s="27">
        <f t="shared" si="0"/>
        <v>0</v>
      </c>
      <c r="E15" s="28" t="s">
        <v>32</v>
      </c>
      <c r="F15" s="26" t="s">
        <v>32</v>
      </c>
      <c r="G15" s="26" t="s">
        <v>32</v>
      </c>
      <c r="H15" s="34" t="s">
        <v>33</v>
      </c>
      <c r="I15" s="34"/>
      <c r="J15" s="31" t="s">
        <v>32</v>
      </c>
      <c r="K15" s="34" t="s">
        <v>32</v>
      </c>
      <c r="L15" s="32" t="s">
        <v>32</v>
      </c>
      <c r="M15" s="32"/>
      <c r="N15" s="34" t="s">
        <v>32</v>
      </c>
      <c r="O15" s="28" t="s">
        <v>32</v>
      </c>
      <c r="P15" s="28" t="s">
        <v>32</v>
      </c>
      <c r="Q15" s="34" t="s">
        <v>32</v>
      </c>
      <c r="R15" s="34" t="s">
        <v>32</v>
      </c>
      <c r="S15" s="32" t="s">
        <v>32</v>
      </c>
      <c r="T15" s="32"/>
      <c r="U15" s="26" t="s">
        <v>32</v>
      </c>
      <c r="V15" s="28" t="s">
        <v>32</v>
      </c>
      <c r="W15" s="26" t="s">
        <v>32</v>
      </c>
      <c r="X15" s="34" t="s">
        <v>32</v>
      </c>
      <c r="Y15" s="34" t="s">
        <v>32</v>
      </c>
      <c r="Z15" s="34"/>
      <c r="AA15" s="33">
        <f t="shared" si="6"/>
        <v>0</v>
      </c>
      <c r="AB15" s="24"/>
      <c r="AC15" s="25">
        <v>45242</v>
      </c>
      <c r="AD15" s="26">
        <v>0</v>
      </c>
      <c r="AE15" s="26">
        <v>0</v>
      </c>
      <c r="AF15" s="27">
        <f t="shared" si="1"/>
        <v>33550</v>
      </c>
      <c r="AG15" s="28">
        <v>0</v>
      </c>
      <c r="AH15" s="29">
        <v>0</v>
      </c>
      <c r="AI15" s="29">
        <v>0</v>
      </c>
      <c r="AJ15" s="34" t="s">
        <v>33</v>
      </c>
      <c r="AK15" s="34"/>
      <c r="AL15" s="31" t="s">
        <v>32</v>
      </c>
      <c r="AM15" s="34" t="s">
        <v>32</v>
      </c>
      <c r="AN15" s="32" t="s">
        <v>32</v>
      </c>
      <c r="AO15" s="32">
        <v>14150</v>
      </c>
      <c r="AP15" s="34">
        <v>4000</v>
      </c>
      <c r="AQ15" s="28">
        <v>350</v>
      </c>
      <c r="AR15" s="28">
        <v>500</v>
      </c>
      <c r="AS15" s="34">
        <v>3550</v>
      </c>
      <c r="AT15" s="34" t="s">
        <v>32</v>
      </c>
      <c r="AU15" s="32" t="s">
        <v>32</v>
      </c>
      <c r="AV15" s="32"/>
      <c r="AW15" s="29" t="s">
        <v>32</v>
      </c>
      <c r="AX15" s="28" t="s">
        <v>32</v>
      </c>
      <c r="AY15" s="26">
        <v>11000</v>
      </c>
      <c r="AZ15" s="34" t="s">
        <v>40</v>
      </c>
      <c r="BA15" s="34" t="s">
        <v>32</v>
      </c>
      <c r="BB15" s="34"/>
      <c r="BC15" s="33">
        <f t="shared" si="7"/>
        <v>33550</v>
      </c>
      <c r="BD15" s="24"/>
      <c r="BE15" s="25">
        <v>45272</v>
      </c>
      <c r="BF15" s="26">
        <v>0</v>
      </c>
      <c r="BG15" s="26">
        <v>0</v>
      </c>
      <c r="BH15" s="27">
        <f t="shared" si="2"/>
        <v>40800</v>
      </c>
      <c r="BI15" s="28">
        <v>0</v>
      </c>
      <c r="BJ15" s="26">
        <v>0</v>
      </c>
      <c r="BK15" s="26">
        <v>0</v>
      </c>
      <c r="BL15" s="34" t="s">
        <v>33</v>
      </c>
      <c r="BM15" s="34"/>
      <c r="BN15" s="31" t="s">
        <v>32</v>
      </c>
      <c r="BO15" s="34" t="s">
        <v>32</v>
      </c>
      <c r="BP15" s="32">
        <v>840</v>
      </c>
      <c r="BQ15" s="32">
        <v>8450</v>
      </c>
      <c r="BR15" s="34">
        <v>21000</v>
      </c>
      <c r="BS15" s="28" t="s">
        <v>32</v>
      </c>
      <c r="BT15" s="28">
        <v>700</v>
      </c>
      <c r="BU15" s="34">
        <v>6770</v>
      </c>
      <c r="BV15" s="34" t="s">
        <v>32</v>
      </c>
      <c r="BW15" s="32">
        <v>2040</v>
      </c>
      <c r="BX15" s="32" t="s">
        <v>51</v>
      </c>
      <c r="BY15" s="26" t="s">
        <v>32</v>
      </c>
      <c r="BZ15" s="28" t="s">
        <v>32</v>
      </c>
      <c r="CA15" s="26" t="s">
        <v>32</v>
      </c>
      <c r="CB15" s="34" t="s">
        <v>32</v>
      </c>
      <c r="CC15" s="34">
        <v>1000</v>
      </c>
      <c r="CD15" s="34" t="s">
        <v>52</v>
      </c>
      <c r="CE15" s="33">
        <f t="shared" si="8"/>
        <v>40800</v>
      </c>
      <c r="CF15" s="24"/>
      <c r="CG15" s="25">
        <v>45303</v>
      </c>
      <c r="CH15" s="26">
        <v>16</v>
      </c>
      <c r="CI15" s="26">
        <v>900</v>
      </c>
      <c r="CJ15" s="27">
        <f t="shared" si="3"/>
        <v>86742</v>
      </c>
      <c r="CK15" s="28">
        <v>3966</v>
      </c>
      <c r="CL15" s="29">
        <v>1995</v>
      </c>
      <c r="CM15" s="29">
        <v>8.5</v>
      </c>
      <c r="CN15" s="34" t="s">
        <v>33</v>
      </c>
      <c r="CO15" s="34"/>
      <c r="CP15" s="31" t="s">
        <v>32</v>
      </c>
      <c r="CQ15" s="34" t="s">
        <v>32</v>
      </c>
      <c r="CR15" s="32">
        <v>1100</v>
      </c>
      <c r="CS15" s="32">
        <v>7541</v>
      </c>
      <c r="CT15" s="34">
        <v>45000</v>
      </c>
      <c r="CU15" s="28" t="s">
        <v>32</v>
      </c>
      <c r="CV15" s="28">
        <v>500</v>
      </c>
      <c r="CW15" s="34">
        <v>400</v>
      </c>
      <c r="CX15" s="34">
        <v>821</v>
      </c>
      <c r="CY15" s="32">
        <v>1200</v>
      </c>
      <c r="CZ15" s="32" t="s">
        <v>62</v>
      </c>
      <c r="DA15" s="29" t="s">
        <v>32</v>
      </c>
      <c r="DB15" s="28" t="s">
        <v>32</v>
      </c>
      <c r="DC15" s="26">
        <v>30180</v>
      </c>
      <c r="DD15" s="34" t="s">
        <v>61</v>
      </c>
      <c r="DE15" s="34"/>
      <c r="DF15" s="34"/>
      <c r="DG15" s="33">
        <f t="shared" si="9"/>
        <v>86742</v>
      </c>
      <c r="DH15" s="24"/>
      <c r="DI15" s="25">
        <v>45334</v>
      </c>
      <c r="DJ15" s="26">
        <v>0</v>
      </c>
      <c r="DK15" s="26">
        <v>0</v>
      </c>
      <c r="DL15" s="27">
        <f t="shared" si="4"/>
        <v>58000</v>
      </c>
      <c r="DM15" s="28">
        <v>2173</v>
      </c>
      <c r="DN15" s="29">
        <v>1674</v>
      </c>
      <c r="DO15" s="29">
        <v>7</v>
      </c>
      <c r="DP15" s="34" t="s">
        <v>33</v>
      </c>
      <c r="DQ15" s="34"/>
      <c r="DR15" s="31">
        <v>33600</v>
      </c>
      <c r="DS15" s="34" t="s">
        <v>32</v>
      </c>
      <c r="DT15" s="32">
        <v>24400</v>
      </c>
      <c r="DU15" s="32" t="s">
        <v>32</v>
      </c>
      <c r="DV15" s="34" t="s">
        <v>32</v>
      </c>
      <c r="DW15" s="28" t="s">
        <v>32</v>
      </c>
      <c r="DX15" s="28" t="s">
        <v>32</v>
      </c>
      <c r="DY15" s="34" t="s">
        <v>32</v>
      </c>
      <c r="DZ15" s="34" t="s">
        <v>32</v>
      </c>
      <c r="EA15" s="32" t="s">
        <v>32</v>
      </c>
      <c r="EB15" s="32"/>
      <c r="EC15" s="29" t="s">
        <v>32</v>
      </c>
      <c r="ED15" s="28" t="s">
        <v>32</v>
      </c>
      <c r="EE15" s="26" t="s">
        <v>32</v>
      </c>
      <c r="EF15" s="34" t="s">
        <v>32</v>
      </c>
      <c r="EG15" s="34" t="s">
        <v>32</v>
      </c>
      <c r="EH15" s="34"/>
      <c r="EI15" s="33">
        <f t="shared" si="10"/>
        <v>58000</v>
      </c>
      <c r="EJ15" s="24"/>
      <c r="EK15" s="25">
        <v>45363</v>
      </c>
      <c r="EL15" s="26">
        <v>518</v>
      </c>
      <c r="EM15" s="26">
        <v>39197</v>
      </c>
      <c r="EN15" s="27">
        <f t="shared" si="5"/>
        <v>10300</v>
      </c>
      <c r="EO15" s="28">
        <v>2141</v>
      </c>
      <c r="EP15" s="29">
        <v>3320</v>
      </c>
      <c r="EQ15" s="29">
        <v>9.5500000000000007</v>
      </c>
      <c r="ER15" s="34" t="s">
        <v>33</v>
      </c>
      <c r="ES15" s="34"/>
      <c r="ET15" s="31" t="s">
        <v>32</v>
      </c>
      <c r="EU15" s="34" t="s">
        <v>32</v>
      </c>
      <c r="EV15" s="32">
        <v>300</v>
      </c>
      <c r="EW15" s="32" t="s">
        <v>32</v>
      </c>
      <c r="EX15" s="34">
        <v>5000</v>
      </c>
      <c r="EY15" s="28" t="s">
        <v>32</v>
      </c>
      <c r="EZ15" s="28" t="s">
        <v>32</v>
      </c>
      <c r="FA15" s="34" t="s">
        <v>32</v>
      </c>
      <c r="FB15" s="34" t="s">
        <v>32</v>
      </c>
      <c r="FC15" s="32" t="s">
        <v>32</v>
      </c>
      <c r="FD15" s="32"/>
      <c r="FE15" s="29">
        <v>5000</v>
      </c>
      <c r="FF15" s="28" t="s">
        <v>32</v>
      </c>
      <c r="FG15" s="26" t="s">
        <v>32</v>
      </c>
      <c r="FH15" s="34" t="s">
        <v>32</v>
      </c>
      <c r="FI15" s="34" t="s">
        <v>32</v>
      </c>
      <c r="FJ15" s="34"/>
      <c r="FK15" s="33">
        <f t="shared" si="11"/>
        <v>10300</v>
      </c>
      <c r="FL15" s="24"/>
    </row>
    <row r="16" spans="1:168" x14ac:dyDescent="0.3">
      <c r="A16" s="25">
        <v>45212</v>
      </c>
      <c r="B16" s="26" t="s">
        <v>33</v>
      </c>
      <c r="C16" s="26" t="s">
        <v>32</v>
      </c>
      <c r="D16" s="27">
        <f t="shared" si="0"/>
        <v>0</v>
      </c>
      <c r="E16" s="28" t="s">
        <v>32</v>
      </c>
      <c r="F16" s="26" t="s">
        <v>32</v>
      </c>
      <c r="G16" s="26" t="s">
        <v>32</v>
      </c>
      <c r="H16" s="34" t="s">
        <v>32</v>
      </c>
      <c r="I16" s="34"/>
      <c r="J16" s="31" t="s">
        <v>32</v>
      </c>
      <c r="K16" s="34" t="s">
        <v>32</v>
      </c>
      <c r="L16" s="32" t="s">
        <v>32</v>
      </c>
      <c r="M16" s="32"/>
      <c r="N16" s="34" t="s">
        <v>32</v>
      </c>
      <c r="O16" s="28"/>
      <c r="P16" s="28" t="s">
        <v>32</v>
      </c>
      <c r="Q16" s="34" t="s">
        <v>32</v>
      </c>
      <c r="R16" s="34" t="s">
        <v>32</v>
      </c>
      <c r="S16" s="32" t="s">
        <v>32</v>
      </c>
      <c r="T16" s="32" t="s">
        <v>32</v>
      </c>
      <c r="U16" s="26" t="s">
        <v>32</v>
      </c>
      <c r="V16" s="28"/>
      <c r="W16" s="26" t="s">
        <v>32</v>
      </c>
      <c r="X16" s="34" t="s">
        <v>32</v>
      </c>
      <c r="Y16" s="34" t="s">
        <v>32</v>
      </c>
      <c r="Z16" s="34"/>
      <c r="AA16" s="33">
        <f t="shared" si="6"/>
        <v>0</v>
      </c>
      <c r="AB16" s="24"/>
      <c r="AC16" s="25">
        <v>45243</v>
      </c>
      <c r="AD16" s="26">
        <v>0</v>
      </c>
      <c r="AE16" s="26">
        <v>0</v>
      </c>
      <c r="AF16" s="27">
        <f t="shared" si="1"/>
        <v>0</v>
      </c>
      <c r="AG16" s="28">
        <v>0</v>
      </c>
      <c r="AH16" s="29">
        <v>0</v>
      </c>
      <c r="AI16" s="29">
        <v>0</v>
      </c>
      <c r="AJ16" s="34" t="s">
        <v>32</v>
      </c>
      <c r="AK16" s="34"/>
      <c r="AL16" s="31" t="s">
        <v>32</v>
      </c>
      <c r="AM16" s="34" t="s">
        <v>32</v>
      </c>
      <c r="AN16" s="32" t="s">
        <v>32</v>
      </c>
      <c r="AO16" s="32"/>
      <c r="AP16" s="34" t="s">
        <v>32</v>
      </c>
      <c r="AQ16" s="28"/>
      <c r="AR16" s="28" t="s">
        <v>32</v>
      </c>
      <c r="AS16" s="34" t="s">
        <v>32</v>
      </c>
      <c r="AT16" s="34" t="s">
        <v>32</v>
      </c>
      <c r="AU16" s="32" t="s">
        <v>32</v>
      </c>
      <c r="AV16" s="32" t="s">
        <v>32</v>
      </c>
      <c r="AW16" s="29" t="s">
        <v>32</v>
      </c>
      <c r="AX16" s="28"/>
      <c r="AY16" s="26" t="s">
        <v>32</v>
      </c>
      <c r="AZ16" s="34" t="s">
        <v>32</v>
      </c>
      <c r="BA16" s="34" t="s">
        <v>32</v>
      </c>
      <c r="BB16" s="34"/>
      <c r="BC16" s="33">
        <f t="shared" si="7"/>
        <v>0</v>
      </c>
      <c r="BD16" s="24"/>
      <c r="BE16" s="25">
        <v>45273</v>
      </c>
      <c r="BF16" s="26">
        <v>0</v>
      </c>
      <c r="BG16" s="26">
        <v>0</v>
      </c>
      <c r="BH16" s="27">
        <f t="shared" si="2"/>
        <v>0</v>
      </c>
      <c r="BI16" s="28">
        <v>0</v>
      </c>
      <c r="BJ16" s="26">
        <v>0</v>
      </c>
      <c r="BK16" s="26">
        <v>0</v>
      </c>
      <c r="BL16" s="34" t="s">
        <v>32</v>
      </c>
      <c r="BM16" s="34"/>
      <c r="BN16" s="31" t="s">
        <v>32</v>
      </c>
      <c r="BO16" s="34" t="s">
        <v>32</v>
      </c>
      <c r="BP16" s="32" t="s">
        <v>32</v>
      </c>
      <c r="BQ16" s="32"/>
      <c r="BR16" s="34" t="s">
        <v>32</v>
      </c>
      <c r="BS16" s="28"/>
      <c r="BT16" s="28" t="s">
        <v>32</v>
      </c>
      <c r="BU16" s="34" t="s">
        <v>32</v>
      </c>
      <c r="BV16" s="34" t="s">
        <v>32</v>
      </c>
      <c r="BW16" s="32" t="s">
        <v>32</v>
      </c>
      <c r="BX16" s="32" t="s">
        <v>32</v>
      </c>
      <c r="BY16" s="26" t="s">
        <v>32</v>
      </c>
      <c r="BZ16" s="28"/>
      <c r="CA16" s="26" t="s">
        <v>32</v>
      </c>
      <c r="CB16" s="34" t="s">
        <v>32</v>
      </c>
      <c r="CC16" s="34" t="s">
        <v>32</v>
      </c>
      <c r="CD16" s="34"/>
      <c r="CE16" s="33">
        <f t="shared" si="8"/>
        <v>0</v>
      </c>
      <c r="CF16" s="24"/>
      <c r="CG16" s="25">
        <v>45304</v>
      </c>
      <c r="CH16" s="26">
        <v>171</v>
      </c>
      <c r="CI16" s="26">
        <v>11100</v>
      </c>
      <c r="CJ16" s="27">
        <f t="shared" si="3"/>
        <v>830</v>
      </c>
      <c r="CK16" s="28">
        <v>1856</v>
      </c>
      <c r="CL16" s="29">
        <v>1496</v>
      </c>
      <c r="CM16" s="29">
        <v>7.5</v>
      </c>
      <c r="CN16" s="34" t="s">
        <v>32</v>
      </c>
      <c r="CO16" s="34"/>
      <c r="CP16" s="31" t="s">
        <v>32</v>
      </c>
      <c r="CQ16" s="34" t="s">
        <v>32</v>
      </c>
      <c r="CR16" s="32" t="s">
        <v>32</v>
      </c>
      <c r="CS16" s="32"/>
      <c r="CT16" s="34" t="s">
        <v>32</v>
      </c>
      <c r="CU16" s="28"/>
      <c r="CV16" s="28" t="s">
        <v>32</v>
      </c>
      <c r="CW16" s="34">
        <v>830</v>
      </c>
      <c r="CX16" s="34" t="s">
        <v>32</v>
      </c>
      <c r="CY16" s="32" t="s">
        <v>32</v>
      </c>
      <c r="CZ16" s="32" t="s">
        <v>32</v>
      </c>
      <c r="DA16" s="29" t="s">
        <v>32</v>
      </c>
      <c r="DB16" s="28"/>
      <c r="DC16" s="26" t="s">
        <v>32</v>
      </c>
      <c r="DD16" s="34" t="s">
        <v>32</v>
      </c>
      <c r="DE16" s="34" t="s">
        <v>32</v>
      </c>
      <c r="DF16" s="34"/>
      <c r="DG16" s="33">
        <f t="shared" si="9"/>
        <v>830</v>
      </c>
      <c r="DH16" s="24"/>
      <c r="DI16" s="25">
        <v>45335</v>
      </c>
      <c r="DJ16" s="26">
        <v>0</v>
      </c>
      <c r="DK16" s="26">
        <v>0</v>
      </c>
      <c r="DL16" s="27">
        <f t="shared" si="4"/>
        <v>0</v>
      </c>
      <c r="DM16" s="28">
        <v>2541</v>
      </c>
      <c r="DN16" s="29">
        <v>3507</v>
      </c>
      <c r="DO16" s="29">
        <v>9.3000000000000007</v>
      </c>
      <c r="DP16" s="34" t="s">
        <v>32</v>
      </c>
      <c r="DQ16" s="34"/>
      <c r="DR16" s="31" t="s">
        <v>32</v>
      </c>
      <c r="DS16" s="34" t="s">
        <v>32</v>
      </c>
      <c r="DT16" s="32" t="s">
        <v>32</v>
      </c>
      <c r="DU16" s="32"/>
      <c r="DV16" s="34" t="s">
        <v>32</v>
      </c>
      <c r="DW16" s="28"/>
      <c r="DX16" s="28" t="s">
        <v>32</v>
      </c>
      <c r="DY16" s="34" t="s">
        <v>32</v>
      </c>
      <c r="DZ16" s="34" t="s">
        <v>32</v>
      </c>
      <c r="EA16" s="32" t="s">
        <v>32</v>
      </c>
      <c r="EB16" s="32" t="s">
        <v>32</v>
      </c>
      <c r="EC16" s="29" t="s">
        <v>32</v>
      </c>
      <c r="ED16" s="28"/>
      <c r="EE16" s="26" t="s">
        <v>32</v>
      </c>
      <c r="EF16" s="34" t="s">
        <v>32</v>
      </c>
      <c r="EG16" s="34" t="s">
        <v>32</v>
      </c>
      <c r="EH16" s="34"/>
      <c r="EI16" s="33">
        <f t="shared" si="10"/>
        <v>0</v>
      </c>
      <c r="EJ16" s="24"/>
      <c r="EK16" s="25">
        <v>45364</v>
      </c>
      <c r="EL16" s="26">
        <v>0</v>
      </c>
      <c r="EM16" s="26">
        <v>0</v>
      </c>
      <c r="EN16" s="27">
        <f t="shared" si="5"/>
        <v>0</v>
      </c>
      <c r="EO16" s="28">
        <v>2394</v>
      </c>
      <c r="EP16" s="29">
        <v>2141</v>
      </c>
      <c r="EQ16" s="29">
        <v>8.75</v>
      </c>
      <c r="ER16" s="34" t="s">
        <v>32</v>
      </c>
      <c r="ES16" s="34"/>
      <c r="ET16" s="31" t="s">
        <v>32</v>
      </c>
      <c r="EU16" s="34" t="s">
        <v>32</v>
      </c>
      <c r="EV16" s="32" t="s">
        <v>32</v>
      </c>
      <c r="EW16" s="32"/>
      <c r="EX16" s="34" t="s">
        <v>32</v>
      </c>
      <c r="EY16" s="28"/>
      <c r="EZ16" s="28" t="s">
        <v>32</v>
      </c>
      <c r="FA16" s="34" t="s">
        <v>32</v>
      </c>
      <c r="FB16" s="34" t="s">
        <v>32</v>
      </c>
      <c r="FC16" s="32" t="s">
        <v>32</v>
      </c>
      <c r="FD16" s="32" t="s">
        <v>32</v>
      </c>
      <c r="FE16" s="29" t="s">
        <v>32</v>
      </c>
      <c r="FF16" s="28"/>
      <c r="FG16" s="26" t="s">
        <v>32</v>
      </c>
      <c r="FH16" s="34" t="s">
        <v>32</v>
      </c>
      <c r="FI16" s="34" t="s">
        <v>32</v>
      </c>
      <c r="FJ16" s="34"/>
      <c r="FK16" s="33">
        <f t="shared" si="11"/>
        <v>0</v>
      </c>
      <c r="FL16" s="24"/>
    </row>
    <row r="17" spans="1:168" x14ac:dyDescent="0.3">
      <c r="A17" s="25">
        <v>45213</v>
      </c>
      <c r="B17" s="26" t="s">
        <v>32</v>
      </c>
      <c r="C17" s="26" t="s">
        <v>32</v>
      </c>
      <c r="D17" s="27">
        <f t="shared" si="0"/>
        <v>0</v>
      </c>
      <c r="E17" s="28" t="s">
        <v>32</v>
      </c>
      <c r="F17" s="26" t="s">
        <v>32</v>
      </c>
      <c r="G17" s="26" t="s">
        <v>32</v>
      </c>
      <c r="H17" s="34" t="s">
        <v>32</v>
      </c>
      <c r="I17" s="34"/>
      <c r="J17" s="31" t="s">
        <v>32</v>
      </c>
      <c r="K17" s="34" t="s">
        <v>32</v>
      </c>
      <c r="L17" s="32" t="s">
        <v>32</v>
      </c>
      <c r="M17" s="32"/>
      <c r="N17" s="34"/>
      <c r="O17" s="28"/>
      <c r="P17" s="28" t="s">
        <v>32</v>
      </c>
      <c r="Q17" s="34" t="s">
        <v>32</v>
      </c>
      <c r="R17" s="34" t="s">
        <v>32</v>
      </c>
      <c r="S17" s="32" t="s">
        <v>32</v>
      </c>
      <c r="T17" s="32" t="s">
        <v>32</v>
      </c>
      <c r="U17" s="26" t="s">
        <v>32</v>
      </c>
      <c r="V17" s="28" t="s">
        <v>32</v>
      </c>
      <c r="W17" s="26" t="s">
        <v>32</v>
      </c>
      <c r="X17" s="34" t="s">
        <v>32</v>
      </c>
      <c r="Y17" s="34" t="s">
        <v>32</v>
      </c>
      <c r="Z17" s="34" t="s">
        <v>32</v>
      </c>
      <c r="AA17" s="33">
        <f>SUM(H17:Z17)</f>
        <v>0</v>
      </c>
      <c r="AB17" s="24"/>
      <c r="AC17" s="25">
        <v>45244</v>
      </c>
      <c r="AD17" s="26">
        <v>0</v>
      </c>
      <c r="AE17" s="26">
        <v>0</v>
      </c>
      <c r="AF17" s="27">
        <f t="shared" si="1"/>
        <v>0</v>
      </c>
      <c r="AG17" s="28">
        <v>0</v>
      </c>
      <c r="AH17" s="29">
        <v>0</v>
      </c>
      <c r="AI17" s="29">
        <v>0</v>
      </c>
      <c r="AJ17" s="34" t="s">
        <v>32</v>
      </c>
      <c r="AK17" s="34"/>
      <c r="AL17" s="31" t="s">
        <v>32</v>
      </c>
      <c r="AM17" s="34" t="s">
        <v>32</v>
      </c>
      <c r="AN17" s="32" t="s">
        <v>32</v>
      </c>
      <c r="AO17" s="32"/>
      <c r="AP17" s="34"/>
      <c r="AQ17" s="28"/>
      <c r="AR17" s="28" t="s">
        <v>32</v>
      </c>
      <c r="AS17" s="34" t="s">
        <v>32</v>
      </c>
      <c r="AT17" s="34" t="s">
        <v>32</v>
      </c>
      <c r="AU17" s="32" t="s">
        <v>32</v>
      </c>
      <c r="AV17" s="32" t="s">
        <v>32</v>
      </c>
      <c r="AW17" s="29" t="s">
        <v>32</v>
      </c>
      <c r="AX17" s="28" t="s">
        <v>32</v>
      </c>
      <c r="AY17" s="26" t="s">
        <v>32</v>
      </c>
      <c r="AZ17" s="34" t="s">
        <v>32</v>
      </c>
      <c r="BA17" s="34" t="s">
        <v>32</v>
      </c>
      <c r="BB17" s="34" t="s">
        <v>32</v>
      </c>
      <c r="BC17" s="33">
        <f>SUM(AJ17:BB17)</f>
        <v>0</v>
      </c>
      <c r="BD17" s="24"/>
      <c r="BE17" s="25">
        <v>45274</v>
      </c>
      <c r="BF17" s="26">
        <v>0</v>
      </c>
      <c r="BG17" s="26">
        <v>0</v>
      </c>
      <c r="BH17" s="27">
        <f t="shared" si="2"/>
        <v>58757</v>
      </c>
      <c r="BI17" s="28">
        <v>24</v>
      </c>
      <c r="BJ17" s="26">
        <v>1683</v>
      </c>
      <c r="BK17" s="26">
        <v>4</v>
      </c>
      <c r="BL17" s="34" t="s">
        <v>32</v>
      </c>
      <c r="BM17" s="34"/>
      <c r="BN17" s="31">
        <v>42560</v>
      </c>
      <c r="BO17" s="34" t="s">
        <v>32</v>
      </c>
      <c r="BP17" s="32" t="s">
        <v>32</v>
      </c>
      <c r="BQ17" s="32">
        <v>15922</v>
      </c>
      <c r="BR17" s="34"/>
      <c r="BS17" s="28"/>
      <c r="BT17" s="28" t="s">
        <v>32</v>
      </c>
      <c r="BU17" s="34">
        <v>275</v>
      </c>
      <c r="BV17" s="34" t="s">
        <v>32</v>
      </c>
      <c r="BW17" s="32" t="s">
        <v>32</v>
      </c>
      <c r="BX17" s="32" t="s">
        <v>32</v>
      </c>
      <c r="BY17" s="26" t="s">
        <v>32</v>
      </c>
      <c r="BZ17" s="28" t="s">
        <v>32</v>
      </c>
      <c r="CA17" s="26" t="s">
        <v>32</v>
      </c>
      <c r="CB17" s="34" t="s">
        <v>32</v>
      </c>
      <c r="CC17" s="34" t="s">
        <v>32</v>
      </c>
      <c r="CD17" s="34" t="s">
        <v>32</v>
      </c>
      <c r="CE17" s="33">
        <f>SUM(BL17:CD17)</f>
        <v>58757</v>
      </c>
      <c r="CF17" s="24"/>
      <c r="CG17" s="25">
        <v>45305</v>
      </c>
      <c r="CH17" s="26">
        <v>0</v>
      </c>
      <c r="CI17" s="26">
        <v>0</v>
      </c>
      <c r="CJ17" s="27">
        <f t="shared" si="3"/>
        <v>440214</v>
      </c>
      <c r="CK17" s="28">
        <v>2920</v>
      </c>
      <c r="CL17" s="29">
        <v>3226</v>
      </c>
      <c r="CM17" s="29">
        <v>7.2</v>
      </c>
      <c r="CN17" s="34">
        <v>46264</v>
      </c>
      <c r="CO17" s="34">
        <v>42769</v>
      </c>
      <c r="CP17" s="31">
        <v>351081</v>
      </c>
      <c r="CQ17" s="34">
        <v>100</v>
      </c>
      <c r="CR17" s="32" t="s">
        <v>32</v>
      </c>
      <c r="CS17" s="32"/>
      <c r="CT17" s="34"/>
      <c r="CU17" s="28"/>
      <c r="CV17" s="28" t="s">
        <v>32</v>
      </c>
      <c r="CW17" s="34" t="s">
        <v>32</v>
      </c>
      <c r="CX17" s="34" t="s">
        <v>32</v>
      </c>
      <c r="CY17" s="32" t="s">
        <v>32</v>
      </c>
      <c r="CZ17" s="32" t="s">
        <v>32</v>
      </c>
      <c r="DA17" s="29" t="s">
        <v>32</v>
      </c>
      <c r="DB17" s="28" t="s">
        <v>32</v>
      </c>
      <c r="DC17" s="26" t="s">
        <v>32</v>
      </c>
      <c r="DD17" s="34" t="s">
        <v>32</v>
      </c>
      <c r="DE17" s="34" t="s">
        <v>32</v>
      </c>
      <c r="DF17" s="34" t="s">
        <v>32</v>
      </c>
      <c r="DG17" s="33">
        <f>SUM(CN17:DF17)</f>
        <v>440214</v>
      </c>
      <c r="DH17" s="24"/>
      <c r="DI17" s="25">
        <v>45336</v>
      </c>
      <c r="DJ17" s="26">
        <v>8005</v>
      </c>
      <c r="DK17" s="26">
        <v>518287</v>
      </c>
      <c r="DL17" s="27">
        <f t="shared" si="4"/>
        <v>11235</v>
      </c>
      <c r="DM17" s="28">
        <v>2282</v>
      </c>
      <c r="DN17" s="29">
        <v>1125</v>
      </c>
      <c r="DO17" s="29">
        <v>5.0999999999999996</v>
      </c>
      <c r="DP17" s="34" t="s">
        <v>32</v>
      </c>
      <c r="DQ17" s="34"/>
      <c r="DR17" s="31" t="s">
        <v>32</v>
      </c>
      <c r="DS17" s="34" t="s">
        <v>32</v>
      </c>
      <c r="DT17" s="32" t="s">
        <v>32</v>
      </c>
      <c r="DU17" s="32">
        <v>1400</v>
      </c>
      <c r="DV17" s="34"/>
      <c r="DW17" s="28"/>
      <c r="DX17" s="28" t="s">
        <v>32</v>
      </c>
      <c r="DY17" s="34">
        <v>5335</v>
      </c>
      <c r="DZ17" s="34" t="s">
        <v>32</v>
      </c>
      <c r="EA17" s="32" t="s">
        <v>32</v>
      </c>
      <c r="EB17" s="32" t="s">
        <v>32</v>
      </c>
      <c r="EC17" s="29">
        <v>2100</v>
      </c>
      <c r="ED17" s="28">
        <v>2400</v>
      </c>
      <c r="EE17" s="26" t="s">
        <v>32</v>
      </c>
      <c r="EF17" s="34" t="s">
        <v>32</v>
      </c>
      <c r="EG17" s="34" t="s">
        <v>32</v>
      </c>
      <c r="EH17" s="34" t="s">
        <v>32</v>
      </c>
      <c r="EI17" s="33">
        <f>SUM(DP17:EH17)</f>
        <v>11235</v>
      </c>
      <c r="EJ17" s="24"/>
      <c r="EK17" s="25">
        <v>45365</v>
      </c>
      <c r="EL17" s="26">
        <v>14361</v>
      </c>
      <c r="EM17" s="26">
        <v>871059</v>
      </c>
      <c r="EN17" s="27">
        <f t="shared" si="5"/>
        <v>50740</v>
      </c>
      <c r="EO17" s="28">
        <v>3012</v>
      </c>
      <c r="EP17" s="29">
        <v>1358</v>
      </c>
      <c r="EQ17" s="29">
        <v>9.1999999999999993</v>
      </c>
      <c r="ER17" s="34" t="s">
        <v>32</v>
      </c>
      <c r="ES17" s="34"/>
      <c r="ET17" s="31">
        <v>40000</v>
      </c>
      <c r="EU17" s="34" t="s">
        <v>32</v>
      </c>
      <c r="EV17" s="32">
        <v>6100</v>
      </c>
      <c r="EW17" s="32"/>
      <c r="EX17" s="34">
        <v>4000</v>
      </c>
      <c r="EY17" s="28"/>
      <c r="EZ17" s="28" t="s">
        <v>32</v>
      </c>
      <c r="FA17" s="34">
        <v>150</v>
      </c>
      <c r="FB17" s="34" t="s">
        <v>32</v>
      </c>
      <c r="FC17" s="32">
        <v>490</v>
      </c>
      <c r="FD17" s="32" t="s">
        <v>51</v>
      </c>
      <c r="FE17" s="29" t="s">
        <v>32</v>
      </c>
      <c r="FF17" s="28" t="s">
        <v>32</v>
      </c>
      <c r="FG17" s="26" t="s">
        <v>32</v>
      </c>
      <c r="FH17" s="34" t="s">
        <v>32</v>
      </c>
      <c r="FI17" s="34" t="s">
        <v>32</v>
      </c>
      <c r="FJ17" s="34" t="s">
        <v>32</v>
      </c>
      <c r="FK17" s="33">
        <f>SUM(ER17:FJ17)</f>
        <v>50740</v>
      </c>
      <c r="FL17" s="24"/>
    </row>
    <row r="18" spans="1:168" x14ac:dyDescent="0.3">
      <c r="A18" s="25">
        <v>45214</v>
      </c>
      <c r="B18" s="26" t="s">
        <v>32</v>
      </c>
      <c r="C18" s="26" t="s">
        <v>32</v>
      </c>
      <c r="D18" s="27">
        <f t="shared" si="0"/>
        <v>0</v>
      </c>
      <c r="E18" s="28" t="s">
        <v>32</v>
      </c>
      <c r="F18" s="26" t="s">
        <v>32</v>
      </c>
      <c r="G18" s="26" t="s">
        <v>32</v>
      </c>
      <c r="H18" s="34" t="s">
        <v>32</v>
      </c>
      <c r="I18" s="34"/>
      <c r="J18" s="31" t="s">
        <v>32</v>
      </c>
      <c r="K18" s="34" t="s">
        <v>32</v>
      </c>
      <c r="L18" s="32" t="s">
        <v>32</v>
      </c>
      <c r="M18" s="32"/>
      <c r="N18" s="34" t="s">
        <v>32</v>
      </c>
      <c r="O18" s="28" t="s">
        <v>32</v>
      </c>
      <c r="P18" s="28" t="s">
        <v>32</v>
      </c>
      <c r="Q18" s="34" t="s">
        <v>32</v>
      </c>
      <c r="R18" s="34" t="s">
        <v>32</v>
      </c>
      <c r="S18" s="32" t="s">
        <v>32</v>
      </c>
      <c r="T18" s="32" t="s">
        <v>32</v>
      </c>
      <c r="U18" s="26" t="s">
        <v>32</v>
      </c>
      <c r="V18" s="28" t="s">
        <v>32</v>
      </c>
      <c r="W18" s="26" t="s">
        <v>32</v>
      </c>
      <c r="X18" s="34" t="s">
        <v>32</v>
      </c>
      <c r="Y18" s="34" t="s">
        <v>32</v>
      </c>
      <c r="Z18" s="34"/>
      <c r="AA18" s="33">
        <f>SUM(H18:Y18)</f>
        <v>0</v>
      </c>
      <c r="AB18" s="24"/>
      <c r="AC18" s="25">
        <v>45245</v>
      </c>
      <c r="AD18" s="26">
        <v>0</v>
      </c>
      <c r="AE18" s="26">
        <v>0</v>
      </c>
      <c r="AF18" s="27">
        <f t="shared" si="1"/>
        <v>555</v>
      </c>
      <c r="AG18" s="28">
        <v>0</v>
      </c>
      <c r="AH18" s="29">
        <v>0</v>
      </c>
      <c r="AI18" s="29">
        <v>0</v>
      </c>
      <c r="AJ18" s="34" t="s">
        <v>32</v>
      </c>
      <c r="AK18" s="34"/>
      <c r="AL18" s="31" t="s">
        <v>32</v>
      </c>
      <c r="AM18" s="34" t="s">
        <v>32</v>
      </c>
      <c r="AN18" s="32" t="s">
        <v>32</v>
      </c>
      <c r="AO18" s="32"/>
      <c r="AP18" s="34" t="s">
        <v>32</v>
      </c>
      <c r="AQ18" s="28" t="s">
        <v>32</v>
      </c>
      <c r="AR18" s="28" t="s">
        <v>32</v>
      </c>
      <c r="AS18" s="34">
        <v>555</v>
      </c>
      <c r="AT18" s="34" t="s">
        <v>32</v>
      </c>
      <c r="AU18" s="32" t="s">
        <v>32</v>
      </c>
      <c r="AV18" s="32" t="s">
        <v>32</v>
      </c>
      <c r="AW18" s="29" t="s">
        <v>32</v>
      </c>
      <c r="AX18" s="28" t="s">
        <v>32</v>
      </c>
      <c r="AY18" s="26" t="s">
        <v>32</v>
      </c>
      <c r="AZ18" s="34" t="s">
        <v>32</v>
      </c>
      <c r="BA18" s="34" t="s">
        <v>32</v>
      </c>
      <c r="BB18" s="34"/>
      <c r="BC18" s="33">
        <f>SUM(AJ18:BA18)</f>
        <v>555</v>
      </c>
      <c r="BD18" s="24"/>
      <c r="BE18" s="25">
        <v>45275</v>
      </c>
      <c r="BF18" s="26">
        <v>7519</v>
      </c>
      <c r="BG18" s="26">
        <v>519563</v>
      </c>
      <c r="BH18" s="27">
        <f t="shared" si="2"/>
        <v>209245</v>
      </c>
      <c r="BI18" s="28">
        <v>1920</v>
      </c>
      <c r="BJ18" s="26">
        <v>0</v>
      </c>
      <c r="BK18" s="26">
        <v>3.75</v>
      </c>
      <c r="BL18" s="34">
        <v>20879</v>
      </c>
      <c r="BM18" s="34">
        <v>17121</v>
      </c>
      <c r="BN18" s="31">
        <v>162000</v>
      </c>
      <c r="BO18" s="34" t="s">
        <v>32</v>
      </c>
      <c r="BP18" s="32" t="s">
        <v>32</v>
      </c>
      <c r="BQ18" s="32">
        <v>6300</v>
      </c>
      <c r="BR18" s="34" t="s">
        <v>32</v>
      </c>
      <c r="BS18" s="28" t="s">
        <v>32</v>
      </c>
      <c r="BT18" s="28" t="s">
        <v>32</v>
      </c>
      <c r="BU18" s="34">
        <v>2945</v>
      </c>
      <c r="BV18" s="34" t="s">
        <v>32</v>
      </c>
      <c r="BW18" s="32" t="s">
        <v>32</v>
      </c>
      <c r="BX18" s="32" t="s">
        <v>32</v>
      </c>
      <c r="BY18" s="26" t="s">
        <v>32</v>
      </c>
      <c r="BZ18" s="28" t="s">
        <v>32</v>
      </c>
      <c r="CA18" s="26" t="s">
        <v>32</v>
      </c>
      <c r="CB18" s="34" t="s">
        <v>32</v>
      </c>
      <c r="CC18" s="34" t="s">
        <v>32</v>
      </c>
      <c r="CD18" s="34"/>
      <c r="CE18" s="33">
        <f>SUM(BL18:CC18)</f>
        <v>209245</v>
      </c>
      <c r="CF18" s="24"/>
      <c r="CG18" s="25">
        <v>45306</v>
      </c>
      <c r="CH18" s="26">
        <v>2921</v>
      </c>
      <c r="CI18" s="26">
        <v>184246</v>
      </c>
      <c r="CJ18" s="27">
        <f t="shared" si="3"/>
        <v>0</v>
      </c>
      <c r="CK18" s="28">
        <v>1509</v>
      </c>
      <c r="CL18" s="29">
        <v>1805</v>
      </c>
      <c r="CM18" s="29">
        <v>8.5</v>
      </c>
      <c r="CN18" s="34" t="s">
        <v>32</v>
      </c>
      <c r="CO18" s="34"/>
      <c r="CP18" s="31" t="s">
        <v>32</v>
      </c>
      <c r="CQ18" s="34" t="s">
        <v>32</v>
      </c>
      <c r="CR18" s="32" t="s">
        <v>32</v>
      </c>
      <c r="CS18" s="32"/>
      <c r="CT18" s="34" t="s">
        <v>32</v>
      </c>
      <c r="CU18" s="28" t="s">
        <v>32</v>
      </c>
      <c r="CV18" s="28" t="s">
        <v>32</v>
      </c>
      <c r="CW18" s="34" t="s">
        <v>32</v>
      </c>
      <c r="CX18" s="34" t="s">
        <v>32</v>
      </c>
      <c r="CY18" s="32" t="s">
        <v>32</v>
      </c>
      <c r="CZ18" s="32" t="s">
        <v>32</v>
      </c>
      <c r="DA18" s="29" t="s">
        <v>32</v>
      </c>
      <c r="DB18" s="28" t="s">
        <v>32</v>
      </c>
      <c r="DC18" s="26" t="s">
        <v>32</v>
      </c>
      <c r="DD18" s="34" t="s">
        <v>32</v>
      </c>
      <c r="DE18" s="34" t="s">
        <v>32</v>
      </c>
      <c r="DF18" s="34"/>
      <c r="DG18" s="33">
        <f>SUM(CN18:DE18)</f>
        <v>0</v>
      </c>
      <c r="DH18" s="24"/>
      <c r="DI18" s="25">
        <v>45337</v>
      </c>
      <c r="DJ18" s="26">
        <v>1458</v>
      </c>
      <c r="DK18" s="26">
        <v>56700</v>
      </c>
      <c r="DL18" s="27">
        <f t="shared" si="4"/>
        <v>8330</v>
      </c>
      <c r="DM18" s="28">
        <v>1850</v>
      </c>
      <c r="DN18" s="29">
        <v>2433</v>
      </c>
      <c r="DO18" s="29">
        <v>7.1</v>
      </c>
      <c r="DP18" s="34" t="s">
        <v>32</v>
      </c>
      <c r="DQ18" s="34"/>
      <c r="DR18" s="31" t="s">
        <v>32</v>
      </c>
      <c r="DS18" s="34" t="s">
        <v>32</v>
      </c>
      <c r="DT18" s="32">
        <v>200</v>
      </c>
      <c r="DU18" s="32"/>
      <c r="DV18" s="34">
        <v>5060</v>
      </c>
      <c r="DW18" s="28" t="s">
        <v>32</v>
      </c>
      <c r="DX18" s="28" t="s">
        <v>32</v>
      </c>
      <c r="DY18" s="34">
        <v>400</v>
      </c>
      <c r="DZ18" s="34">
        <v>170</v>
      </c>
      <c r="EA18" s="32" t="s">
        <v>32</v>
      </c>
      <c r="EB18" s="32" t="s">
        <v>32</v>
      </c>
      <c r="EC18" s="29">
        <v>2500</v>
      </c>
      <c r="ED18" s="28" t="s">
        <v>32</v>
      </c>
      <c r="EE18" s="26" t="s">
        <v>32</v>
      </c>
      <c r="EF18" s="34" t="s">
        <v>32</v>
      </c>
      <c r="EG18" s="34" t="s">
        <v>32</v>
      </c>
      <c r="EH18" s="34"/>
      <c r="EI18" s="33">
        <f>SUM(DP18:EG18)</f>
        <v>8330</v>
      </c>
      <c r="EJ18" s="24"/>
      <c r="EK18" s="25">
        <v>45366</v>
      </c>
      <c r="EL18" s="26">
        <v>0</v>
      </c>
      <c r="EM18" s="26">
        <v>0</v>
      </c>
      <c r="EN18" s="27">
        <f t="shared" si="5"/>
        <v>0</v>
      </c>
      <c r="EO18" s="28">
        <v>2814</v>
      </c>
      <c r="EP18" s="29">
        <v>3123</v>
      </c>
      <c r="EQ18" s="29">
        <v>7.2</v>
      </c>
      <c r="ER18" s="34" t="s">
        <v>32</v>
      </c>
      <c r="ES18" s="34"/>
      <c r="ET18" s="31" t="s">
        <v>32</v>
      </c>
      <c r="EU18" s="34" t="s">
        <v>32</v>
      </c>
      <c r="EV18" s="32" t="s">
        <v>32</v>
      </c>
      <c r="EW18" s="32"/>
      <c r="EX18" s="34" t="s">
        <v>32</v>
      </c>
      <c r="EY18" s="28" t="s">
        <v>32</v>
      </c>
      <c r="EZ18" s="28" t="s">
        <v>32</v>
      </c>
      <c r="FA18" s="34" t="s">
        <v>32</v>
      </c>
      <c r="FB18" s="34" t="s">
        <v>32</v>
      </c>
      <c r="FC18" s="32" t="s">
        <v>32</v>
      </c>
      <c r="FD18" s="32" t="s">
        <v>32</v>
      </c>
      <c r="FE18" s="29" t="s">
        <v>32</v>
      </c>
      <c r="FF18" s="28" t="s">
        <v>32</v>
      </c>
      <c r="FG18" s="26" t="s">
        <v>32</v>
      </c>
      <c r="FH18" s="34" t="s">
        <v>32</v>
      </c>
      <c r="FI18" s="34" t="s">
        <v>32</v>
      </c>
      <c r="FJ18" s="34"/>
      <c r="FK18" s="33">
        <f>SUM(ER18:FI18)</f>
        <v>0</v>
      </c>
      <c r="FL18" s="24"/>
    </row>
    <row r="19" spans="1:168" x14ac:dyDescent="0.3">
      <c r="A19" s="25">
        <v>45215</v>
      </c>
      <c r="B19" s="26" t="s">
        <v>32</v>
      </c>
      <c r="C19" s="26" t="s">
        <v>32</v>
      </c>
      <c r="D19" s="27">
        <f t="shared" si="0"/>
        <v>0</v>
      </c>
      <c r="E19" s="28" t="s">
        <v>32</v>
      </c>
      <c r="F19" s="26" t="s">
        <v>32</v>
      </c>
      <c r="G19" s="26" t="s">
        <v>32</v>
      </c>
      <c r="H19" s="34" t="s">
        <v>32</v>
      </c>
      <c r="I19" s="34"/>
      <c r="J19" s="31" t="s">
        <v>32</v>
      </c>
      <c r="K19" s="34" t="s">
        <v>32</v>
      </c>
      <c r="L19" s="32" t="s">
        <v>32</v>
      </c>
      <c r="M19" s="32"/>
      <c r="N19" s="34" t="s">
        <v>32</v>
      </c>
      <c r="O19" s="28" t="s">
        <v>32</v>
      </c>
      <c r="P19" s="28" t="s">
        <v>32</v>
      </c>
      <c r="Q19" s="34" t="s">
        <v>32</v>
      </c>
      <c r="R19" s="34" t="s">
        <v>32</v>
      </c>
      <c r="S19" s="32" t="s">
        <v>32</v>
      </c>
      <c r="T19" s="32" t="s">
        <v>32</v>
      </c>
      <c r="U19" s="26"/>
      <c r="V19" s="28" t="s">
        <v>32</v>
      </c>
      <c r="W19" s="26" t="s">
        <v>32</v>
      </c>
      <c r="X19" s="34" t="s">
        <v>32</v>
      </c>
      <c r="Y19" s="34" t="s">
        <v>32</v>
      </c>
      <c r="Z19" s="34" t="s">
        <v>32</v>
      </c>
      <c r="AA19" s="33">
        <f>SUM(H19:Z19)</f>
        <v>0</v>
      </c>
      <c r="AB19" s="24"/>
      <c r="AC19" s="25">
        <v>45246</v>
      </c>
      <c r="AD19" s="26">
        <v>0</v>
      </c>
      <c r="AE19" s="26">
        <v>0</v>
      </c>
      <c r="AF19" s="27">
        <f t="shared" si="1"/>
        <v>0</v>
      </c>
      <c r="AG19" s="28">
        <v>0</v>
      </c>
      <c r="AH19" s="29">
        <v>3165</v>
      </c>
      <c r="AI19" s="29">
        <v>9</v>
      </c>
      <c r="AJ19" s="34" t="s">
        <v>32</v>
      </c>
      <c r="AK19" s="34"/>
      <c r="AL19" s="31" t="s">
        <v>32</v>
      </c>
      <c r="AM19" s="34" t="s">
        <v>32</v>
      </c>
      <c r="AN19" s="32" t="s">
        <v>32</v>
      </c>
      <c r="AO19" s="32"/>
      <c r="AP19" s="34" t="s">
        <v>32</v>
      </c>
      <c r="AQ19" s="28" t="s">
        <v>32</v>
      </c>
      <c r="AR19" s="28" t="s">
        <v>32</v>
      </c>
      <c r="AS19" s="34" t="s">
        <v>32</v>
      </c>
      <c r="AT19" s="34" t="s">
        <v>32</v>
      </c>
      <c r="AU19" s="32" t="s">
        <v>32</v>
      </c>
      <c r="AV19" s="32" t="s">
        <v>32</v>
      </c>
      <c r="AW19" s="29"/>
      <c r="AX19" s="28" t="s">
        <v>32</v>
      </c>
      <c r="AY19" s="26" t="s">
        <v>32</v>
      </c>
      <c r="AZ19" s="34" t="s">
        <v>32</v>
      </c>
      <c r="BA19" s="34" t="s">
        <v>32</v>
      </c>
      <c r="BB19" s="34" t="s">
        <v>32</v>
      </c>
      <c r="BC19" s="33">
        <f>SUM(AJ19:BB19)</f>
        <v>0</v>
      </c>
      <c r="BD19" s="24"/>
      <c r="BE19" s="25">
        <v>45276</v>
      </c>
      <c r="BF19" s="26">
        <v>0</v>
      </c>
      <c r="BG19" s="26">
        <v>0</v>
      </c>
      <c r="BH19" s="27">
        <f t="shared" si="2"/>
        <v>55000</v>
      </c>
      <c r="BI19" s="28">
        <v>1582</v>
      </c>
      <c r="BJ19" s="26">
        <v>0</v>
      </c>
      <c r="BK19" s="26">
        <v>4</v>
      </c>
      <c r="BL19" s="34" t="s">
        <v>32</v>
      </c>
      <c r="BM19" s="34"/>
      <c r="BN19" s="31">
        <v>50000</v>
      </c>
      <c r="BO19" s="34" t="s">
        <v>32</v>
      </c>
      <c r="BP19" s="32" t="s">
        <v>32</v>
      </c>
      <c r="BQ19" s="32"/>
      <c r="BR19" s="34" t="s">
        <v>32</v>
      </c>
      <c r="BS19" s="28" t="s">
        <v>32</v>
      </c>
      <c r="BT19" s="28">
        <v>500</v>
      </c>
      <c r="BU19" s="34" t="s">
        <v>32</v>
      </c>
      <c r="BV19" s="34" t="s">
        <v>32</v>
      </c>
      <c r="BW19" s="32">
        <v>4500</v>
      </c>
      <c r="BX19" s="32" t="s">
        <v>53</v>
      </c>
      <c r="BY19" s="26"/>
      <c r="BZ19" s="28" t="s">
        <v>32</v>
      </c>
      <c r="CA19" s="26" t="s">
        <v>32</v>
      </c>
      <c r="CB19" s="34" t="s">
        <v>32</v>
      </c>
      <c r="CC19" s="34" t="s">
        <v>32</v>
      </c>
      <c r="CD19" s="34" t="s">
        <v>32</v>
      </c>
      <c r="CE19" s="33">
        <f>SUM(BL19:CD19)</f>
        <v>55000</v>
      </c>
      <c r="CF19" s="24"/>
      <c r="CG19" s="25">
        <v>45307</v>
      </c>
      <c r="CH19" s="26">
        <v>1365</v>
      </c>
      <c r="CI19" s="26">
        <v>68300</v>
      </c>
      <c r="CJ19" s="27">
        <f t="shared" si="3"/>
        <v>5130</v>
      </c>
      <c r="CK19" s="28">
        <v>2680</v>
      </c>
      <c r="CL19" s="29">
        <v>1601</v>
      </c>
      <c r="CM19" s="29">
        <v>7.25</v>
      </c>
      <c r="CN19" s="34" t="s">
        <v>32</v>
      </c>
      <c r="CO19" s="34"/>
      <c r="CP19" s="31" t="s">
        <v>32</v>
      </c>
      <c r="CQ19" s="34" t="s">
        <v>32</v>
      </c>
      <c r="CR19" s="32" t="s">
        <v>32</v>
      </c>
      <c r="CS19" s="32"/>
      <c r="CT19" s="34" t="s">
        <v>32</v>
      </c>
      <c r="CU19" s="28" t="s">
        <v>32</v>
      </c>
      <c r="CV19" s="28" t="s">
        <v>32</v>
      </c>
      <c r="CW19" s="34">
        <v>830</v>
      </c>
      <c r="CX19" s="34" t="s">
        <v>32</v>
      </c>
      <c r="CY19" s="32" t="s">
        <v>32</v>
      </c>
      <c r="CZ19" s="32" t="s">
        <v>32</v>
      </c>
      <c r="DA19" s="29">
        <v>4300</v>
      </c>
      <c r="DB19" s="28" t="s">
        <v>32</v>
      </c>
      <c r="DC19" s="26" t="s">
        <v>32</v>
      </c>
      <c r="DD19" s="34" t="s">
        <v>32</v>
      </c>
      <c r="DE19" s="34" t="s">
        <v>32</v>
      </c>
      <c r="DF19" s="34" t="s">
        <v>32</v>
      </c>
      <c r="DG19" s="33">
        <f>SUM(CN19:DF19)</f>
        <v>5130</v>
      </c>
      <c r="DH19" s="24"/>
      <c r="DI19" s="25">
        <v>45338</v>
      </c>
      <c r="DJ19" s="26">
        <v>0</v>
      </c>
      <c r="DK19" s="26">
        <v>0</v>
      </c>
      <c r="DL19" s="27">
        <f t="shared" si="4"/>
        <v>153355</v>
      </c>
      <c r="DM19" s="28">
        <v>2244</v>
      </c>
      <c r="DN19" s="29">
        <v>3388</v>
      </c>
      <c r="DO19" s="29">
        <v>7.4</v>
      </c>
      <c r="DP19" s="34">
        <v>9072</v>
      </c>
      <c r="DQ19" s="34">
        <v>10920</v>
      </c>
      <c r="DR19" s="31">
        <v>76080</v>
      </c>
      <c r="DS19" s="34">
        <v>54736</v>
      </c>
      <c r="DT19" s="32" t="s">
        <v>32</v>
      </c>
      <c r="DU19" s="32"/>
      <c r="DV19" s="34" t="s">
        <v>32</v>
      </c>
      <c r="DW19" s="28" t="s">
        <v>32</v>
      </c>
      <c r="DX19" s="28" t="s">
        <v>32</v>
      </c>
      <c r="DY19" s="34" t="s">
        <v>32</v>
      </c>
      <c r="DZ19" s="34">
        <v>2547</v>
      </c>
      <c r="EA19" s="32" t="s">
        <v>32</v>
      </c>
      <c r="EB19" s="32" t="s">
        <v>32</v>
      </c>
      <c r="EC19" s="29"/>
      <c r="ED19" s="28" t="s">
        <v>32</v>
      </c>
      <c r="EE19" s="26" t="s">
        <v>32</v>
      </c>
      <c r="EF19" s="34" t="s">
        <v>32</v>
      </c>
      <c r="EG19" s="34" t="s">
        <v>32</v>
      </c>
      <c r="EH19" s="34" t="s">
        <v>32</v>
      </c>
      <c r="EI19" s="33">
        <f>SUM(DP19:EH19)</f>
        <v>153355</v>
      </c>
      <c r="EJ19" s="24"/>
      <c r="EK19" s="25">
        <v>45367</v>
      </c>
      <c r="EL19" s="26">
        <v>475</v>
      </c>
      <c r="EM19" s="26">
        <v>21300</v>
      </c>
      <c r="EN19" s="27">
        <f t="shared" si="5"/>
        <v>91610</v>
      </c>
      <c r="EO19" s="28">
        <v>2189</v>
      </c>
      <c r="EP19" s="29">
        <v>2737</v>
      </c>
      <c r="EQ19" s="29">
        <v>8.1999999999999993</v>
      </c>
      <c r="ER19" s="34" t="s">
        <v>32</v>
      </c>
      <c r="ES19" s="34"/>
      <c r="ET19" s="31">
        <v>50000</v>
      </c>
      <c r="EU19" s="34" t="s">
        <v>32</v>
      </c>
      <c r="EV19" s="32" t="s">
        <v>32</v>
      </c>
      <c r="EW19" s="32"/>
      <c r="EX19" s="34">
        <v>21300</v>
      </c>
      <c r="EY19" s="28" t="s">
        <v>32</v>
      </c>
      <c r="EZ19" s="28" t="s">
        <v>32</v>
      </c>
      <c r="FA19" s="34">
        <v>130</v>
      </c>
      <c r="FB19" s="34" t="s">
        <v>32</v>
      </c>
      <c r="FC19" s="32" t="s">
        <v>32</v>
      </c>
      <c r="FD19" s="32" t="s">
        <v>32</v>
      </c>
      <c r="FE19" s="29"/>
      <c r="FF19" s="28" t="s">
        <v>32</v>
      </c>
      <c r="FG19" s="26">
        <v>20180</v>
      </c>
      <c r="FH19" s="34" t="s">
        <v>67</v>
      </c>
      <c r="FI19" s="34" t="s">
        <v>32</v>
      </c>
      <c r="FJ19" s="34" t="s">
        <v>32</v>
      </c>
      <c r="FK19" s="33">
        <f>SUM(ER19:FJ19)</f>
        <v>91610</v>
      </c>
      <c r="FL19" s="24"/>
    </row>
    <row r="20" spans="1:168" x14ac:dyDescent="0.3">
      <c r="A20" s="25">
        <v>45216</v>
      </c>
      <c r="B20" s="26" t="s">
        <v>32</v>
      </c>
      <c r="C20" s="26" t="s">
        <v>32</v>
      </c>
      <c r="D20" s="27">
        <f t="shared" si="0"/>
        <v>0</v>
      </c>
      <c r="E20" s="28" t="s">
        <v>32</v>
      </c>
      <c r="F20" s="26" t="s">
        <v>32</v>
      </c>
      <c r="G20" s="26" t="s">
        <v>32</v>
      </c>
      <c r="H20" s="34" t="s">
        <v>32</v>
      </c>
      <c r="I20" s="34"/>
      <c r="J20" s="31" t="s">
        <v>32</v>
      </c>
      <c r="K20" s="34" t="s">
        <v>32</v>
      </c>
      <c r="L20" s="32" t="s">
        <v>32</v>
      </c>
      <c r="M20" s="32"/>
      <c r="N20" s="34" t="s">
        <v>32</v>
      </c>
      <c r="O20" s="28"/>
      <c r="P20" s="28" t="s">
        <v>32</v>
      </c>
      <c r="Q20" s="34" t="s">
        <v>32</v>
      </c>
      <c r="R20" s="34" t="s">
        <v>32</v>
      </c>
      <c r="S20" s="32" t="s">
        <v>32</v>
      </c>
      <c r="T20" s="32" t="s">
        <v>32</v>
      </c>
      <c r="U20" s="26" t="s">
        <v>32</v>
      </c>
      <c r="V20" s="28" t="s">
        <v>32</v>
      </c>
      <c r="W20" s="26" t="s">
        <v>32</v>
      </c>
      <c r="X20" s="34" t="s">
        <v>32</v>
      </c>
      <c r="Y20" s="34" t="s">
        <v>32</v>
      </c>
      <c r="Z20" s="34"/>
      <c r="AA20" s="33">
        <f t="shared" ref="AA20:AA33" si="12">SUM(H20:Y20)</f>
        <v>0</v>
      </c>
      <c r="AB20" s="24"/>
      <c r="AC20" s="25">
        <v>45247</v>
      </c>
      <c r="AD20" s="26">
        <v>0</v>
      </c>
      <c r="AE20" s="26">
        <v>0</v>
      </c>
      <c r="AF20" s="27">
        <f t="shared" si="1"/>
        <v>20025</v>
      </c>
      <c r="AG20" s="28">
        <v>0</v>
      </c>
      <c r="AH20" s="29">
        <v>1705</v>
      </c>
      <c r="AI20" s="29">
        <v>9.75</v>
      </c>
      <c r="AJ20" s="34" t="s">
        <v>32</v>
      </c>
      <c r="AK20" s="34"/>
      <c r="AL20" s="31" t="s">
        <v>32</v>
      </c>
      <c r="AM20" s="34" t="s">
        <v>32</v>
      </c>
      <c r="AN20" s="32" t="s">
        <v>32</v>
      </c>
      <c r="AO20" s="32">
        <v>18495</v>
      </c>
      <c r="AP20" s="34">
        <v>1260</v>
      </c>
      <c r="AQ20" s="28"/>
      <c r="AR20" s="28" t="s">
        <v>32</v>
      </c>
      <c r="AS20" s="34">
        <v>270</v>
      </c>
      <c r="AT20" s="34" t="s">
        <v>32</v>
      </c>
      <c r="AU20" s="32" t="s">
        <v>32</v>
      </c>
      <c r="AV20" s="32" t="s">
        <v>32</v>
      </c>
      <c r="AW20" s="29" t="s">
        <v>32</v>
      </c>
      <c r="AX20" s="28" t="s">
        <v>32</v>
      </c>
      <c r="AY20" s="26" t="s">
        <v>32</v>
      </c>
      <c r="AZ20" s="34" t="s">
        <v>32</v>
      </c>
      <c r="BA20" s="34" t="s">
        <v>32</v>
      </c>
      <c r="BB20" s="34"/>
      <c r="BC20" s="33">
        <f t="shared" ref="BC20:BC34" si="13">SUM(AJ20:BA20)</f>
        <v>20025</v>
      </c>
      <c r="BD20" s="24"/>
      <c r="BE20" s="25">
        <v>45277</v>
      </c>
      <c r="BF20" s="26">
        <v>0</v>
      </c>
      <c r="BG20" s="26">
        <v>0</v>
      </c>
      <c r="BH20" s="27">
        <f t="shared" si="2"/>
        <v>0</v>
      </c>
      <c r="BI20" s="28">
        <v>2499</v>
      </c>
      <c r="BJ20" s="26">
        <v>1296</v>
      </c>
      <c r="BK20" s="26">
        <v>7</v>
      </c>
      <c r="BL20" s="34" t="s">
        <v>32</v>
      </c>
      <c r="BM20" s="34"/>
      <c r="BN20" s="31" t="s">
        <v>32</v>
      </c>
      <c r="BO20" s="34" t="s">
        <v>32</v>
      </c>
      <c r="BP20" s="32" t="s">
        <v>32</v>
      </c>
      <c r="BQ20" s="32"/>
      <c r="BR20" s="34" t="s">
        <v>32</v>
      </c>
      <c r="BS20" s="28"/>
      <c r="BT20" s="28" t="s">
        <v>32</v>
      </c>
      <c r="BU20" s="34" t="s">
        <v>32</v>
      </c>
      <c r="BV20" s="34" t="s">
        <v>32</v>
      </c>
      <c r="BW20" s="32" t="s">
        <v>32</v>
      </c>
      <c r="BX20" s="32" t="s">
        <v>32</v>
      </c>
      <c r="BY20" s="26" t="s">
        <v>32</v>
      </c>
      <c r="BZ20" s="28" t="s">
        <v>32</v>
      </c>
      <c r="CA20" s="26" t="s">
        <v>32</v>
      </c>
      <c r="CB20" s="34" t="s">
        <v>32</v>
      </c>
      <c r="CC20" s="34" t="s">
        <v>32</v>
      </c>
      <c r="CD20" s="34"/>
      <c r="CE20" s="33">
        <f t="shared" ref="CE20:CE34" si="14">SUM(BL20:CC20)</f>
        <v>0</v>
      </c>
      <c r="CF20" s="24"/>
      <c r="CG20" s="25">
        <v>45308</v>
      </c>
      <c r="CH20" s="26">
        <v>0</v>
      </c>
      <c r="CI20" s="26">
        <v>0</v>
      </c>
      <c r="CJ20" s="27">
        <f t="shared" si="3"/>
        <v>0</v>
      </c>
      <c r="CK20" s="28">
        <v>1561</v>
      </c>
      <c r="CL20" s="29">
        <v>1396</v>
      </c>
      <c r="CM20" s="29">
        <v>7.3</v>
      </c>
      <c r="CN20" s="34" t="s">
        <v>32</v>
      </c>
      <c r="CO20" s="34"/>
      <c r="CP20" s="31" t="s">
        <v>32</v>
      </c>
      <c r="CQ20" s="34" t="s">
        <v>32</v>
      </c>
      <c r="CR20" s="32" t="s">
        <v>32</v>
      </c>
      <c r="CS20" s="32"/>
      <c r="CT20" s="34" t="s">
        <v>32</v>
      </c>
      <c r="CU20" s="28"/>
      <c r="CV20" s="28" t="s">
        <v>32</v>
      </c>
      <c r="CW20" s="34" t="s">
        <v>32</v>
      </c>
      <c r="CX20" s="34" t="s">
        <v>32</v>
      </c>
      <c r="CY20" s="32" t="s">
        <v>32</v>
      </c>
      <c r="CZ20" s="32" t="s">
        <v>32</v>
      </c>
      <c r="DA20" s="29" t="s">
        <v>32</v>
      </c>
      <c r="DB20" s="28" t="s">
        <v>32</v>
      </c>
      <c r="DC20" s="26" t="s">
        <v>32</v>
      </c>
      <c r="DD20" s="34" t="s">
        <v>32</v>
      </c>
      <c r="DE20" s="34" t="s">
        <v>32</v>
      </c>
      <c r="DF20" s="34"/>
      <c r="DG20" s="33">
        <f t="shared" ref="DG20:DG34" si="15">SUM(CN20:DE20)</f>
        <v>0</v>
      </c>
      <c r="DH20" s="24"/>
      <c r="DI20" s="25">
        <v>45339</v>
      </c>
      <c r="DJ20" s="26">
        <v>0</v>
      </c>
      <c r="DK20" s="26">
        <v>0</v>
      </c>
      <c r="DL20" s="27">
        <f t="shared" si="4"/>
        <v>70470</v>
      </c>
      <c r="DM20" s="28">
        <v>2454</v>
      </c>
      <c r="DN20" s="29">
        <v>1837</v>
      </c>
      <c r="DO20" s="29">
        <v>8.1999999999999993</v>
      </c>
      <c r="DP20" s="34">
        <v>7560</v>
      </c>
      <c r="DQ20" s="34">
        <v>9100</v>
      </c>
      <c r="DR20" s="31">
        <v>23400</v>
      </c>
      <c r="DS20" s="34" t="s">
        <v>32</v>
      </c>
      <c r="DT20" s="32" t="s">
        <v>32</v>
      </c>
      <c r="DU20" s="32"/>
      <c r="DV20" s="34" t="s">
        <v>32</v>
      </c>
      <c r="DW20" s="28"/>
      <c r="DX20" s="28">
        <v>300</v>
      </c>
      <c r="DY20" s="34">
        <v>110</v>
      </c>
      <c r="DZ20" s="34" t="s">
        <v>32</v>
      </c>
      <c r="EA20" s="32" t="s">
        <v>32</v>
      </c>
      <c r="EB20" s="32" t="s">
        <v>32</v>
      </c>
      <c r="EC20" s="29" t="s">
        <v>32</v>
      </c>
      <c r="ED20" s="28" t="s">
        <v>32</v>
      </c>
      <c r="EE20" s="26">
        <v>30000</v>
      </c>
      <c r="EF20" s="34" t="s">
        <v>57</v>
      </c>
      <c r="EG20" s="34" t="s">
        <v>32</v>
      </c>
      <c r="EH20" s="34"/>
      <c r="EI20" s="33">
        <f t="shared" ref="EI20:EI34" si="16">SUM(DP20:EG20)</f>
        <v>70470</v>
      </c>
      <c r="EJ20" s="24"/>
      <c r="EK20" s="25">
        <v>45368</v>
      </c>
      <c r="EL20" s="26">
        <v>0</v>
      </c>
      <c r="EM20" s="26">
        <v>0</v>
      </c>
      <c r="EN20" s="27">
        <f t="shared" si="5"/>
        <v>0</v>
      </c>
      <c r="EO20" s="28">
        <v>2482</v>
      </c>
      <c r="EP20" s="29">
        <v>2694</v>
      </c>
      <c r="EQ20" s="29">
        <v>8.15</v>
      </c>
      <c r="ER20" s="34" t="s">
        <v>32</v>
      </c>
      <c r="ES20" s="34"/>
      <c r="ET20" s="31" t="s">
        <v>32</v>
      </c>
      <c r="EU20" s="34" t="s">
        <v>32</v>
      </c>
      <c r="EV20" s="32" t="s">
        <v>32</v>
      </c>
      <c r="EW20" s="32"/>
      <c r="EX20" s="34" t="s">
        <v>32</v>
      </c>
      <c r="EY20" s="28"/>
      <c r="EZ20" s="28" t="s">
        <v>32</v>
      </c>
      <c r="FA20" s="34" t="s">
        <v>32</v>
      </c>
      <c r="FB20" s="34" t="s">
        <v>32</v>
      </c>
      <c r="FC20" s="32" t="s">
        <v>32</v>
      </c>
      <c r="FD20" s="32" t="s">
        <v>32</v>
      </c>
      <c r="FE20" s="29" t="s">
        <v>32</v>
      </c>
      <c r="FF20" s="28" t="s">
        <v>32</v>
      </c>
      <c r="FG20" s="26" t="s">
        <v>32</v>
      </c>
      <c r="FH20" s="34" t="s">
        <v>32</v>
      </c>
      <c r="FI20" s="34" t="s">
        <v>32</v>
      </c>
      <c r="FJ20" s="34"/>
      <c r="FK20" s="33">
        <f t="shared" ref="FK20:FK34" si="17">SUM(ER20:FI20)</f>
        <v>0</v>
      </c>
      <c r="FL20" s="24"/>
    </row>
    <row r="21" spans="1:168" x14ac:dyDescent="0.3">
      <c r="A21" s="25">
        <v>45217</v>
      </c>
      <c r="B21" s="26" t="s">
        <v>32</v>
      </c>
      <c r="C21" s="26" t="s">
        <v>32</v>
      </c>
      <c r="D21" s="27">
        <f t="shared" si="0"/>
        <v>0</v>
      </c>
      <c r="E21" s="28" t="s">
        <v>32</v>
      </c>
      <c r="F21" s="26" t="s">
        <v>32</v>
      </c>
      <c r="G21" s="26" t="s">
        <v>32</v>
      </c>
      <c r="H21" s="34" t="s">
        <v>32</v>
      </c>
      <c r="I21" s="34"/>
      <c r="J21" s="31" t="s">
        <v>32</v>
      </c>
      <c r="K21" s="34" t="s">
        <v>32</v>
      </c>
      <c r="L21" s="32" t="s">
        <v>32</v>
      </c>
      <c r="M21" s="32"/>
      <c r="N21" s="34" t="s">
        <v>32</v>
      </c>
      <c r="O21" s="28" t="s">
        <v>32</v>
      </c>
      <c r="P21" s="28" t="s">
        <v>32</v>
      </c>
      <c r="Q21" s="34" t="s">
        <v>32</v>
      </c>
      <c r="R21" s="34" t="s">
        <v>32</v>
      </c>
      <c r="S21" s="32" t="s">
        <v>32</v>
      </c>
      <c r="T21" s="32" t="s">
        <v>32</v>
      </c>
      <c r="U21" s="26" t="s">
        <v>32</v>
      </c>
      <c r="V21" s="28" t="s">
        <v>32</v>
      </c>
      <c r="W21" s="26" t="s">
        <v>32</v>
      </c>
      <c r="X21" s="34" t="s">
        <v>32</v>
      </c>
      <c r="Y21" s="34" t="s">
        <v>32</v>
      </c>
      <c r="Z21" s="34"/>
      <c r="AA21" s="33">
        <f t="shared" si="12"/>
        <v>0</v>
      </c>
      <c r="AB21" s="24"/>
      <c r="AC21" s="25">
        <v>45248</v>
      </c>
      <c r="AD21" s="26">
        <v>0</v>
      </c>
      <c r="AE21" s="26">
        <v>0</v>
      </c>
      <c r="AF21" s="27">
        <f t="shared" si="1"/>
        <v>0</v>
      </c>
      <c r="AG21" s="28">
        <v>0</v>
      </c>
      <c r="AH21" s="29">
        <v>0</v>
      </c>
      <c r="AI21" s="29">
        <v>10.25</v>
      </c>
      <c r="AJ21" s="34" t="s">
        <v>32</v>
      </c>
      <c r="AK21" s="34"/>
      <c r="AL21" s="31" t="s">
        <v>32</v>
      </c>
      <c r="AM21" s="34" t="s">
        <v>32</v>
      </c>
      <c r="AN21" s="32" t="s">
        <v>32</v>
      </c>
      <c r="AO21" s="32"/>
      <c r="AP21" s="34" t="s">
        <v>32</v>
      </c>
      <c r="AQ21" s="28" t="s">
        <v>32</v>
      </c>
      <c r="AR21" s="28" t="s">
        <v>32</v>
      </c>
      <c r="AS21" s="34" t="s">
        <v>32</v>
      </c>
      <c r="AT21" s="34" t="s">
        <v>32</v>
      </c>
      <c r="AU21" s="32" t="s">
        <v>32</v>
      </c>
      <c r="AV21" s="32" t="s">
        <v>32</v>
      </c>
      <c r="AW21" s="29" t="s">
        <v>32</v>
      </c>
      <c r="AX21" s="28" t="s">
        <v>32</v>
      </c>
      <c r="AY21" s="26" t="s">
        <v>32</v>
      </c>
      <c r="AZ21" s="34" t="s">
        <v>32</v>
      </c>
      <c r="BA21" s="34" t="s">
        <v>32</v>
      </c>
      <c r="BB21" s="34"/>
      <c r="BC21" s="33">
        <f t="shared" si="13"/>
        <v>0</v>
      </c>
      <c r="BD21" s="24"/>
      <c r="BE21" s="25">
        <v>45278</v>
      </c>
      <c r="BF21" s="26">
        <v>1704</v>
      </c>
      <c r="BG21" s="26">
        <v>93000</v>
      </c>
      <c r="BH21" s="27">
        <f t="shared" si="2"/>
        <v>320</v>
      </c>
      <c r="BI21" s="28">
        <v>1727</v>
      </c>
      <c r="BJ21" s="26">
        <v>2347</v>
      </c>
      <c r="BK21" s="26">
        <v>5</v>
      </c>
      <c r="BL21" s="34" t="s">
        <v>32</v>
      </c>
      <c r="BM21" s="34"/>
      <c r="BN21" s="31" t="s">
        <v>32</v>
      </c>
      <c r="BO21" s="34" t="s">
        <v>32</v>
      </c>
      <c r="BP21" s="32" t="s">
        <v>32</v>
      </c>
      <c r="BQ21" s="32">
        <v>150</v>
      </c>
      <c r="BR21" s="34" t="s">
        <v>32</v>
      </c>
      <c r="BS21" s="28" t="s">
        <v>32</v>
      </c>
      <c r="BT21" s="28" t="s">
        <v>32</v>
      </c>
      <c r="BU21" s="34" t="s">
        <v>32</v>
      </c>
      <c r="BV21" s="34" t="s">
        <v>32</v>
      </c>
      <c r="BW21" s="32">
        <v>170</v>
      </c>
      <c r="BX21" s="32" t="s">
        <v>51</v>
      </c>
      <c r="BY21" s="26" t="s">
        <v>32</v>
      </c>
      <c r="BZ21" s="28" t="s">
        <v>32</v>
      </c>
      <c r="CA21" s="26" t="s">
        <v>32</v>
      </c>
      <c r="CB21" s="34" t="s">
        <v>32</v>
      </c>
      <c r="CC21" s="34" t="s">
        <v>32</v>
      </c>
      <c r="CD21" s="34"/>
      <c r="CE21" s="33">
        <f t="shared" si="14"/>
        <v>320</v>
      </c>
      <c r="CF21" s="24"/>
      <c r="CG21" s="25">
        <v>45309</v>
      </c>
      <c r="CH21" s="26">
        <v>1971</v>
      </c>
      <c r="CI21" s="26">
        <v>103500</v>
      </c>
      <c r="CJ21" s="27">
        <f t="shared" si="3"/>
        <v>62000</v>
      </c>
      <c r="CK21" s="28">
        <v>1364</v>
      </c>
      <c r="CL21" s="29">
        <v>2363</v>
      </c>
      <c r="CM21" s="29">
        <v>7.25</v>
      </c>
      <c r="CN21" s="34">
        <v>32000</v>
      </c>
      <c r="CO21" s="34"/>
      <c r="CP21" s="31" t="s">
        <v>32</v>
      </c>
      <c r="CQ21" s="34" t="s">
        <v>32</v>
      </c>
      <c r="CR21" s="32">
        <v>20000</v>
      </c>
      <c r="CS21" s="32">
        <v>10000</v>
      </c>
      <c r="CT21" s="34" t="s">
        <v>32</v>
      </c>
      <c r="CU21" s="28" t="s">
        <v>32</v>
      </c>
      <c r="CV21" s="28" t="s">
        <v>32</v>
      </c>
      <c r="CW21" s="34" t="s">
        <v>32</v>
      </c>
      <c r="CX21" s="34" t="s">
        <v>32</v>
      </c>
      <c r="CY21" s="32" t="s">
        <v>32</v>
      </c>
      <c r="CZ21" s="32" t="s">
        <v>32</v>
      </c>
      <c r="DA21" s="29" t="s">
        <v>32</v>
      </c>
      <c r="DB21" s="28" t="s">
        <v>32</v>
      </c>
      <c r="DC21" s="26" t="s">
        <v>32</v>
      </c>
      <c r="DD21" s="34" t="s">
        <v>32</v>
      </c>
      <c r="DE21" s="34" t="s">
        <v>32</v>
      </c>
      <c r="DF21" s="34"/>
      <c r="DG21" s="33">
        <f t="shared" si="15"/>
        <v>62000</v>
      </c>
      <c r="DH21" s="24"/>
      <c r="DI21" s="25">
        <v>45340</v>
      </c>
      <c r="DJ21" s="26">
        <v>0</v>
      </c>
      <c r="DK21" s="26">
        <v>0</v>
      </c>
      <c r="DL21" s="27">
        <f t="shared" si="4"/>
        <v>33367</v>
      </c>
      <c r="DM21" s="28">
        <v>2071</v>
      </c>
      <c r="DN21" s="29">
        <v>0</v>
      </c>
      <c r="DO21" s="29">
        <v>6.25</v>
      </c>
      <c r="DP21" s="34">
        <v>8399</v>
      </c>
      <c r="DQ21" s="34">
        <v>19968</v>
      </c>
      <c r="DR21" s="31" t="s">
        <v>32</v>
      </c>
      <c r="DS21" s="34" t="s">
        <v>32</v>
      </c>
      <c r="DT21" s="32" t="s">
        <v>32</v>
      </c>
      <c r="DU21" s="32"/>
      <c r="DV21" s="34">
        <v>3700</v>
      </c>
      <c r="DW21" s="28" t="s">
        <v>32</v>
      </c>
      <c r="DX21" s="28">
        <v>1300</v>
      </c>
      <c r="DY21" s="34" t="s">
        <v>32</v>
      </c>
      <c r="DZ21" s="34" t="s">
        <v>32</v>
      </c>
      <c r="EA21" s="32" t="s">
        <v>32</v>
      </c>
      <c r="EB21" s="32" t="s">
        <v>32</v>
      </c>
      <c r="EC21" s="29" t="s">
        <v>32</v>
      </c>
      <c r="ED21" s="28" t="s">
        <v>32</v>
      </c>
      <c r="EE21" s="26" t="s">
        <v>32</v>
      </c>
      <c r="EF21" s="34" t="s">
        <v>32</v>
      </c>
      <c r="EG21" s="34" t="s">
        <v>32</v>
      </c>
      <c r="EH21" s="34"/>
      <c r="EI21" s="33">
        <f t="shared" si="16"/>
        <v>33367</v>
      </c>
      <c r="EJ21" s="24"/>
      <c r="EK21" s="25">
        <v>45369</v>
      </c>
      <c r="EL21" s="26">
        <v>119</v>
      </c>
      <c r="EM21" s="26">
        <v>5300</v>
      </c>
      <c r="EN21" s="27">
        <f t="shared" si="5"/>
        <v>79752</v>
      </c>
      <c r="EO21" s="28">
        <v>2357</v>
      </c>
      <c r="EP21" s="29">
        <v>1756</v>
      </c>
      <c r="EQ21" s="29">
        <v>7.9</v>
      </c>
      <c r="ER21" s="34">
        <v>22324</v>
      </c>
      <c r="ES21" s="34">
        <v>18138</v>
      </c>
      <c r="ET21" s="31">
        <v>39200</v>
      </c>
      <c r="EU21" s="34" t="s">
        <v>32</v>
      </c>
      <c r="EV21" s="32" t="s">
        <v>32</v>
      </c>
      <c r="EW21" s="32"/>
      <c r="EX21" s="34" t="s">
        <v>32</v>
      </c>
      <c r="EY21" s="28" t="s">
        <v>32</v>
      </c>
      <c r="EZ21" s="28" t="s">
        <v>32</v>
      </c>
      <c r="FA21" s="34">
        <v>90</v>
      </c>
      <c r="FB21" s="34" t="s">
        <v>32</v>
      </c>
      <c r="FC21" s="32" t="s">
        <v>32</v>
      </c>
      <c r="FD21" s="32" t="s">
        <v>32</v>
      </c>
      <c r="FE21" s="29" t="s">
        <v>32</v>
      </c>
      <c r="FF21" s="28" t="s">
        <v>32</v>
      </c>
      <c r="FG21" s="26" t="s">
        <v>32</v>
      </c>
      <c r="FH21" s="34" t="s">
        <v>32</v>
      </c>
      <c r="FI21" s="34" t="s">
        <v>32</v>
      </c>
      <c r="FJ21" s="34"/>
      <c r="FK21" s="33">
        <f t="shared" si="17"/>
        <v>79752</v>
      </c>
      <c r="FL21" s="24"/>
    </row>
    <row r="22" spans="1:168" x14ac:dyDescent="0.3">
      <c r="A22" s="25">
        <v>45218</v>
      </c>
      <c r="B22" s="26" t="s">
        <v>32</v>
      </c>
      <c r="C22" s="26" t="s">
        <v>32</v>
      </c>
      <c r="D22" s="27">
        <f t="shared" si="0"/>
        <v>297936</v>
      </c>
      <c r="E22" s="28">
        <v>637</v>
      </c>
      <c r="F22" s="26">
        <v>0</v>
      </c>
      <c r="G22" s="26">
        <v>0</v>
      </c>
      <c r="H22" s="34">
        <v>14170</v>
      </c>
      <c r="I22" s="34">
        <v>15330</v>
      </c>
      <c r="J22" s="31">
        <v>22400</v>
      </c>
      <c r="K22" s="34" t="s">
        <v>32</v>
      </c>
      <c r="L22" s="32">
        <v>112926</v>
      </c>
      <c r="M22" s="32">
        <v>121500</v>
      </c>
      <c r="N22" s="34" t="s">
        <v>32</v>
      </c>
      <c r="O22" s="28" t="s">
        <v>32</v>
      </c>
      <c r="P22" s="28" t="s">
        <v>32</v>
      </c>
      <c r="Q22" s="34">
        <v>11610</v>
      </c>
      <c r="R22" s="34" t="s">
        <v>32</v>
      </c>
      <c r="S22" s="32" t="s">
        <v>32</v>
      </c>
      <c r="T22" s="32" t="s">
        <v>32</v>
      </c>
      <c r="U22" s="26" t="s">
        <v>32</v>
      </c>
      <c r="V22" s="28" t="s">
        <v>32</v>
      </c>
      <c r="W22" s="26" t="s">
        <v>32</v>
      </c>
      <c r="X22" s="34" t="s">
        <v>32</v>
      </c>
      <c r="Y22" s="34" t="s">
        <v>32</v>
      </c>
      <c r="Z22" s="34"/>
      <c r="AA22" s="33">
        <f t="shared" si="12"/>
        <v>297936</v>
      </c>
      <c r="AB22" s="24"/>
      <c r="AC22" s="25">
        <v>45249</v>
      </c>
      <c r="AD22" s="26">
        <v>0</v>
      </c>
      <c r="AE22" s="26">
        <v>0</v>
      </c>
      <c r="AF22" s="27">
        <f t="shared" si="1"/>
        <v>10030</v>
      </c>
      <c r="AG22" s="28">
        <v>522</v>
      </c>
      <c r="AH22" s="29">
        <v>4715</v>
      </c>
      <c r="AI22" s="29">
        <v>9.25</v>
      </c>
      <c r="AJ22" s="34" t="s">
        <v>32</v>
      </c>
      <c r="AK22" s="34" t="s">
        <v>32</v>
      </c>
      <c r="AL22" s="31" t="s">
        <v>32</v>
      </c>
      <c r="AM22" s="34" t="s">
        <v>32</v>
      </c>
      <c r="AN22" s="32" t="s">
        <v>32</v>
      </c>
      <c r="AO22" s="32">
        <v>9200</v>
      </c>
      <c r="AP22" s="34" t="s">
        <v>32</v>
      </c>
      <c r="AQ22" s="28" t="s">
        <v>32</v>
      </c>
      <c r="AR22" s="28" t="s">
        <v>32</v>
      </c>
      <c r="AS22" s="34">
        <v>830</v>
      </c>
      <c r="AT22" s="34" t="s">
        <v>32</v>
      </c>
      <c r="AU22" s="32" t="s">
        <v>32</v>
      </c>
      <c r="AV22" s="32" t="s">
        <v>32</v>
      </c>
      <c r="AW22" s="29" t="s">
        <v>32</v>
      </c>
      <c r="AX22" s="28" t="s">
        <v>32</v>
      </c>
      <c r="AY22" s="26" t="s">
        <v>32</v>
      </c>
      <c r="AZ22" s="34" t="s">
        <v>32</v>
      </c>
      <c r="BA22" s="34" t="s">
        <v>32</v>
      </c>
      <c r="BB22" s="34"/>
      <c r="BC22" s="33">
        <f t="shared" si="13"/>
        <v>10030</v>
      </c>
      <c r="BD22" s="24"/>
      <c r="BE22" s="25">
        <v>45279</v>
      </c>
      <c r="BF22" s="26">
        <v>0</v>
      </c>
      <c r="BG22" s="26">
        <v>0</v>
      </c>
      <c r="BH22" s="27">
        <f t="shared" si="2"/>
        <v>114923</v>
      </c>
      <c r="BI22" s="28">
        <v>1087</v>
      </c>
      <c r="BJ22" s="26">
        <v>1680</v>
      </c>
      <c r="BK22" s="26">
        <v>7</v>
      </c>
      <c r="BL22" s="34">
        <v>15900</v>
      </c>
      <c r="BM22" s="34">
        <v>12928</v>
      </c>
      <c r="BN22" s="31">
        <v>71900</v>
      </c>
      <c r="BO22" s="34" t="s">
        <v>32</v>
      </c>
      <c r="BP22" s="32" t="s">
        <v>32</v>
      </c>
      <c r="BQ22" s="32">
        <v>6800</v>
      </c>
      <c r="BR22" s="34">
        <v>7000</v>
      </c>
      <c r="BS22" s="28" t="s">
        <v>32</v>
      </c>
      <c r="BT22" s="28" t="s">
        <v>32</v>
      </c>
      <c r="BU22" s="34">
        <v>395</v>
      </c>
      <c r="BV22" s="34" t="s">
        <v>32</v>
      </c>
      <c r="BW22" s="32" t="s">
        <v>32</v>
      </c>
      <c r="BX22" s="32" t="s">
        <v>32</v>
      </c>
      <c r="BY22" s="26" t="s">
        <v>32</v>
      </c>
      <c r="BZ22" s="28" t="s">
        <v>32</v>
      </c>
      <c r="CA22" s="26" t="s">
        <v>32</v>
      </c>
      <c r="CB22" s="34" t="s">
        <v>32</v>
      </c>
      <c r="CC22" s="34" t="s">
        <v>32</v>
      </c>
      <c r="CD22" s="34"/>
      <c r="CE22" s="33">
        <f t="shared" si="14"/>
        <v>114923</v>
      </c>
      <c r="CF22" s="24"/>
      <c r="CG22" s="25">
        <v>45310</v>
      </c>
      <c r="CH22" s="26">
        <v>0</v>
      </c>
      <c r="CI22" s="26">
        <v>0</v>
      </c>
      <c r="CJ22" s="27">
        <f t="shared" si="3"/>
        <v>0</v>
      </c>
      <c r="CK22" s="28">
        <v>2422</v>
      </c>
      <c r="CL22" s="29">
        <v>1051</v>
      </c>
      <c r="CM22" s="29">
        <v>6.4</v>
      </c>
      <c r="CN22" s="34" t="s">
        <v>32</v>
      </c>
      <c r="CO22" s="34" t="s">
        <v>32</v>
      </c>
      <c r="CP22" s="31" t="s">
        <v>32</v>
      </c>
      <c r="CQ22" s="34" t="s">
        <v>32</v>
      </c>
      <c r="CR22" s="32" t="s">
        <v>32</v>
      </c>
      <c r="CS22" s="32" t="s">
        <v>32</v>
      </c>
      <c r="CT22" s="34" t="s">
        <v>32</v>
      </c>
      <c r="CU22" s="28" t="s">
        <v>32</v>
      </c>
      <c r="CV22" s="28" t="s">
        <v>32</v>
      </c>
      <c r="CW22" s="34" t="s">
        <v>32</v>
      </c>
      <c r="CX22" s="34" t="s">
        <v>32</v>
      </c>
      <c r="CY22" s="32" t="s">
        <v>32</v>
      </c>
      <c r="CZ22" s="32" t="s">
        <v>32</v>
      </c>
      <c r="DA22" s="29" t="s">
        <v>32</v>
      </c>
      <c r="DB22" s="28" t="s">
        <v>32</v>
      </c>
      <c r="DC22" s="26" t="s">
        <v>32</v>
      </c>
      <c r="DD22" s="34" t="s">
        <v>32</v>
      </c>
      <c r="DE22" s="34" t="s">
        <v>32</v>
      </c>
      <c r="DF22" s="34"/>
      <c r="DG22" s="33">
        <f t="shared" si="15"/>
        <v>0</v>
      </c>
      <c r="DH22" s="24"/>
      <c r="DI22" s="25">
        <v>45341</v>
      </c>
      <c r="DJ22" s="26">
        <v>0</v>
      </c>
      <c r="DK22" s="26">
        <v>0</v>
      </c>
      <c r="DL22" s="27">
        <f t="shared" si="4"/>
        <v>53650</v>
      </c>
      <c r="DM22" s="28">
        <v>2296</v>
      </c>
      <c r="DN22" s="29">
        <v>3289</v>
      </c>
      <c r="DO22" s="29">
        <v>5.15</v>
      </c>
      <c r="DP22" s="34" t="s">
        <v>32</v>
      </c>
      <c r="DQ22" s="34" t="s">
        <v>32</v>
      </c>
      <c r="DR22" s="31">
        <v>52500</v>
      </c>
      <c r="DS22" s="34" t="s">
        <v>32</v>
      </c>
      <c r="DT22" s="32" t="s">
        <v>32</v>
      </c>
      <c r="DU22" s="32" t="s">
        <v>32</v>
      </c>
      <c r="DV22" s="34" t="s">
        <v>32</v>
      </c>
      <c r="DW22" s="28" t="s">
        <v>32</v>
      </c>
      <c r="DX22" s="28" t="s">
        <v>32</v>
      </c>
      <c r="DY22" s="34">
        <v>1150</v>
      </c>
      <c r="DZ22" s="34" t="s">
        <v>32</v>
      </c>
      <c r="EA22" s="32" t="s">
        <v>32</v>
      </c>
      <c r="EB22" s="32" t="s">
        <v>32</v>
      </c>
      <c r="EC22" s="29" t="s">
        <v>32</v>
      </c>
      <c r="ED22" s="28" t="s">
        <v>32</v>
      </c>
      <c r="EE22" s="26" t="s">
        <v>32</v>
      </c>
      <c r="EF22" s="34" t="s">
        <v>32</v>
      </c>
      <c r="EG22" s="34" t="s">
        <v>32</v>
      </c>
      <c r="EH22" s="34"/>
      <c r="EI22" s="33">
        <f t="shared" si="16"/>
        <v>53650</v>
      </c>
      <c r="EJ22" s="24"/>
      <c r="EK22" s="25">
        <v>45370</v>
      </c>
      <c r="EL22" s="26">
        <v>0</v>
      </c>
      <c r="EM22" s="26">
        <v>0</v>
      </c>
      <c r="EN22" s="27">
        <f t="shared" si="5"/>
        <v>0</v>
      </c>
      <c r="EO22" s="28">
        <v>1776</v>
      </c>
      <c r="EP22" s="29">
        <v>3181</v>
      </c>
      <c r="EQ22" s="29">
        <v>6.5</v>
      </c>
      <c r="ER22" s="34" t="s">
        <v>32</v>
      </c>
      <c r="ES22" s="34" t="s">
        <v>32</v>
      </c>
      <c r="ET22" s="31" t="s">
        <v>32</v>
      </c>
      <c r="EU22" s="34" t="s">
        <v>32</v>
      </c>
      <c r="EV22" s="32" t="s">
        <v>32</v>
      </c>
      <c r="EW22" s="32" t="s">
        <v>32</v>
      </c>
      <c r="EX22" s="34" t="s">
        <v>32</v>
      </c>
      <c r="EY22" s="28" t="s">
        <v>32</v>
      </c>
      <c r="EZ22" s="28" t="s">
        <v>32</v>
      </c>
      <c r="FA22" s="34" t="s">
        <v>32</v>
      </c>
      <c r="FB22" s="34" t="s">
        <v>32</v>
      </c>
      <c r="FC22" s="32" t="s">
        <v>32</v>
      </c>
      <c r="FD22" s="32" t="s">
        <v>32</v>
      </c>
      <c r="FE22" s="29" t="s">
        <v>32</v>
      </c>
      <c r="FF22" s="28" t="s">
        <v>32</v>
      </c>
      <c r="FG22" s="26" t="s">
        <v>32</v>
      </c>
      <c r="FH22" s="34" t="s">
        <v>32</v>
      </c>
      <c r="FI22" s="34" t="s">
        <v>32</v>
      </c>
      <c r="FJ22" s="34"/>
      <c r="FK22" s="33">
        <f t="shared" si="17"/>
        <v>0</v>
      </c>
      <c r="FL22" s="24"/>
    </row>
    <row r="23" spans="1:168" x14ac:dyDescent="0.3">
      <c r="A23" s="25">
        <v>45219</v>
      </c>
      <c r="B23" s="26" t="s">
        <v>32</v>
      </c>
      <c r="C23" s="26" t="s">
        <v>32</v>
      </c>
      <c r="D23" s="27">
        <f t="shared" si="0"/>
        <v>0</v>
      </c>
      <c r="E23" s="28">
        <v>1275</v>
      </c>
      <c r="F23" s="26">
        <v>0</v>
      </c>
      <c r="G23" s="26">
        <v>0</v>
      </c>
      <c r="H23" s="30" t="s">
        <v>32</v>
      </c>
      <c r="I23" s="30"/>
      <c r="J23" s="31" t="s">
        <v>33</v>
      </c>
      <c r="K23" s="30" t="s">
        <v>32</v>
      </c>
      <c r="L23" s="32" t="s">
        <v>32</v>
      </c>
      <c r="M23" s="32"/>
      <c r="N23" s="30" t="s">
        <v>32</v>
      </c>
      <c r="O23" s="28"/>
      <c r="P23" s="28" t="s">
        <v>32</v>
      </c>
      <c r="Q23" s="30" t="s">
        <v>32</v>
      </c>
      <c r="R23" s="30" t="s">
        <v>32</v>
      </c>
      <c r="S23" s="32" t="s">
        <v>32</v>
      </c>
      <c r="T23" s="32" t="s">
        <v>32</v>
      </c>
      <c r="U23" s="26" t="s">
        <v>32</v>
      </c>
      <c r="V23" s="28" t="s">
        <v>32</v>
      </c>
      <c r="W23" s="26" t="s">
        <v>32</v>
      </c>
      <c r="X23" s="30" t="s">
        <v>32</v>
      </c>
      <c r="Y23" s="30" t="s">
        <v>32</v>
      </c>
      <c r="Z23" s="30"/>
      <c r="AA23" s="33">
        <f t="shared" si="12"/>
        <v>0</v>
      </c>
      <c r="AB23" s="24"/>
      <c r="AC23" s="25">
        <v>45250</v>
      </c>
      <c r="AD23" s="26">
        <v>0</v>
      </c>
      <c r="AE23" s="26">
        <v>0</v>
      </c>
      <c r="AF23" s="27">
        <f t="shared" si="1"/>
        <v>0</v>
      </c>
      <c r="AG23" s="28">
        <v>2205</v>
      </c>
      <c r="AH23" s="29">
        <v>1372</v>
      </c>
      <c r="AI23" s="29">
        <v>6.5</v>
      </c>
      <c r="AJ23" s="30" t="s">
        <v>32</v>
      </c>
      <c r="AK23" s="30"/>
      <c r="AL23" s="31" t="s">
        <v>33</v>
      </c>
      <c r="AM23" s="30" t="s">
        <v>32</v>
      </c>
      <c r="AN23" s="32" t="s">
        <v>32</v>
      </c>
      <c r="AO23" s="32"/>
      <c r="AP23" s="30" t="s">
        <v>32</v>
      </c>
      <c r="AQ23" s="28"/>
      <c r="AR23" s="28" t="s">
        <v>32</v>
      </c>
      <c r="AS23" s="30" t="s">
        <v>32</v>
      </c>
      <c r="AT23" s="30" t="s">
        <v>32</v>
      </c>
      <c r="AU23" s="32" t="s">
        <v>32</v>
      </c>
      <c r="AV23" s="32" t="s">
        <v>32</v>
      </c>
      <c r="AW23" s="29" t="s">
        <v>32</v>
      </c>
      <c r="AX23" s="28" t="s">
        <v>32</v>
      </c>
      <c r="AY23" s="26" t="s">
        <v>32</v>
      </c>
      <c r="AZ23" s="30" t="s">
        <v>32</v>
      </c>
      <c r="BA23" s="30" t="s">
        <v>32</v>
      </c>
      <c r="BB23" s="30"/>
      <c r="BC23" s="33">
        <f t="shared" si="13"/>
        <v>0</v>
      </c>
      <c r="BD23" s="24"/>
      <c r="BE23" s="25">
        <v>45280</v>
      </c>
      <c r="BF23" s="26">
        <v>0</v>
      </c>
      <c r="BG23" s="26">
        <v>0</v>
      </c>
      <c r="BH23" s="27">
        <f t="shared" si="2"/>
        <v>0</v>
      </c>
      <c r="BI23" s="28">
        <v>1470</v>
      </c>
      <c r="BJ23" s="26">
        <v>866</v>
      </c>
      <c r="BK23" s="26">
        <v>4.5</v>
      </c>
      <c r="BL23" s="30" t="s">
        <v>32</v>
      </c>
      <c r="BM23" s="30"/>
      <c r="BN23" s="31" t="s">
        <v>33</v>
      </c>
      <c r="BO23" s="30" t="s">
        <v>32</v>
      </c>
      <c r="BP23" s="32" t="s">
        <v>32</v>
      </c>
      <c r="BQ23" s="32"/>
      <c r="BR23" s="30" t="s">
        <v>32</v>
      </c>
      <c r="BS23" s="28"/>
      <c r="BT23" s="28" t="s">
        <v>32</v>
      </c>
      <c r="BU23" s="30" t="s">
        <v>32</v>
      </c>
      <c r="BV23" s="30" t="s">
        <v>32</v>
      </c>
      <c r="BW23" s="32" t="s">
        <v>32</v>
      </c>
      <c r="BX23" s="32" t="s">
        <v>32</v>
      </c>
      <c r="BY23" s="26" t="s">
        <v>32</v>
      </c>
      <c r="BZ23" s="28" t="s">
        <v>32</v>
      </c>
      <c r="CA23" s="26" t="s">
        <v>32</v>
      </c>
      <c r="CB23" s="30" t="s">
        <v>32</v>
      </c>
      <c r="CC23" s="30" t="s">
        <v>32</v>
      </c>
      <c r="CD23" s="30"/>
      <c r="CE23" s="33">
        <f t="shared" si="14"/>
        <v>0</v>
      </c>
      <c r="CF23" s="24"/>
      <c r="CG23" s="25">
        <v>45311</v>
      </c>
      <c r="CH23" s="26">
        <v>14816</v>
      </c>
      <c r="CI23" s="26">
        <v>1065418</v>
      </c>
      <c r="CJ23" s="27">
        <f t="shared" si="3"/>
        <v>18830</v>
      </c>
      <c r="CK23" s="28">
        <v>3140</v>
      </c>
      <c r="CL23" s="29">
        <v>1172</v>
      </c>
      <c r="CM23" s="29">
        <v>5.25</v>
      </c>
      <c r="CN23" s="30" t="s">
        <v>32</v>
      </c>
      <c r="CO23" s="30"/>
      <c r="CP23" s="31" t="s">
        <v>33</v>
      </c>
      <c r="CQ23" s="30" t="s">
        <v>32</v>
      </c>
      <c r="CR23" s="32" t="s">
        <v>32</v>
      </c>
      <c r="CS23" s="32"/>
      <c r="CT23" s="30" t="s">
        <v>32</v>
      </c>
      <c r="CU23" s="28"/>
      <c r="CV23" s="28">
        <v>500</v>
      </c>
      <c r="CW23" s="30" t="s">
        <v>32</v>
      </c>
      <c r="CX23" s="30">
        <v>830</v>
      </c>
      <c r="CY23" s="32" t="s">
        <v>32</v>
      </c>
      <c r="CZ23" s="32" t="s">
        <v>32</v>
      </c>
      <c r="DA23" s="29" t="s">
        <v>32</v>
      </c>
      <c r="DB23" s="28" t="s">
        <v>32</v>
      </c>
      <c r="DC23" s="26">
        <v>17500</v>
      </c>
      <c r="DD23" s="30" t="s">
        <v>40</v>
      </c>
      <c r="DE23" s="30" t="s">
        <v>32</v>
      </c>
      <c r="DF23" s="30"/>
      <c r="DG23" s="33">
        <f t="shared" si="15"/>
        <v>18830</v>
      </c>
      <c r="DH23" s="24"/>
      <c r="DI23" s="25">
        <v>45342</v>
      </c>
      <c r="DJ23" s="26">
        <v>0</v>
      </c>
      <c r="DK23" s="26">
        <v>0</v>
      </c>
      <c r="DL23" s="27">
        <f t="shared" si="4"/>
        <v>0</v>
      </c>
      <c r="DM23" s="28">
        <v>1785</v>
      </c>
      <c r="DN23" s="29">
        <v>3064</v>
      </c>
      <c r="DO23" s="29">
        <v>6.75</v>
      </c>
      <c r="DP23" s="30" t="s">
        <v>32</v>
      </c>
      <c r="DQ23" s="30"/>
      <c r="DR23" s="31" t="s">
        <v>33</v>
      </c>
      <c r="DS23" s="30" t="s">
        <v>32</v>
      </c>
      <c r="DT23" s="32" t="s">
        <v>32</v>
      </c>
      <c r="DU23" s="32"/>
      <c r="DV23" s="30" t="s">
        <v>32</v>
      </c>
      <c r="DW23" s="28"/>
      <c r="DX23" s="28" t="s">
        <v>32</v>
      </c>
      <c r="DY23" s="30" t="s">
        <v>32</v>
      </c>
      <c r="DZ23" s="30" t="s">
        <v>32</v>
      </c>
      <c r="EA23" s="32" t="s">
        <v>32</v>
      </c>
      <c r="EB23" s="32" t="s">
        <v>32</v>
      </c>
      <c r="EC23" s="29" t="s">
        <v>32</v>
      </c>
      <c r="ED23" s="28" t="s">
        <v>32</v>
      </c>
      <c r="EE23" s="26" t="s">
        <v>32</v>
      </c>
      <c r="EF23" s="30" t="s">
        <v>32</v>
      </c>
      <c r="EG23" s="30" t="s">
        <v>32</v>
      </c>
      <c r="EH23" s="30"/>
      <c r="EI23" s="33">
        <f t="shared" si="16"/>
        <v>0</v>
      </c>
      <c r="EJ23" s="24"/>
      <c r="EK23" s="25">
        <v>45371</v>
      </c>
      <c r="EL23" s="26">
        <v>0</v>
      </c>
      <c r="EM23" s="26">
        <v>0</v>
      </c>
      <c r="EN23" s="27">
        <f t="shared" si="5"/>
        <v>0</v>
      </c>
      <c r="EO23" s="28">
        <v>2466</v>
      </c>
      <c r="EP23" s="29">
        <v>1262</v>
      </c>
      <c r="EQ23" s="29">
        <v>6.15</v>
      </c>
      <c r="ER23" s="30" t="s">
        <v>32</v>
      </c>
      <c r="ES23" s="30"/>
      <c r="ET23" s="31" t="s">
        <v>33</v>
      </c>
      <c r="EU23" s="30" t="s">
        <v>32</v>
      </c>
      <c r="EV23" s="32" t="s">
        <v>32</v>
      </c>
      <c r="EW23" s="32"/>
      <c r="EX23" s="30" t="s">
        <v>32</v>
      </c>
      <c r="EY23" s="28"/>
      <c r="EZ23" s="28" t="s">
        <v>32</v>
      </c>
      <c r="FA23" s="30" t="s">
        <v>32</v>
      </c>
      <c r="FB23" s="30" t="s">
        <v>32</v>
      </c>
      <c r="FC23" s="32" t="s">
        <v>32</v>
      </c>
      <c r="FD23" s="32" t="s">
        <v>32</v>
      </c>
      <c r="FE23" s="29" t="s">
        <v>32</v>
      </c>
      <c r="FF23" s="28" t="s">
        <v>32</v>
      </c>
      <c r="FG23" s="26" t="s">
        <v>32</v>
      </c>
      <c r="FH23" s="30" t="s">
        <v>32</v>
      </c>
      <c r="FI23" s="30" t="s">
        <v>32</v>
      </c>
      <c r="FJ23" s="30"/>
      <c r="FK23" s="33">
        <f t="shared" si="17"/>
        <v>0</v>
      </c>
      <c r="FL23" s="24"/>
    </row>
    <row r="24" spans="1:168" x14ac:dyDescent="0.3">
      <c r="A24" s="25">
        <v>45220</v>
      </c>
      <c r="B24" s="26">
        <v>0</v>
      </c>
      <c r="C24" s="26">
        <v>0</v>
      </c>
      <c r="D24" s="27">
        <f t="shared" si="0"/>
        <v>0</v>
      </c>
      <c r="E24" s="28">
        <v>0</v>
      </c>
      <c r="F24" s="26">
        <v>0</v>
      </c>
      <c r="G24" s="26">
        <v>0</v>
      </c>
      <c r="H24" s="34"/>
      <c r="I24" s="34"/>
      <c r="J24" s="31" t="s">
        <v>32</v>
      </c>
      <c r="K24" s="34" t="s">
        <v>32</v>
      </c>
      <c r="L24" s="32" t="s">
        <v>32</v>
      </c>
      <c r="M24" s="32"/>
      <c r="N24" s="34" t="s">
        <v>32</v>
      </c>
      <c r="O24" s="28" t="s">
        <v>32</v>
      </c>
      <c r="P24" s="28" t="s">
        <v>32</v>
      </c>
      <c r="Q24" s="34" t="s">
        <v>32</v>
      </c>
      <c r="R24" s="34" t="s">
        <v>32</v>
      </c>
      <c r="S24" s="32"/>
      <c r="T24" s="32" t="s">
        <v>32</v>
      </c>
      <c r="U24" s="26" t="s">
        <v>32</v>
      </c>
      <c r="V24" s="28" t="s">
        <v>32</v>
      </c>
      <c r="W24" s="26" t="s">
        <v>32</v>
      </c>
      <c r="X24" s="34" t="s">
        <v>32</v>
      </c>
      <c r="Y24" s="34" t="s">
        <v>32</v>
      </c>
      <c r="Z24" s="34"/>
      <c r="AA24" s="33">
        <f t="shared" si="12"/>
        <v>0</v>
      </c>
      <c r="AB24" s="24"/>
      <c r="AC24" s="25">
        <v>45251</v>
      </c>
      <c r="AD24" s="26">
        <v>0</v>
      </c>
      <c r="AE24" s="26">
        <v>0</v>
      </c>
      <c r="AF24" s="27">
        <f t="shared" si="1"/>
        <v>6220</v>
      </c>
      <c r="AG24" s="28">
        <v>1747</v>
      </c>
      <c r="AH24" s="29">
        <v>2407</v>
      </c>
      <c r="AI24" s="29">
        <v>7.5</v>
      </c>
      <c r="AJ24" s="34"/>
      <c r="AK24" s="34"/>
      <c r="AL24" s="31" t="s">
        <v>32</v>
      </c>
      <c r="AM24" s="34" t="s">
        <v>32</v>
      </c>
      <c r="AN24" s="32" t="s">
        <v>32</v>
      </c>
      <c r="AO24" s="32">
        <v>700</v>
      </c>
      <c r="AP24" s="34" t="s">
        <v>32</v>
      </c>
      <c r="AQ24" s="28" t="s">
        <v>32</v>
      </c>
      <c r="AR24" s="28" t="s">
        <v>32</v>
      </c>
      <c r="AS24" s="34">
        <v>820</v>
      </c>
      <c r="AT24" s="34" t="s">
        <v>32</v>
      </c>
      <c r="AU24" s="32"/>
      <c r="AV24" s="32" t="s">
        <v>32</v>
      </c>
      <c r="AW24" s="29" t="s">
        <v>32</v>
      </c>
      <c r="AX24" s="28" t="s">
        <v>32</v>
      </c>
      <c r="AY24" s="26">
        <v>4700</v>
      </c>
      <c r="AZ24" s="34" t="s">
        <v>40</v>
      </c>
      <c r="BA24" s="34" t="s">
        <v>32</v>
      </c>
      <c r="BB24" s="34"/>
      <c r="BC24" s="33">
        <f t="shared" si="13"/>
        <v>6220</v>
      </c>
      <c r="BD24" s="24"/>
      <c r="BE24" s="25">
        <v>45281</v>
      </c>
      <c r="BF24" s="26">
        <v>0</v>
      </c>
      <c r="BG24" s="26">
        <v>0</v>
      </c>
      <c r="BH24" s="27">
        <f t="shared" si="2"/>
        <v>24205</v>
      </c>
      <c r="BI24" s="28">
        <v>135</v>
      </c>
      <c r="BJ24" s="26">
        <v>2265</v>
      </c>
      <c r="BK24" s="26">
        <v>7</v>
      </c>
      <c r="BL24" s="34"/>
      <c r="BM24" s="34"/>
      <c r="BN24" s="31" t="s">
        <v>32</v>
      </c>
      <c r="BO24" s="34" t="s">
        <v>32</v>
      </c>
      <c r="BP24" s="32">
        <v>2500</v>
      </c>
      <c r="BQ24" s="32">
        <v>20000</v>
      </c>
      <c r="BR24" s="34" t="s">
        <v>32</v>
      </c>
      <c r="BS24" s="28" t="s">
        <v>32</v>
      </c>
      <c r="BT24" s="28" t="s">
        <v>32</v>
      </c>
      <c r="BU24" s="34">
        <v>705</v>
      </c>
      <c r="BV24" s="34" t="s">
        <v>32</v>
      </c>
      <c r="BW24" s="32">
        <v>1000</v>
      </c>
      <c r="BX24" s="32" t="s">
        <v>54</v>
      </c>
      <c r="BY24" s="26" t="s">
        <v>32</v>
      </c>
      <c r="BZ24" s="28" t="s">
        <v>32</v>
      </c>
      <c r="CA24" s="26" t="s">
        <v>32</v>
      </c>
      <c r="CB24" s="34" t="s">
        <v>32</v>
      </c>
      <c r="CC24" s="34" t="s">
        <v>32</v>
      </c>
      <c r="CD24" s="34"/>
      <c r="CE24" s="33">
        <f t="shared" si="14"/>
        <v>24205</v>
      </c>
      <c r="CF24" s="24"/>
      <c r="CG24" s="25">
        <v>45312</v>
      </c>
      <c r="CH24" s="26">
        <v>0</v>
      </c>
      <c r="CI24" s="26">
        <v>0</v>
      </c>
      <c r="CJ24" s="27">
        <f t="shared" si="3"/>
        <v>101542</v>
      </c>
      <c r="CK24" s="28">
        <v>5180</v>
      </c>
      <c r="CL24" s="29">
        <v>2454</v>
      </c>
      <c r="CM24" s="29">
        <v>11</v>
      </c>
      <c r="CN24" s="34">
        <v>45400</v>
      </c>
      <c r="CO24" s="34">
        <v>15600</v>
      </c>
      <c r="CP24" s="31" t="s">
        <v>32</v>
      </c>
      <c r="CQ24" s="34" t="s">
        <v>32</v>
      </c>
      <c r="CR24" s="32" t="s">
        <v>32</v>
      </c>
      <c r="CS24" s="32"/>
      <c r="CT24" s="34">
        <v>40000</v>
      </c>
      <c r="CU24" s="28" t="s">
        <v>32</v>
      </c>
      <c r="CV24" s="28" t="s">
        <v>32</v>
      </c>
      <c r="CW24" s="34" t="s">
        <v>32</v>
      </c>
      <c r="CX24" s="34" t="s">
        <v>32</v>
      </c>
      <c r="CY24" s="32"/>
      <c r="CZ24" s="32" t="s">
        <v>32</v>
      </c>
      <c r="DA24" s="29">
        <v>542</v>
      </c>
      <c r="DB24" s="28" t="s">
        <v>32</v>
      </c>
      <c r="DC24" s="26" t="s">
        <v>32</v>
      </c>
      <c r="DD24" s="34" t="s">
        <v>32</v>
      </c>
      <c r="DE24" s="34" t="s">
        <v>32</v>
      </c>
      <c r="DF24" s="34"/>
      <c r="DG24" s="33">
        <f t="shared" si="15"/>
        <v>101542</v>
      </c>
      <c r="DH24" s="24"/>
      <c r="DI24" s="25">
        <v>45343</v>
      </c>
      <c r="DJ24" s="26">
        <v>0</v>
      </c>
      <c r="DK24" s="26">
        <v>0</v>
      </c>
      <c r="DL24" s="27">
        <f t="shared" si="4"/>
        <v>0</v>
      </c>
      <c r="DM24" s="28">
        <v>3186</v>
      </c>
      <c r="DN24" s="29">
        <v>0</v>
      </c>
      <c r="DO24" s="29">
        <v>9</v>
      </c>
      <c r="DP24" s="34"/>
      <c r="DQ24" s="34"/>
      <c r="DR24" s="31" t="s">
        <v>32</v>
      </c>
      <c r="DS24" s="34" t="s">
        <v>32</v>
      </c>
      <c r="DT24" s="32" t="s">
        <v>32</v>
      </c>
      <c r="DU24" s="32"/>
      <c r="DV24" s="34" t="s">
        <v>32</v>
      </c>
      <c r="DW24" s="28" t="s">
        <v>32</v>
      </c>
      <c r="DX24" s="28" t="s">
        <v>32</v>
      </c>
      <c r="DY24" s="34" t="s">
        <v>32</v>
      </c>
      <c r="DZ24" s="34" t="s">
        <v>32</v>
      </c>
      <c r="EA24" s="32"/>
      <c r="EB24" s="32" t="s">
        <v>32</v>
      </c>
      <c r="EC24" s="29" t="s">
        <v>32</v>
      </c>
      <c r="ED24" s="28" t="s">
        <v>32</v>
      </c>
      <c r="EE24" s="26" t="s">
        <v>32</v>
      </c>
      <c r="EF24" s="34" t="s">
        <v>32</v>
      </c>
      <c r="EG24" s="34" t="s">
        <v>32</v>
      </c>
      <c r="EH24" s="34"/>
      <c r="EI24" s="33">
        <f t="shared" si="16"/>
        <v>0</v>
      </c>
      <c r="EJ24" s="24"/>
      <c r="EK24" s="25">
        <v>45372</v>
      </c>
      <c r="EL24" s="26">
        <v>0</v>
      </c>
      <c r="EM24" s="26">
        <v>0</v>
      </c>
      <c r="EN24" s="27">
        <f t="shared" si="5"/>
        <v>237660</v>
      </c>
      <c r="EO24" s="28">
        <v>2672</v>
      </c>
      <c r="EP24" s="29">
        <v>1381</v>
      </c>
      <c r="EQ24" s="29">
        <v>7.15</v>
      </c>
      <c r="ER24" s="34"/>
      <c r="ES24" s="34"/>
      <c r="ET24" s="31">
        <v>237000</v>
      </c>
      <c r="EU24" s="34" t="s">
        <v>32</v>
      </c>
      <c r="EV24" s="32" t="s">
        <v>32</v>
      </c>
      <c r="EW24" s="32"/>
      <c r="EX24" s="34" t="s">
        <v>32</v>
      </c>
      <c r="EY24" s="28" t="s">
        <v>32</v>
      </c>
      <c r="EZ24" s="28" t="s">
        <v>32</v>
      </c>
      <c r="FA24" s="34">
        <v>660</v>
      </c>
      <c r="FB24" s="34" t="s">
        <v>32</v>
      </c>
      <c r="FC24" s="32"/>
      <c r="FD24" s="32" t="s">
        <v>32</v>
      </c>
      <c r="FE24" s="29" t="s">
        <v>32</v>
      </c>
      <c r="FF24" s="28" t="s">
        <v>32</v>
      </c>
      <c r="FG24" s="26" t="s">
        <v>32</v>
      </c>
      <c r="FH24" s="34" t="s">
        <v>32</v>
      </c>
      <c r="FI24" s="34" t="s">
        <v>32</v>
      </c>
      <c r="FJ24" s="34"/>
      <c r="FK24" s="33">
        <f t="shared" si="17"/>
        <v>237660</v>
      </c>
      <c r="FL24" s="24"/>
    </row>
    <row r="25" spans="1:168" x14ac:dyDescent="0.3">
      <c r="A25" s="25">
        <v>45221</v>
      </c>
      <c r="B25" s="26"/>
      <c r="C25" s="26" t="s">
        <v>32</v>
      </c>
      <c r="D25" s="27">
        <f t="shared" si="0"/>
        <v>43816</v>
      </c>
      <c r="E25" s="28">
        <v>792</v>
      </c>
      <c r="F25" s="26">
        <v>0</v>
      </c>
      <c r="G25" s="26">
        <v>0</v>
      </c>
      <c r="H25" s="34" t="s">
        <v>32</v>
      </c>
      <c r="I25" s="34"/>
      <c r="J25" s="31" t="s">
        <v>32</v>
      </c>
      <c r="K25" s="34" t="s">
        <v>32</v>
      </c>
      <c r="L25" s="32" t="s">
        <v>32</v>
      </c>
      <c r="M25" s="32">
        <v>28896</v>
      </c>
      <c r="N25" s="34"/>
      <c r="O25" s="28" t="s">
        <v>32</v>
      </c>
      <c r="P25" s="28" t="s">
        <v>32</v>
      </c>
      <c r="Q25" s="34" t="s">
        <v>32</v>
      </c>
      <c r="R25" s="34" t="s">
        <v>32</v>
      </c>
      <c r="S25" s="32" t="s">
        <v>32</v>
      </c>
      <c r="T25" s="32" t="s">
        <v>32</v>
      </c>
      <c r="U25" s="26" t="s">
        <v>32</v>
      </c>
      <c r="V25" s="28" t="s">
        <v>32</v>
      </c>
      <c r="W25" s="26" t="s">
        <v>32</v>
      </c>
      <c r="X25" s="34" t="s">
        <v>32</v>
      </c>
      <c r="Y25" s="34">
        <v>14920</v>
      </c>
      <c r="Z25" s="34"/>
      <c r="AA25" s="33">
        <f t="shared" si="12"/>
        <v>43816</v>
      </c>
      <c r="AB25" s="24"/>
      <c r="AC25" s="25">
        <v>45252</v>
      </c>
      <c r="AD25" s="26">
        <v>0</v>
      </c>
      <c r="AE25" s="26">
        <v>0</v>
      </c>
      <c r="AF25" s="27">
        <f t="shared" si="1"/>
        <v>0</v>
      </c>
      <c r="AG25" s="28">
        <v>630</v>
      </c>
      <c r="AH25" s="29">
        <v>5090</v>
      </c>
      <c r="AI25" s="29">
        <v>10.5</v>
      </c>
      <c r="AJ25" s="34" t="s">
        <v>32</v>
      </c>
      <c r="AK25" s="34"/>
      <c r="AL25" s="31" t="s">
        <v>32</v>
      </c>
      <c r="AM25" s="34" t="s">
        <v>32</v>
      </c>
      <c r="AN25" s="32" t="s">
        <v>32</v>
      </c>
      <c r="AO25" s="32" t="s">
        <v>32</v>
      </c>
      <c r="AP25" s="34"/>
      <c r="AQ25" s="28" t="s">
        <v>32</v>
      </c>
      <c r="AR25" s="28" t="s">
        <v>32</v>
      </c>
      <c r="AS25" s="34" t="s">
        <v>32</v>
      </c>
      <c r="AT25" s="34" t="s">
        <v>32</v>
      </c>
      <c r="AU25" s="32" t="s">
        <v>32</v>
      </c>
      <c r="AV25" s="32" t="s">
        <v>32</v>
      </c>
      <c r="AW25" s="29" t="s">
        <v>32</v>
      </c>
      <c r="AX25" s="28" t="s">
        <v>32</v>
      </c>
      <c r="AY25" s="26" t="s">
        <v>32</v>
      </c>
      <c r="AZ25" s="34" t="s">
        <v>32</v>
      </c>
      <c r="BA25" s="34" t="s">
        <v>32</v>
      </c>
      <c r="BB25" s="34"/>
      <c r="BC25" s="33">
        <f t="shared" si="13"/>
        <v>0</v>
      </c>
      <c r="BD25" s="24"/>
      <c r="BE25" s="25">
        <v>45282</v>
      </c>
      <c r="BF25" s="26">
        <v>7682</v>
      </c>
      <c r="BG25" s="26">
        <v>405373</v>
      </c>
      <c r="BH25" s="27">
        <f t="shared" si="2"/>
        <v>2000</v>
      </c>
      <c r="BI25" s="28">
        <v>1575</v>
      </c>
      <c r="BJ25" s="26">
        <v>1512</v>
      </c>
      <c r="BK25" s="26">
        <v>3</v>
      </c>
      <c r="BL25" s="34" t="s">
        <v>32</v>
      </c>
      <c r="BM25" s="34"/>
      <c r="BN25" s="31" t="s">
        <v>32</v>
      </c>
      <c r="BO25" s="34" t="s">
        <v>32</v>
      </c>
      <c r="BP25" s="32" t="s">
        <v>32</v>
      </c>
      <c r="BQ25" s="32" t="s">
        <v>32</v>
      </c>
      <c r="BR25" s="34"/>
      <c r="BS25" s="28">
        <v>2000</v>
      </c>
      <c r="BT25" s="28" t="s">
        <v>55</v>
      </c>
      <c r="BU25" s="34" t="s">
        <v>32</v>
      </c>
      <c r="BV25" s="34" t="s">
        <v>32</v>
      </c>
      <c r="BW25" s="32" t="s">
        <v>32</v>
      </c>
      <c r="BX25" s="32" t="s">
        <v>32</v>
      </c>
      <c r="BY25" s="26" t="s">
        <v>32</v>
      </c>
      <c r="BZ25" s="28" t="s">
        <v>32</v>
      </c>
      <c r="CA25" s="26" t="s">
        <v>32</v>
      </c>
      <c r="CB25" s="34" t="s">
        <v>32</v>
      </c>
      <c r="CC25" s="34" t="s">
        <v>32</v>
      </c>
      <c r="CD25" s="34"/>
      <c r="CE25" s="33">
        <f t="shared" si="14"/>
        <v>2000</v>
      </c>
      <c r="CF25" s="24"/>
      <c r="CG25" s="25">
        <v>45313</v>
      </c>
      <c r="CH25" s="26">
        <v>0</v>
      </c>
      <c r="CI25" s="26">
        <v>0</v>
      </c>
      <c r="CJ25" s="27">
        <f t="shared" si="3"/>
        <v>0</v>
      </c>
      <c r="CK25" s="28">
        <v>1837</v>
      </c>
      <c r="CL25" s="29">
        <v>4320</v>
      </c>
      <c r="CM25" s="29">
        <v>7.3</v>
      </c>
      <c r="CN25" s="34" t="s">
        <v>32</v>
      </c>
      <c r="CO25" s="34"/>
      <c r="CP25" s="31" t="s">
        <v>32</v>
      </c>
      <c r="CQ25" s="34" t="s">
        <v>32</v>
      </c>
      <c r="CR25" s="32" t="s">
        <v>32</v>
      </c>
      <c r="CS25" s="32" t="s">
        <v>32</v>
      </c>
      <c r="CT25" s="34"/>
      <c r="CU25" s="28" t="s">
        <v>32</v>
      </c>
      <c r="CV25" s="28" t="s">
        <v>32</v>
      </c>
      <c r="CW25" s="34" t="s">
        <v>32</v>
      </c>
      <c r="CX25" s="34" t="s">
        <v>32</v>
      </c>
      <c r="CY25" s="32" t="s">
        <v>32</v>
      </c>
      <c r="CZ25" s="32" t="s">
        <v>32</v>
      </c>
      <c r="DA25" s="29" t="s">
        <v>32</v>
      </c>
      <c r="DB25" s="28" t="s">
        <v>32</v>
      </c>
      <c r="DC25" s="26" t="s">
        <v>32</v>
      </c>
      <c r="DD25" s="34" t="s">
        <v>32</v>
      </c>
      <c r="DE25" s="34" t="s">
        <v>32</v>
      </c>
      <c r="DF25" s="34"/>
      <c r="DG25" s="33">
        <f t="shared" si="15"/>
        <v>0</v>
      </c>
      <c r="DH25" s="24"/>
      <c r="DI25" s="25">
        <v>45344</v>
      </c>
      <c r="DJ25" s="26">
        <v>8201</v>
      </c>
      <c r="DK25" s="26">
        <v>591513</v>
      </c>
      <c r="DL25" s="27">
        <f t="shared" si="4"/>
        <v>1731</v>
      </c>
      <c r="DM25" s="28">
        <v>1827</v>
      </c>
      <c r="DN25" s="29">
        <v>3201</v>
      </c>
      <c r="DO25" s="29">
        <v>6</v>
      </c>
      <c r="DP25" s="34" t="s">
        <v>32</v>
      </c>
      <c r="DQ25" s="34"/>
      <c r="DR25" s="31" t="s">
        <v>32</v>
      </c>
      <c r="DS25" s="34" t="s">
        <v>32</v>
      </c>
      <c r="DT25" s="32">
        <v>860</v>
      </c>
      <c r="DU25" s="32" t="s">
        <v>32</v>
      </c>
      <c r="DV25" s="34"/>
      <c r="DW25" s="28" t="s">
        <v>32</v>
      </c>
      <c r="DX25" s="28">
        <v>871</v>
      </c>
      <c r="DY25" s="34" t="s">
        <v>32</v>
      </c>
      <c r="DZ25" s="34" t="s">
        <v>32</v>
      </c>
      <c r="EA25" s="32" t="s">
        <v>32</v>
      </c>
      <c r="EB25" s="32" t="s">
        <v>32</v>
      </c>
      <c r="EC25" s="29" t="s">
        <v>32</v>
      </c>
      <c r="ED25" s="28" t="s">
        <v>32</v>
      </c>
      <c r="EE25" s="26" t="s">
        <v>32</v>
      </c>
      <c r="EF25" s="34" t="s">
        <v>32</v>
      </c>
      <c r="EG25" s="34" t="s">
        <v>32</v>
      </c>
      <c r="EH25" s="34"/>
      <c r="EI25" s="33">
        <f t="shared" si="16"/>
        <v>1731</v>
      </c>
      <c r="EJ25" s="24"/>
      <c r="EK25" s="25">
        <v>45373</v>
      </c>
      <c r="EL25" s="26">
        <v>1149</v>
      </c>
      <c r="EM25" s="26">
        <v>56426</v>
      </c>
      <c r="EN25" s="27">
        <f t="shared" si="5"/>
        <v>50952</v>
      </c>
      <c r="EO25" s="28">
        <v>2202</v>
      </c>
      <c r="EP25" s="29">
        <v>2431</v>
      </c>
      <c r="EQ25" s="29">
        <v>6</v>
      </c>
      <c r="ER25" s="34" t="s">
        <v>32</v>
      </c>
      <c r="ES25" s="34"/>
      <c r="ET25" s="31" t="s">
        <v>32</v>
      </c>
      <c r="EU25" s="34" t="s">
        <v>32</v>
      </c>
      <c r="EV25" s="32" t="s">
        <v>32</v>
      </c>
      <c r="EW25" s="32" t="s">
        <v>32</v>
      </c>
      <c r="EX25" s="34">
        <v>47500</v>
      </c>
      <c r="EY25" s="28" t="s">
        <v>32</v>
      </c>
      <c r="EZ25" s="28" t="s">
        <v>32</v>
      </c>
      <c r="FA25" s="34">
        <v>582</v>
      </c>
      <c r="FB25" s="34" t="s">
        <v>32</v>
      </c>
      <c r="FC25" s="32" t="s">
        <v>32</v>
      </c>
      <c r="FD25" s="32" t="s">
        <v>32</v>
      </c>
      <c r="FE25" s="29">
        <v>2870</v>
      </c>
      <c r="FF25" s="28" t="s">
        <v>32</v>
      </c>
      <c r="FG25" s="26" t="s">
        <v>32</v>
      </c>
      <c r="FH25" s="34" t="s">
        <v>32</v>
      </c>
      <c r="FI25" s="34" t="s">
        <v>32</v>
      </c>
      <c r="FJ25" s="34"/>
      <c r="FK25" s="33">
        <f t="shared" si="17"/>
        <v>50952</v>
      </c>
      <c r="FL25" s="24"/>
    </row>
    <row r="26" spans="1:168" x14ac:dyDescent="0.3">
      <c r="A26" s="25">
        <v>45222</v>
      </c>
      <c r="B26" s="26">
        <v>0</v>
      </c>
      <c r="C26" s="26">
        <v>0</v>
      </c>
      <c r="D26" s="27">
        <f t="shared" si="0"/>
        <v>0</v>
      </c>
      <c r="E26" s="28">
        <v>1039</v>
      </c>
      <c r="F26" s="26">
        <v>0</v>
      </c>
      <c r="G26" s="26">
        <v>0</v>
      </c>
      <c r="H26" s="34" t="s">
        <v>32</v>
      </c>
      <c r="I26" s="34"/>
      <c r="J26" s="31" t="s">
        <v>32</v>
      </c>
      <c r="K26" s="34" t="s">
        <v>32</v>
      </c>
      <c r="L26" s="32" t="s">
        <v>32</v>
      </c>
      <c r="M26" s="32"/>
      <c r="N26" s="34"/>
      <c r="O26" s="28"/>
      <c r="P26" s="28" t="s">
        <v>32</v>
      </c>
      <c r="Q26" s="34" t="s">
        <v>32</v>
      </c>
      <c r="R26" s="34" t="s">
        <v>32</v>
      </c>
      <c r="S26" s="32"/>
      <c r="T26" s="32" t="s">
        <v>32</v>
      </c>
      <c r="U26" s="26" t="s">
        <v>32</v>
      </c>
      <c r="V26" s="28" t="s">
        <v>32</v>
      </c>
      <c r="W26" s="26" t="s">
        <v>32</v>
      </c>
      <c r="X26" s="34" t="s">
        <v>32</v>
      </c>
      <c r="Y26" s="34" t="s">
        <v>32</v>
      </c>
      <c r="Z26" s="34" t="s">
        <v>32</v>
      </c>
      <c r="AA26" s="33">
        <f t="shared" si="12"/>
        <v>0</v>
      </c>
      <c r="AB26" s="24"/>
      <c r="AC26" s="25">
        <v>45253</v>
      </c>
      <c r="AD26" s="26">
        <v>0</v>
      </c>
      <c r="AE26" s="26">
        <v>0</v>
      </c>
      <c r="AF26" s="27">
        <f t="shared" si="1"/>
        <v>0</v>
      </c>
      <c r="AG26" s="28">
        <v>2895</v>
      </c>
      <c r="AH26" s="29">
        <v>480</v>
      </c>
      <c r="AI26" s="29">
        <v>9.25</v>
      </c>
      <c r="AJ26" s="34" t="s">
        <v>32</v>
      </c>
      <c r="AK26" s="34"/>
      <c r="AL26" s="31" t="s">
        <v>32</v>
      </c>
      <c r="AM26" s="34" t="s">
        <v>32</v>
      </c>
      <c r="AN26" s="32" t="s">
        <v>32</v>
      </c>
      <c r="AO26" s="32"/>
      <c r="AP26" s="34"/>
      <c r="AQ26" s="28"/>
      <c r="AR26" s="28" t="s">
        <v>32</v>
      </c>
      <c r="AS26" s="34" t="s">
        <v>32</v>
      </c>
      <c r="AT26" s="34" t="s">
        <v>32</v>
      </c>
      <c r="AU26" s="32"/>
      <c r="AV26" s="32" t="s">
        <v>32</v>
      </c>
      <c r="AW26" s="29" t="s">
        <v>32</v>
      </c>
      <c r="AX26" s="28" t="s">
        <v>32</v>
      </c>
      <c r="AY26" s="26" t="s">
        <v>32</v>
      </c>
      <c r="AZ26" s="34" t="s">
        <v>32</v>
      </c>
      <c r="BA26" s="34" t="s">
        <v>32</v>
      </c>
      <c r="BB26" s="34" t="s">
        <v>32</v>
      </c>
      <c r="BC26" s="33">
        <f t="shared" si="13"/>
        <v>0</v>
      </c>
      <c r="BD26" s="24"/>
      <c r="BE26" s="25">
        <v>45283</v>
      </c>
      <c r="BF26" s="26">
        <v>3655</v>
      </c>
      <c r="BG26" s="26">
        <v>238016</v>
      </c>
      <c r="BH26" s="27">
        <f t="shared" si="2"/>
        <v>618191</v>
      </c>
      <c r="BI26" s="28">
        <v>1530</v>
      </c>
      <c r="BJ26" s="26">
        <v>0</v>
      </c>
      <c r="BK26" s="26">
        <v>4</v>
      </c>
      <c r="BL26" s="34">
        <v>17380</v>
      </c>
      <c r="BM26" s="34">
        <v>14120</v>
      </c>
      <c r="BN26" s="31">
        <v>376675</v>
      </c>
      <c r="BO26" s="34">
        <v>193016</v>
      </c>
      <c r="BP26" s="32">
        <v>12000</v>
      </c>
      <c r="BQ26" s="32"/>
      <c r="BR26" s="34">
        <v>5000</v>
      </c>
      <c r="BS26" s="28"/>
      <c r="BT26" s="28" t="s">
        <v>32</v>
      </c>
      <c r="BU26" s="34" t="s">
        <v>32</v>
      </c>
      <c r="BV26" s="34" t="s">
        <v>32</v>
      </c>
      <c r="BW26" s="32"/>
      <c r="BX26" s="32" t="s">
        <v>32</v>
      </c>
      <c r="BY26" s="26" t="s">
        <v>32</v>
      </c>
      <c r="BZ26" s="28" t="s">
        <v>32</v>
      </c>
      <c r="CA26" s="26" t="s">
        <v>32</v>
      </c>
      <c r="CB26" s="34" t="s">
        <v>32</v>
      </c>
      <c r="CC26" s="34" t="s">
        <v>32</v>
      </c>
      <c r="CD26" s="34" t="s">
        <v>32</v>
      </c>
      <c r="CE26" s="33">
        <f t="shared" si="14"/>
        <v>618191</v>
      </c>
      <c r="CF26" s="24"/>
      <c r="CG26" s="25">
        <v>45314</v>
      </c>
      <c r="CH26" s="26">
        <v>0</v>
      </c>
      <c r="CI26" s="26">
        <v>0</v>
      </c>
      <c r="CJ26" s="27">
        <f t="shared" si="3"/>
        <v>437350</v>
      </c>
      <c r="CK26" s="28">
        <v>2254</v>
      </c>
      <c r="CL26" s="29">
        <v>1080</v>
      </c>
      <c r="CM26" s="29">
        <v>7.05</v>
      </c>
      <c r="CN26" s="34" t="s">
        <v>32</v>
      </c>
      <c r="CO26" s="34"/>
      <c r="CP26" s="31" t="s">
        <v>32</v>
      </c>
      <c r="CQ26" s="34" t="s">
        <v>32</v>
      </c>
      <c r="CR26" s="32" t="s">
        <v>32</v>
      </c>
      <c r="CS26" s="32"/>
      <c r="CT26" s="34">
        <v>50000</v>
      </c>
      <c r="CU26" s="28"/>
      <c r="CV26" s="28" t="s">
        <v>32</v>
      </c>
      <c r="CW26" s="34">
        <v>1165</v>
      </c>
      <c r="CX26" s="34" t="s">
        <v>32</v>
      </c>
      <c r="CY26" s="32">
        <v>386185</v>
      </c>
      <c r="CZ26" s="32" t="s">
        <v>63</v>
      </c>
      <c r="DA26" s="29" t="s">
        <v>32</v>
      </c>
      <c r="DB26" s="28" t="s">
        <v>32</v>
      </c>
      <c r="DC26" s="26" t="s">
        <v>32</v>
      </c>
      <c r="DD26" s="34" t="s">
        <v>32</v>
      </c>
      <c r="DE26" s="34" t="s">
        <v>32</v>
      </c>
      <c r="DF26" s="34" t="s">
        <v>32</v>
      </c>
      <c r="DG26" s="33">
        <f t="shared" si="15"/>
        <v>437350</v>
      </c>
      <c r="DH26" s="24"/>
      <c r="DI26" s="25">
        <v>45345</v>
      </c>
      <c r="DJ26" s="26">
        <v>7949</v>
      </c>
      <c r="DK26" s="26">
        <v>552085</v>
      </c>
      <c r="DL26" s="27">
        <f t="shared" si="4"/>
        <v>12904</v>
      </c>
      <c r="DM26" s="28">
        <v>1437</v>
      </c>
      <c r="DN26" s="29">
        <v>4581</v>
      </c>
      <c r="DO26" s="29">
        <v>10</v>
      </c>
      <c r="DP26" s="34" t="s">
        <v>32</v>
      </c>
      <c r="DQ26" s="34"/>
      <c r="DR26" s="31" t="s">
        <v>32</v>
      </c>
      <c r="DS26" s="34" t="s">
        <v>32</v>
      </c>
      <c r="DT26" s="32">
        <v>1500</v>
      </c>
      <c r="DU26" s="32"/>
      <c r="DV26" s="34"/>
      <c r="DW26" s="28"/>
      <c r="DX26" s="28" t="s">
        <v>32</v>
      </c>
      <c r="DY26" s="34" t="s">
        <v>32</v>
      </c>
      <c r="DZ26" s="34" t="s">
        <v>32</v>
      </c>
      <c r="EA26" s="32"/>
      <c r="EB26" s="32" t="s">
        <v>32</v>
      </c>
      <c r="EC26" s="29">
        <v>1404</v>
      </c>
      <c r="ED26" s="28" t="s">
        <v>32</v>
      </c>
      <c r="EE26" s="26">
        <v>10000</v>
      </c>
      <c r="EF26" s="34" t="s">
        <v>40</v>
      </c>
      <c r="EG26" s="34" t="s">
        <v>32</v>
      </c>
      <c r="EH26" s="34" t="s">
        <v>32</v>
      </c>
      <c r="EI26" s="33">
        <f t="shared" si="16"/>
        <v>12904</v>
      </c>
      <c r="EJ26" s="24"/>
      <c r="EK26" s="25">
        <v>45374</v>
      </c>
      <c r="EL26" s="26">
        <v>0</v>
      </c>
      <c r="EM26" s="26">
        <v>0</v>
      </c>
      <c r="EN26" s="27">
        <f t="shared" si="5"/>
        <v>0</v>
      </c>
      <c r="EO26" s="28">
        <v>1437</v>
      </c>
      <c r="EP26" s="29">
        <v>1224</v>
      </c>
      <c r="EQ26" s="29">
        <v>3.5</v>
      </c>
      <c r="ER26" s="34" t="s">
        <v>32</v>
      </c>
      <c r="ES26" s="34"/>
      <c r="ET26" s="31" t="s">
        <v>32</v>
      </c>
      <c r="EU26" s="34" t="s">
        <v>32</v>
      </c>
      <c r="EV26" s="32" t="s">
        <v>32</v>
      </c>
      <c r="EW26" s="32"/>
      <c r="EX26" s="34"/>
      <c r="EY26" s="28"/>
      <c r="EZ26" s="28" t="s">
        <v>32</v>
      </c>
      <c r="FA26" s="34" t="s">
        <v>32</v>
      </c>
      <c r="FB26" s="34" t="s">
        <v>32</v>
      </c>
      <c r="FC26" s="32"/>
      <c r="FD26" s="32" t="s">
        <v>32</v>
      </c>
      <c r="FE26" s="29" t="s">
        <v>32</v>
      </c>
      <c r="FF26" s="28" t="s">
        <v>32</v>
      </c>
      <c r="FG26" s="26" t="s">
        <v>32</v>
      </c>
      <c r="FH26" s="34" t="s">
        <v>32</v>
      </c>
      <c r="FI26" s="34" t="s">
        <v>32</v>
      </c>
      <c r="FJ26" s="34" t="s">
        <v>32</v>
      </c>
      <c r="FK26" s="33">
        <f t="shared" si="17"/>
        <v>0</v>
      </c>
      <c r="FL26" s="24"/>
    </row>
    <row r="27" spans="1:168" x14ac:dyDescent="0.3">
      <c r="A27" s="25">
        <v>45223</v>
      </c>
      <c r="B27" s="26" t="s">
        <v>32</v>
      </c>
      <c r="C27" s="26" t="s">
        <v>32</v>
      </c>
      <c r="D27" s="27">
        <f t="shared" si="0"/>
        <v>0</v>
      </c>
      <c r="E27" s="28">
        <v>816</v>
      </c>
      <c r="F27" s="26">
        <v>0</v>
      </c>
      <c r="G27" s="26">
        <v>0</v>
      </c>
      <c r="H27" s="34" t="s">
        <v>32</v>
      </c>
      <c r="I27" s="34"/>
      <c r="J27" s="31" t="s">
        <v>32</v>
      </c>
      <c r="K27" s="34" t="s">
        <v>32</v>
      </c>
      <c r="L27" s="32" t="s">
        <v>32</v>
      </c>
      <c r="M27" s="32"/>
      <c r="N27" s="34" t="s">
        <v>32</v>
      </c>
      <c r="O27" s="28"/>
      <c r="P27" s="28" t="s">
        <v>32</v>
      </c>
      <c r="Q27" s="34" t="s">
        <v>32</v>
      </c>
      <c r="R27" s="34" t="s">
        <v>32</v>
      </c>
      <c r="S27" s="32" t="s">
        <v>32</v>
      </c>
      <c r="T27" s="32" t="s">
        <v>32</v>
      </c>
      <c r="U27" s="26" t="s">
        <v>32</v>
      </c>
      <c r="V27" s="28" t="s">
        <v>32</v>
      </c>
      <c r="W27" s="26" t="s">
        <v>32</v>
      </c>
      <c r="X27" s="34" t="s">
        <v>32</v>
      </c>
      <c r="Y27" s="34" t="s">
        <v>32</v>
      </c>
      <c r="Z27" s="34"/>
      <c r="AA27" s="33">
        <f t="shared" si="12"/>
        <v>0</v>
      </c>
      <c r="AB27" s="24"/>
      <c r="AC27" s="25">
        <v>45254</v>
      </c>
      <c r="AD27" s="26">
        <v>7681</v>
      </c>
      <c r="AE27" s="26">
        <v>689186</v>
      </c>
      <c r="AF27" s="27">
        <f t="shared" si="1"/>
        <v>10035</v>
      </c>
      <c r="AG27" s="28">
        <v>0</v>
      </c>
      <c r="AH27" s="29">
        <v>720</v>
      </c>
      <c r="AI27" s="29">
        <v>6.75</v>
      </c>
      <c r="AJ27" s="34" t="s">
        <v>32</v>
      </c>
      <c r="AK27" s="34"/>
      <c r="AL27" s="31" t="s">
        <v>32</v>
      </c>
      <c r="AM27" s="34" t="s">
        <v>32</v>
      </c>
      <c r="AN27" s="32">
        <v>3190</v>
      </c>
      <c r="AO27" s="32">
        <v>2500</v>
      </c>
      <c r="AP27" s="34">
        <v>2000</v>
      </c>
      <c r="AQ27" s="28"/>
      <c r="AR27" s="28" t="s">
        <v>32</v>
      </c>
      <c r="AS27" s="34">
        <v>2345</v>
      </c>
      <c r="AT27" s="34" t="s">
        <v>32</v>
      </c>
      <c r="AU27" s="32" t="s">
        <v>32</v>
      </c>
      <c r="AV27" s="32" t="s">
        <v>32</v>
      </c>
      <c r="AW27" s="29" t="s">
        <v>32</v>
      </c>
      <c r="AX27" s="28" t="s">
        <v>32</v>
      </c>
      <c r="AY27" s="26" t="s">
        <v>32</v>
      </c>
      <c r="AZ27" s="34" t="s">
        <v>32</v>
      </c>
      <c r="BA27" s="34" t="s">
        <v>32</v>
      </c>
      <c r="BB27" s="34"/>
      <c r="BC27" s="33">
        <f t="shared" si="13"/>
        <v>10035</v>
      </c>
      <c r="BD27" s="24"/>
      <c r="BE27" s="25">
        <v>45284</v>
      </c>
      <c r="BF27" s="26">
        <v>0</v>
      </c>
      <c r="BG27" s="26">
        <v>0</v>
      </c>
      <c r="BH27" s="27">
        <f t="shared" si="2"/>
        <v>18590</v>
      </c>
      <c r="BI27" s="28">
        <v>1898</v>
      </c>
      <c r="BJ27" s="26">
        <v>1579</v>
      </c>
      <c r="BK27" s="26">
        <v>9</v>
      </c>
      <c r="BL27" s="34">
        <v>8200</v>
      </c>
      <c r="BM27" s="34">
        <v>9890</v>
      </c>
      <c r="BN27" s="31" t="s">
        <v>32</v>
      </c>
      <c r="BO27" s="34" t="s">
        <v>32</v>
      </c>
      <c r="BP27" s="32" t="s">
        <v>32</v>
      </c>
      <c r="BQ27" s="32"/>
      <c r="BR27" s="34" t="s">
        <v>32</v>
      </c>
      <c r="BS27" s="28"/>
      <c r="BT27" s="28" t="s">
        <v>32</v>
      </c>
      <c r="BU27" s="34">
        <v>500</v>
      </c>
      <c r="BV27" s="34" t="s">
        <v>32</v>
      </c>
      <c r="BW27" s="32" t="s">
        <v>32</v>
      </c>
      <c r="BX27" s="32" t="s">
        <v>32</v>
      </c>
      <c r="BY27" s="26" t="s">
        <v>32</v>
      </c>
      <c r="BZ27" s="28" t="s">
        <v>32</v>
      </c>
      <c r="CA27" s="26" t="s">
        <v>32</v>
      </c>
      <c r="CB27" s="34" t="s">
        <v>32</v>
      </c>
      <c r="CC27" s="34" t="s">
        <v>32</v>
      </c>
      <c r="CD27" s="34"/>
      <c r="CE27" s="33">
        <f t="shared" si="14"/>
        <v>18590</v>
      </c>
      <c r="CF27" s="24"/>
      <c r="CG27" s="25">
        <v>45315</v>
      </c>
      <c r="CH27" s="26">
        <v>0</v>
      </c>
      <c r="CI27" s="26">
        <v>0</v>
      </c>
      <c r="CJ27" s="27">
        <f t="shared" si="3"/>
        <v>0</v>
      </c>
      <c r="CK27" s="28">
        <v>1707</v>
      </c>
      <c r="CL27" s="29">
        <v>3022</v>
      </c>
      <c r="CM27" s="29">
        <v>10</v>
      </c>
      <c r="CN27" s="34" t="s">
        <v>32</v>
      </c>
      <c r="CO27" s="34"/>
      <c r="CP27" s="31" t="s">
        <v>32</v>
      </c>
      <c r="CQ27" s="34" t="s">
        <v>32</v>
      </c>
      <c r="CR27" s="32" t="s">
        <v>32</v>
      </c>
      <c r="CS27" s="32"/>
      <c r="CT27" s="34" t="s">
        <v>32</v>
      </c>
      <c r="CU27" s="28"/>
      <c r="CV27" s="28" t="s">
        <v>32</v>
      </c>
      <c r="CW27" s="34" t="s">
        <v>32</v>
      </c>
      <c r="CX27" s="34" t="s">
        <v>32</v>
      </c>
      <c r="CY27" s="32" t="s">
        <v>32</v>
      </c>
      <c r="CZ27" s="32" t="s">
        <v>32</v>
      </c>
      <c r="DA27" s="29" t="s">
        <v>32</v>
      </c>
      <c r="DB27" s="28" t="s">
        <v>32</v>
      </c>
      <c r="DC27" s="26" t="s">
        <v>32</v>
      </c>
      <c r="DD27" s="34" t="s">
        <v>32</v>
      </c>
      <c r="DE27" s="34" t="s">
        <v>32</v>
      </c>
      <c r="DF27" s="34"/>
      <c r="DG27" s="33">
        <f t="shared" si="15"/>
        <v>0</v>
      </c>
      <c r="DH27" s="24"/>
      <c r="DI27" s="25">
        <v>45346</v>
      </c>
      <c r="DJ27" s="26">
        <v>0</v>
      </c>
      <c r="DK27" s="26">
        <v>0</v>
      </c>
      <c r="DL27" s="27">
        <f t="shared" si="4"/>
        <v>0</v>
      </c>
      <c r="DM27" s="28">
        <v>1687</v>
      </c>
      <c r="DN27" s="29">
        <v>0</v>
      </c>
      <c r="DO27" s="29">
        <v>5.5</v>
      </c>
      <c r="DP27" s="34" t="s">
        <v>32</v>
      </c>
      <c r="DQ27" s="34"/>
      <c r="DR27" s="31" t="s">
        <v>32</v>
      </c>
      <c r="DS27" s="34" t="s">
        <v>32</v>
      </c>
      <c r="DT27" s="32" t="s">
        <v>32</v>
      </c>
      <c r="DU27" s="32"/>
      <c r="DV27" s="34" t="s">
        <v>32</v>
      </c>
      <c r="DW27" s="28"/>
      <c r="DX27" s="28" t="s">
        <v>32</v>
      </c>
      <c r="DY27" s="34" t="s">
        <v>32</v>
      </c>
      <c r="DZ27" s="34" t="s">
        <v>32</v>
      </c>
      <c r="EA27" s="32" t="s">
        <v>32</v>
      </c>
      <c r="EB27" s="32" t="s">
        <v>32</v>
      </c>
      <c r="EC27" s="29" t="s">
        <v>32</v>
      </c>
      <c r="ED27" s="28" t="s">
        <v>32</v>
      </c>
      <c r="EE27" s="26" t="s">
        <v>32</v>
      </c>
      <c r="EF27" s="34" t="s">
        <v>32</v>
      </c>
      <c r="EG27" s="34" t="s">
        <v>32</v>
      </c>
      <c r="EH27" s="34"/>
      <c r="EI27" s="33">
        <f t="shared" si="16"/>
        <v>0</v>
      </c>
      <c r="EJ27" s="24"/>
      <c r="EK27" s="25">
        <v>45375</v>
      </c>
      <c r="EL27" s="26">
        <v>0</v>
      </c>
      <c r="EM27" s="26">
        <v>0</v>
      </c>
      <c r="EN27" s="27">
        <f t="shared" si="5"/>
        <v>0</v>
      </c>
      <c r="EO27" s="28">
        <v>0</v>
      </c>
      <c r="EP27" s="29">
        <v>0</v>
      </c>
      <c r="EQ27" s="29">
        <v>0</v>
      </c>
      <c r="ER27" s="34" t="s">
        <v>32</v>
      </c>
      <c r="ES27" s="34"/>
      <c r="ET27" s="31" t="s">
        <v>32</v>
      </c>
      <c r="EU27" s="34" t="s">
        <v>32</v>
      </c>
      <c r="EV27" s="32" t="s">
        <v>32</v>
      </c>
      <c r="EW27" s="32"/>
      <c r="EX27" s="34" t="s">
        <v>32</v>
      </c>
      <c r="EY27" s="28"/>
      <c r="EZ27" s="28" t="s">
        <v>32</v>
      </c>
      <c r="FA27" s="34" t="s">
        <v>32</v>
      </c>
      <c r="FB27" s="34" t="s">
        <v>32</v>
      </c>
      <c r="FC27" s="32" t="s">
        <v>32</v>
      </c>
      <c r="FD27" s="32" t="s">
        <v>32</v>
      </c>
      <c r="FE27" s="29" t="s">
        <v>32</v>
      </c>
      <c r="FF27" s="28" t="s">
        <v>32</v>
      </c>
      <c r="FG27" s="26" t="s">
        <v>32</v>
      </c>
      <c r="FH27" s="34" t="s">
        <v>32</v>
      </c>
      <c r="FI27" s="34" t="s">
        <v>32</v>
      </c>
      <c r="FJ27" s="34"/>
      <c r="FK27" s="33">
        <f t="shared" si="17"/>
        <v>0</v>
      </c>
      <c r="FL27" s="24"/>
    </row>
    <row r="28" spans="1:168" x14ac:dyDescent="0.3">
      <c r="A28" s="25">
        <v>45224</v>
      </c>
      <c r="B28" s="26">
        <v>0</v>
      </c>
      <c r="C28" s="26">
        <v>0</v>
      </c>
      <c r="D28" s="27">
        <f t="shared" si="0"/>
        <v>0</v>
      </c>
      <c r="E28" s="28">
        <v>977</v>
      </c>
      <c r="F28" s="26">
        <v>0</v>
      </c>
      <c r="G28" s="26">
        <v>0</v>
      </c>
      <c r="H28" s="34" t="s">
        <v>32</v>
      </c>
      <c r="I28" s="34"/>
      <c r="J28" s="31" t="s">
        <v>32</v>
      </c>
      <c r="K28" s="34" t="s">
        <v>32</v>
      </c>
      <c r="L28" s="32" t="s">
        <v>32</v>
      </c>
      <c r="M28" s="32"/>
      <c r="N28" s="34" t="s">
        <v>32</v>
      </c>
      <c r="O28" s="28"/>
      <c r="P28" s="28" t="s">
        <v>32</v>
      </c>
      <c r="Q28" s="34" t="s">
        <v>32</v>
      </c>
      <c r="R28" s="34" t="s">
        <v>32</v>
      </c>
      <c r="S28" s="32"/>
      <c r="T28" s="32" t="s">
        <v>32</v>
      </c>
      <c r="U28" s="26"/>
      <c r="V28" s="28" t="s">
        <v>32</v>
      </c>
      <c r="W28" s="26" t="s">
        <v>32</v>
      </c>
      <c r="X28" s="34" t="s">
        <v>32</v>
      </c>
      <c r="Y28" s="34" t="s">
        <v>32</v>
      </c>
      <c r="Z28" s="34"/>
      <c r="AA28" s="33">
        <f t="shared" si="12"/>
        <v>0</v>
      </c>
      <c r="AB28" s="24"/>
      <c r="AC28" s="25">
        <v>45255</v>
      </c>
      <c r="AD28" s="26">
        <v>0</v>
      </c>
      <c r="AE28" s="26">
        <v>0</v>
      </c>
      <c r="AF28" s="27">
        <f t="shared" si="1"/>
        <v>0</v>
      </c>
      <c r="AG28" s="28">
        <v>72</v>
      </c>
      <c r="AH28" s="29">
        <v>1610</v>
      </c>
      <c r="AI28" s="29">
        <v>3.75</v>
      </c>
      <c r="AJ28" s="34" t="s">
        <v>32</v>
      </c>
      <c r="AK28" s="34"/>
      <c r="AL28" s="31" t="s">
        <v>32</v>
      </c>
      <c r="AM28" s="34" t="s">
        <v>32</v>
      </c>
      <c r="AN28" s="32" t="s">
        <v>32</v>
      </c>
      <c r="AO28" s="32"/>
      <c r="AP28" s="34" t="s">
        <v>32</v>
      </c>
      <c r="AQ28" s="28"/>
      <c r="AR28" s="28" t="s">
        <v>32</v>
      </c>
      <c r="AS28" s="34" t="s">
        <v>32</v>
      </c>
      <c r="AT28" s="34" t="s">
        <v>32</v>
      </c>
      <c r="AU28" s="32"/>
      <c r="AV28" s="32" t="s">
        <v>32</v>
      </c>
      <c r="AW28" s="29"/>
      <c r="AX28" s="28" t="s">
        <v>32</v>
      </c>
      <c r="AY28" s="26" t="s">
        <v>32</v>
      </c>
      <c r="AZ28" s="34" t="s">
        <v>32</v>
      </c>
      <c r="BA28" s="34" t="s">
        <v>32</v>
      </c>
      <c r="BB28" s="34"/>
      <c r="BC28" s="33">
        <f t="shared" si="13"/>
        <v>0</v>
      </c>
      <c r="BD28" s="24"/>
      <c r="BE28" s="25">
        <v>45285</v>
      </c>
      <c r="BF28" s="26">
        <v>0</v>
      </c>
      <c r="BG28" s="26">
        <v>0</v>
      </c>
      <c r="BH28" s="27">
        <f t="shared" si="2"/>
        <v>229720</v>
      </c>
      <c r="BI28" s="28">
        <v>3150</v>
      </c>
      <c r="BJ28" s="26">
        <v>2548</v>
      </c>
      <c r="BK28" s="26">
        <v>9.15</v>
      </c>
      <c r="BL28" s="34">
        <v>31441</v>
      </c>
      <c r="BM28" s="34">
        <v>35379</v>
      </c>
      <c r="BN28" s="31">
        <v>152900</v>
      </c>
      <c r="BO28" s="34" t="s">
        <v>32</v>
      </c>
      <c r="BP28" s="32">
        <v>5000</v>
      </c>
      <c r="BQ28" s="32">
        <v>5000</v>
      </c>
      <c r="BR28" s="34" t="s">
        <v>32</v>
      </c>
      <c r="BS28" s="28"/>
      <c r="BT28" s="28" t="s">
        <v>32</v>
      </c>
      <c r="BU28" s="34" t="s">
        <v>32</v>
      </c>
      <c r="BV28" s="34" t="s">
        <v>32</v>
      </c>
      <c r="BW28" s="32"/>
      <c r="BX28" s="32" t="s">
        <v>32</v>
      </c>
      <c r="BY28" s="26"/>
      <c r="BZ28" s="28" t="s">
        <v>32</v>
      </c>
      <c r="CA28" s="26" t="s">
        <v>32</v>
      </c>
      <c r="CB28" s="34" t="s">
        <v>32</v>
      </c>
      <c r="CC28" s="34" t="s">
        <v>32</v>
      </c>
      <c r="CD28" s="34"/>
      <c r="CE28" s="33">
        <f t="shared" si="14"/>
        <v>229720</v>
      </c>
      <c r="CF28" s="24"/>
      <c r="CG28" s="25">
        <v>45316</v>
      </c>
      <c r="CH28" s="26">
        <v>0</v>
      </c>
      <c r="CI28" s="26">
        <v>0</v>
      </c>
      <c r="CJ28" s="27">
        <f t="shared" si="3"/>
        <v>22700</v>
      </c>
      <c r="CK28" s="28">
        <v>783</v>
      </c>
      <c r="CL28" s="29">
        <v>2758</v>
      </c>
      <c r="CM28" s="29">
        <v>9</v>
      </c>
      <c r="CN28" s="34" t="s">
        <v>32</v>
      </c>
      <c r="CO28" s="34"/>
      <c r="CP28" s="31">
        <v>22400</v>
      </c>
      <c r="CQ28" s="34" t="s">
        <v>32</v>
      </c>
      <c r="CR28" s="32">
        <v>300</v>
      </c>
      <c r="CS28" s="32"/>
      <c r="CT28" s="34" t="s">
        <v>32</v>
      </c>
      <c r="CU28" s="28"/>
      <c r="CV28" s="28" t="s">
        <v>32</v>
      </c>
      <c r="CW28" s="34" t="s">
        <v>32</v>
      </c>
      <c r="CX28" s="34" t="s">
        <v>32</v>
      </c>
      <c r="CY28" s="32"/>
      <c r="CZ28" s="32" t="s">
        <v>32</v>
      </c>
      <c r="DA28" s="29"/>
      <c r="DB28" s="28" t="s">
        <v>32</v>
      </c>
      <c r="DC28" s="26" t="s">
        <v>32</v>
      </c>
      <c r="DD28" s="34" t="s">
        <v>32</v>
      </c>
      <c r="DE28" s="34" t="s">
        <v>32</v>
      </c>
      <c r="DF28" s="34"/>
      <c r="DG28" s="33">
        <f t="shared" si="15"/>
        <v>22700</v>
      </c>
      <c r="DH28" s="24"/>
      <c r="DI28" s="25">
        <v>45347</v>
      </c>
      <c r="DJ28" s="26">
        <v>1821</v>
      </c>
      <c r="DK28" s="26">
        <v>76976</v>
      </c>
      <c r="DL28" s="27">
        <f t="shared" si="4"/>
        <v>97925</v>
      </c>
      <c r="DM28" s="28">
        <v>2047</v>
      </c>
      <c r="DN28" s="29">
        <v>3606</v>
      </c>
      <c r="DO28" s="29">
        <v>8</v>
      </c>
      <c r="DP28" s="34" t="s">
        <v>32</v>
      </c>
      <c r="DQ28" s="34"/>
      <c r="DR28" s="31" t="s">
        <v>32</v>
      </c>
      <c r="DS28" s="34" t="s">
        <v>32</v>
      </c>
      <c r="DT28" s="32">
        <v>600</v>
      </c>
      <c r="DU28" s="32"/>
      <c r="DV28" s="34">
        <v>96590</v>
      </c>
      <c r="DW28" s="28"/>
      <c r="DX28" s="28">
        <v>500</v>
      </c>
      <c r="DY28" s="34">
        <v>235</v>
      </c>
      <c r="DZ28" s="34" t="s">
        <v>32</v>
      </c>
      <c r="EA28" s="32"/>
      <c r="EB28" s="32" t="s">
        <v>32</v>
      </c>
      <c r="EC28" s="29"/>
      <c r="ED28" s="28" t="s">
        <v>32</v>
      </c>
      <c r="EE28" s="26" t="s">
        <v>32</v>
      </c>
      <c r="EF28" s="34" t="s">
        <v>32</v>
      </c>
      <c r="EG28" s="34" t="s">
        <v>32</v>
      </c>
      <c r="EH28" s="34"/>
      <c r="EI28" s="33">
        <f t="shared" si="16"/>
        <v>97925</v>
      </c>
      <c r="EJ28" s="24"/>
      <c r="EK28" s="25">
        <v>45376</v>
      </c>
      <c r="EL28" s="26">
        <v>0</v>
      </c>
      <c r="EM28" s="26">
        <v>0</v>
      </c>
      <c r="EN28" s="27">
        <f t="shared" si="5"/>
        <v>0</v>
      </c>
      <c r="EO28" s="28">
        <v>0</v>
      </c>
      <c r="EP28" s="29">
        <v>0</v>
      </c>
      <c r="EQ28" s="29">
        <v>0</v>
      </c>
      <c r="ER28" s="34" t="s">
        <v>32</v>
      </c>
      <c r="ES28" s="34"/>
      <c r="ET28" s="31" t="s">
        <v>32</v>
      </c>
      <c r="EU28" s="34" t="s">
        <v>32</v>
      </c>
      <c r="EV28" s="32" t="s">
        <v>32</v>
      </c>
      <c r="EW28" s="32"/>
      <c r="EX28" s="34" t="s">
        <v>32</v>
      </c>
      <c r="EY28" s="28"/>
      <c r="EZ28" s="28" t="s">
        <v>32</v>
      </c>
      <c r="FA28" s="34" t="s">
        <v>32</v>
      </c>
      <c r="FB28" s="34" t="s">
        <v>32</v>
      </c>
      <c r="FC28" s="32"/>
      <c r="FD28" s="32" t="s">
        <v>32</v>
      </c>
      <c r="FE28" s="29"/>
      <c r="FF28" s="28" t="s">
        <v>32</v>
      </c>
      <c r="FG28" s="26" t="s">
        <v>32</v>
      </c>
      <c r="FH28" s="34" t="s">
        <v>32</v>
      </c>
      <c r="FI28" s="34" t="s">
        <v>32</v>
      </c>
      <c r="FJ28" s="34"/>
      <c r="FK28" s="33">
        <f t="shared" si="17"/>
        <v>0</v>
      </c>
      <c r="FL28" s="24"/>
    </row>
    <row r="29" spans="1:168" x14ac:dyDescent="0.3">
      <c r="A29" s="25">
        <v>45225</v>
      </c>
      <c r="B29" s="26">
        <v>0</v>
      </c>
      <c r="C29" s="26">
        <v>0</v>
      </c>
      <c r="D29" s="27">
        <f t="shared" si="0"/>
        <v>0</v>
      </c>
      <c r="E29" s="28">
        <v>225</v>
      </c>
      <c r="F29" s="26">
        <v>0</v>
      </c>
      <c r="G29" s="26">
        <v>0</v>
      </c>
      <c r="H29" s="34" t="s">
        <v>32</v>
      </c>
      <c r="I29" s="34"/>
      <c r="J29" s="31" t="s">
        <v>32</v>
      </c>
      <c r="K29" s="34" t="s">
        <v>32</v>
      </c>
      <c r="L29" s="32" t="s">
        <v>32</v>
      </c>
      <c r="M29" s="32"/>
      <c r="N29" s="34"/>
      <c r="O29" s="28"/>
      <c r="P29" s="28" t="s">
        <v>32</v>
      </c>
      <c r="Q29" s="34" t="s">
        <v>32</v>
      </c>
      <c r="R29" s="34" t="s">
        <v>32</v>
      </c>
      <c r="S29" s="32" t="s">
        <v>32</v>
      </c>
      <c r="T29" s="32" t="s">
        <v>32</v>
      </c>
      <c r="U29" s="26" t="s">
        <v>32</v>
      </c>
      <c r="V29" s="28" t="s">
        <v>32</v>
      </c>
      <c r="W29" s="26" t="s">
        <v>32</v>
      </c>
      <c r="X29" s="34" t="s">
        <v>32</v>
      </c>
      <c r="Y29" s="34" t="s">
        <v>32</v>
      </c>
      <c r="Z29" s="34"/>
      <c r="AA29" s="33">
        <f t="shared" si="12"/>
        <v>0</v>
      </c>
      <c r="AB29" s="24"/>
      <c r="AC29" s="25">
        <v>45256</v>
      </c>
      <c r="AD29" s="26">
        <v>0</v>
      </c>
      <c r="AE29" s="26">
        <v>0</v>
      </c>
      <c r="AF29" s="27">
        <f t="shared" si="1"/>
        <v>55581</v>
      </c>
      <c r="AG29" s="28">
        <v>1401</v>
      </c>
      <c r="AH29" s="29">
        <v>2641</v>
      </c>
      <c r="AI29" s="29">
        <v>8</v>
      </c>
      <c r="AJ29" s="34">
        <v>19095</v>
      </c>
      <c r="AK29" s="34">
        <v>20686</v>
      </c>
      <c r="AL29" s="31" t="s">
        <v>32</v>
      </c>
      <c r="AM29" s="34" t="s">
        <v>32</v>
      </c>
      <c r="AN29" s="32" t="s">
        <v>32</v>
      </c>
      <c r="AO29" s="32">
        <v>8800</v>
      </c>
      <c r="AP29" s="34"/>
      <c r="AQ29" s="28">
        <v>692</v>
      </c>
      <c r="AR29" s="28">
        <v>500</v>
      </c>
      <c r="AS29" s="34" t="s">
        <v>32</v>
      </c>
      <c r="AT29" s="34">
        <v>808</v>
      </c>
      <c r="AU29" s="32" t="s">
        <v>32</v>
      </c>
      <c r="AV29" s="32" t="s">
        <v>32</v>
      </c>
      <c r="AW29" s="29" t="s">
        <v>32</v>
      </c>
      <c r="AX29" s="28" t="s">
        <v>32</v>
      </c>
      <c r="AY29" s="26">
        <v>5000</v>
      </c>
      <c r="AZ29" s="34" t="s">
        <v>47</v>
      </c>
      <c r="BA29" s="34" t="s">
        <v>32</v>
      </c>
      <c r="BB29" s="34"/>
      <c r="BC29" s="33">
        <f t="shared" si="13"/>
        <v>55581</v>
      </c>
      <c r="BD29" s="24"/>
      <c r="BE29" s="25">
        <v>45286</v>
      </c>
      <c r="BF29" s="26">
        <v>0</v>
      </c>
      <c r="BG29" s="26">
        <v>0</v>
      </c>
      <c r="BH29" s="27">
        <f t="shared" si="2"/>
        <v>120</v>
      </c>
      <c r="BI29" s="28">
        <v>1856</v>
      </c>
      <c r="BJ29" s="26">
        <v>1995</v>
      </c>
      <c r="BK29" s="26">
        <v>7.15</v>
      </c>
      <c r="BL29" s="34" t="s">
        <v>32</v>
      </c>
      <c r="BM29" s="34"/>
      <c r="BN29" s="31" t="s">
        <v>32</v>
      </c>
      <c r="BO29" s="34" t="s">
        <v>32</v>
      </c>
      <c r="BP29" s="32" t="s">
        <v>32</v>
      </c>
      <c r="BQ29" s="32"/>
      <c r="BR29" s="34"/>
      <c r="BS29" s="28"/>
      <c r="BT29" s="28" t="s">
        <v>32</v>
      </c>
      <c r="BU29" s="34">
        <v>120</v>
      </c>
      <c r="BV29" s="34" t="s">
        <v>32</v>
      </c>
      <c r="BW29" s="32" t="s">
        <v>32</v>
      </c>
      <c r="BX29" s="32" t="s">
        <v>32</v>
      </c>
      <c r="BY29" s="26" t="s">
        <v>32</v>
      </c>
      <c r="BZ29" s="28" t="s">
        <v>32</v>
      </c>
      <c r="CA29" s="26" t="s">
        <v>32</v>
      </c>
      <c r="CB29" s="34" t="s">
        <v>32</v>
      </c>
      <c r="CC29" s="34" t="s">
        <v>32</v>
      </c>
      <c r="CD29" s="34"/>
      <c r="CE29" s="33">
        <f t="shared" si="14"/>
        <v>120</v>
      </c>
      <c r="CF29" s="24"/>
      <c r="CG29" s="25">
        <v>45317</v>
      </c>
      <c r="CH29" s="26">
        <v>0</v>
      </c>
      <c r="CI29" s="26">
        <v>0</v>
      </c>
      <c r="CJ29" s="27">
        <f t="shared" si="3"/>
        <v>0</v>
      </c>
      <c r="CK29" s="28">
        <v>3770</v>
      </c>
      <c r="CL29" s="29">
        <v>3118</v>
      </c>
      <c r="CM29" s="29">
        <v>8.25</v>
      </c>
      <c r="CN29" s="34" t="s">
        <v>32</v>
      </c>
      <c r="CO29" s="34"/>
      <c r="CP29" s="31" t="s">
        <v>32</v>
      </c>
      <c r="CQ29" s="34" t="s">
        <v>32</v>
      </c>
      <c r="CR29" s="32" t="s">
        <v>32</v>
      </c>
      <c r="CS29" s="32"/>
      <c r="CT29" s="34"/>
      <c r="CU29" s="28"/>
      <c r="CV29" s="28" t="s">
        <v>32</v>
      </c>
      <c r="CW29" s="34" t="s">
        <v>32</v>
      </c>
      <c r="CX29" s="34" t="s">
        <v>32</v>
      </c>
      <c r="CY29" s="32" t="s">
        <v>32</v>
      </c>
      <c r="CZ29" s="32" t="s">
        <v>32</v>
      </c>
      <c r="DA29" s="29" t="s">
        <v>32</v>
      </c>
      <c r="DB29" s="28" t="s">
        <v>32</v>
      </c>
      <c r="DC29" s="26" t="s">
        <v>32</v>
      </c>
      <c r="DD29" s="34" t="s">
        <v>32</v>
      </c>
      <c r="DE29" s="34" t="s">
        <v>32</v>
      </c>
      <c r="DF29" s="34"/>
      <c r="DG29" s="33">
        <f t="shared" si="15"/>
        <v>0</v>
      </c>
      <c r="DH29" s="24"/>
      <c r="DI29" s="25">
        <v>45348</v>
      </c>
      <c r="DJ29" s="26">
        <v>0</v>
      </c>
      <c r="DK29" s="26">
        <v>0</v>
      </c>
      <c r="DL29" s="27">
        <f t="shared" si="4"/>
        <v>0</v>
      </c>
      <c r="DM29" s="28">
        <v>2646</v>
      </c>
      <c r="DN29" s="29">
        <v>0</v>
      </c>
      <c r="DO29" s="29">
        <v>6.75</v>
      </c>
      <c r="DP29" s="34" t="s">
        <v>32</v>
      </c>
      <c r="DQ29" s="34"/>
      <c r="DR29" s="31" t="s">
        <v>32</v>
      </c>
      <c r="DS29" s="34" t="s">
        <v>32</v>
      </c>
      <c r="DT29" s="32" t="s">
        <v>32</v>
      </c>
      <c r="DU29" s="32"/>
      <c r="DV29" s="34"/>
      <c r="DW29" s="28"/>
      <c r="DX29" s="28" t="s">
        <v>32</v>
      </c>
      <c r="DY29" s="34" t="s">
        <v>32</v>
      </c>
      <c r="DZ29" s="34" t="s">
        <v>32</v>
      </c>
      <c r="EA29" s="32" t="s">
        <v>32</v>
      </c>
      <c r="EB29" s="32" t="s">
        <v>32</v>
      </c>
      <c r="EC29" s="29" t="s">
        <v>32</v>
      </c>
      <c r="ED29" s="28" t="s">
        <v>32</v>
      </c>
      <c r="EE29" s="26" t="s">
        <v>32</v>
      </c>
      <c r="EF29" s="34" t="s">
        <v>32</v>
      </c>
      <c r="EG29" s="34" t="s">
        <v>32</v>
      </c>
      <c r="EH29" s="34"/>
      <c r="EI29" s="33">
        <f t="shared" si="16"/>
        <v>0</v>
      </c>
      <c r="EJ29" s="24"/>
      <c r="EK29" s="25">
        <v>45377</v>
      </c>
      <c r="EL29" s="26">
        <v>0</v>
      </c>
      <c r="EM29" s="26">
        <v>0</v>
      </c>
      <c r="EN29" s="27">
        <f t="shared" si="5"/>
        <v>0</v>
      </c>
      <c r="EO29" s="28">
        <v>0</v>
      </c>
      <c r="EP29" s="29">
        <v>0</v>
      </c>
      <c r="EQ29" s="29">
        <v>0</v>
      </c>
      <c r="ER29" s="34" t="s">
        <v>32</v>
      </c>
      <c r="ES29" s="34"/>
      <c r="ET29" s="31" t="s">
        <v>32</v>
      </c>
      <c r="EU29" s="34" t="s">
        <v>32</v>
      </c>
      <c r="EV29" s="32" t="s">
        <v>32</v>
      </c>
      <c r="EW29" s="32"/>
      <c r="EX29" s="34"/>
      <c r="EY29" s="28"/>
      <c r="EZ29" s="28" t="s">
        <v>32</v>
      </c>
      <c r="FA29" s="34" t="s">
        <v>32</v>
      </c>
      <c r="FB29" s="34" t="s">
        <v>32</v>
      </c>
      <c r="FC29" s="32" t="s">
        <v>32</v>
      </c>
      <c r="FD29" s="32" t="s">
        <v>32</v>
      </c>
      <c r="FE29" s="29" t="s">
        <v>32</v>
      </c>
      <c r="FF29" s="28" t="s">
        <v>32</v>
      </c>
      <c r="FG29" s="26" t="s">
        <v>32</v>
      </c>
      <c r="FH29" s="34" t="s">
        <v>32</v>
      </c>
      <c r="FI29" s="34" t="s">
        <v>32</v>
      </c>
      <c r="FJ29" s="34"/>
      <c r="FK29" s="33">
        <f t="shared" si="17"/>
        <v>0</v>
      </c>
      <c r="FL29" s="24"/>
    </row>
    <row r="30" spans="1:168" x14ac:dyDescent="0.3">
      <c r="A30" s="25">
        <v>45226</v>
      </c>
      <c r="B30" s="26">
        <v>0</v>
      </c>
      <c r="C30" s="26">
        <v>0</v>
      </c>
      <c r="D30" s="27">
        <f t="shared" si="0"/>
        <v>0</v>
      </c>
      <c r="E30" s="28">
        <v>810</v>
      </c>
      <c r="F30" s="26">
        <v>0</v>
      </c>
      <c r="G30" s="26">
        <v>0</v>
      </c>
      <c r="H30" s="34" t="s">
        <v>32</v>
      </c>
      <c r="I30" s="34"/>
      <c r="J30" s="31" t="s">
        <v>32</v>
      </c>
      <c r="K30" s="34" t="s">
        <v>32</v>
      </c>
      <c r="L30" s="32" t="s">
        <v>32</v>
      </c>
      <c r="M30" s="32"/>
      <c r="N30" s="34"/>
      <c r="O30" s="28" t="s">
        <v>32</v>
      </c>
      <c r="P30" s="28" t="s">
        <v>32</v>
      </c>
      <c r="Q30" s="34" t="s">
        <v>32</v>
      </c>
      <c r="R30" s="34" t="s">
        <v>32</v>
      </c>
      <c r="S30" s="32" t="s">
        <v>32</v>
      </c>
      <c r="T30" s="32" t="s">
        <v>32</v>
      </c>
      <c r="U30" s="26" t="s">
        <v>32</v>
      </c>
      <c r="V30" s="28" t="s">
        <v>32</v>
      </c>
      <c r="W30" s="26" t="s">
        <v>32</v>
      </c>
      <c r="X30" s="34" t="s">
        <v>32</v>
      </c>
      <c r="Y30" s="34" t="s">
        <v>32</v>
      </c>
      <c r="Z30" s="34"/>
      <c r="AA30" s="33">
        <f t="shared" si="12"/>
        <v>0</v>
      </c>
      <c r="AB30" s="24"/>
      <c r="AC30" s="25">
        <v>45257</v>
      </c>
      <c r="AD30" s="26">
        <v>0</v>
      </c>
      <c r="AE30" s="26">
        <v>0</v>
      </c>
      <c r="AF30" s="27">
        <f t="shared" si="1"/>
        <v>0</v>
      </c>
      <c r="AG30" s="28">
        <v>1704</v>
      </c>
      <c r="AH30" s="29">
        <v>0</v>
      </c>
      <c r="AI30" s="29">
        <v>3</v>
      </c>
      <c r="AJ30" s="34" t="s">
        <v>32</v>
      </c>
      <c r="AK30" s="34"/>
      <c r="AL30" s="31" t="s">
        <v>32</v>
      </c>
      <c r="AM30" s="34" t="s">
        <v>32</v>
      </c>
      <c r="AN30" s="32" t="s">
        <v>32</v>
      </c>
      <c r="AO30" s="32"/>
      <c r="AP30" s="34"/>
      <c r="AQ30" s="28" t="s">
        <v>32</v>
      </c>
      <c r="AR30" s="28" t="s">
        <v>32</v>
      </c>
      <c r="AS30" s="34" t="s">
        <v>32</v>
      </c>
      <c r="AT30" s="34" t="s">
        <v>32</v>
      </c>
      <c r="AU30" s="32" t="s">
        <v>32</v>
      </c>
      <c r="AV30" s="32" t="s">
        <v>32</v>
      </c>
      <c r="AW30" s="29" t="s">
        <v>32</v>
      </c>
      <c r="AX30" s="28" t="s">
        <v>32</v>
      </c>
      <c r="AY30" s="26" t="s">
        <v>32</v>
      </c>
      <c r="AZ30" s="34" t="s">
        <v>32</v>
      </c>
      <c r="BA30" s="34" t="s">
        <v>32</v>
      </c>
      <c r="BB30" s="34"/>
      <c r="BC30" s="33">
        <f t="shared" si="13"/>
        <v>0</v>
      </c>
      <c r="BD30" s="24"/>
      <c r="BE30" s="25">
        <v>45287</v>
      </c>
      <c r="BF30" s="26">
        <v>0</v>
      </c>
      <c r="BG30" s="26">
        <v>0</v>
      </c>
      <c r="BH30" s="27">
        <f t="shared" si="2"/>
        <v>0</v>
      </c>
      <c r="BI30" s="28">
        <v>3318</v>
      </c>
      <c r="BJ30" s="26">
        <v>1837</v>
      </c>
      <c r="BK30" s="26">
        <v>8.15</v>
      </c>
      <c r="BL30" s="34" t="s">
        <v>32</v>
      </c>
      <c r="BM30" s="34"/>
      <c r="BN30" s="31" t="s">
        <v>32</v>
      </c>
      <c r="BO30" s="34" t="s">
        <v>32</v>
      </c>
      <c r="BP30" s="32" t="s">
        <v>32</v>
      </c>
      <c r="BQ30" s="32"/>
      <c r="BR30" s="34"/>
      <c r="BS30" s="28" t="s">
        <v>32</v>
      </c>
      <c r="BT30" s="28" t="s">
        <v>32</v>
      </c>
      <c r="BU30" s="34" t="s">
        <v>32</v>
      </c>
      <c r="BV30" s="34" t="s">
        <v>32</v>
      </c>
      <c r="BW30" s="32" t="s">
        <v>32</v>
      </c>
      <c r="BX30" s="32" t="s">
        <v>32</v>
      </c>
      <c r="BY30" s="26" t="s">
        <v>32</v>
      </c>
      <c r="BZ30" s="28" t="s">
        <v>32</v>
      </c>
      <c r="CA30" s="26" t="s">
        <v>32</v>
      </c>
      <c r="CB30" s="34" t="s">
        <v>32</v>
      </c>
      <c r="CC30" s="34" t="s">
        <v>32</v>
      </c>
      <c r="CD30" s="34"/>
      <c r="CE30" s="33">
        <f t="shared" si="14"/>
        <v>0</v>
      </c>
      <c r="CF30" s="24"/>
      <c r="CG30" s="25">
        <v>45318</v>
      </c>
      <c r="CH30" s="26">
        <v>0</v>
      </c>
      <c r="CI30" s="26">
        <v>0</v>
      </c>
      <c r="CJ30" s="27">
        <f t="shared" si="3"/>
        <v>51950</v>
      </c>
      <c r="CK30" s="28">
        <v>1282</v>
      </c>
      <c r="CL30" s="29">
        <v>2052</v>
      </c>
      <c r="CM30" s="29">
        <v>10</v>
      </c>
      <c r="CN30" s="34" t="s">
        <v>32</v>
      </c>
      <c r="CO30" s="34"/>
      <c r="CP30" s="31" t="s">
        <v>32</v>
      </c>
      <c r="CQ30" s="34" t="s">
        <v>32</v>
      </c>
      <c r="CR30" s="32">
        <v>1950</v>
      </c>
      <c r="CS30" s="32">
        <v>50000</v>
      </c>
      <c r="CT30" s="34"/>
      <c r="CU30" s="28" t="s">
        <v>32</v>
      </c>
      <c r="CV30" s="28" t="s">
        <v>32</v>
      </c>
      <c r="CW30" s="34" t="s">
        <v>32</v>
      </c>
      <c r="CX30" s="34" t="s">
        <v>32</v>
      </c>
      <c r="CY30" s="32" t="s">
        <v>32</v>
      </c>
      <c r="CZ30" s="32" t="s">
        <v>32</v>
      </c>
      <c r="DA30" s="29" t="s">
        <v>32</v>
      </c>
      <c r="DB30" s="28" t="s">
        <v>32</v>
      </c>
      <c r="DC30" s="26" t="s">
        <v>32</v>
      </c>
      <c r="DD30" s="34" t="s">
        <v>32</v>
      </c>
      <c r="DE30" s="34" t="s">
        <v>32</v>
      </c>
      <c r="DF30" s="34"/>
      <c r="DG30" s="33">
        <f t="shared" si="15"/>
        <v>51950</v>
      </c>
      <c r="DH30" s="24"/>
      <c r="DI30" s="25">
        <v>45349</v>
      </c>
      <c r="DJ30" s="26">
        <v>0</v>
      </c>
      <c r="DK30" s="26">
        <v>0</v>
      </c>
      <c r="DL30" s="27">
        <f t="shared" si="4"/>
        <v>0</v>
      </c>
      <c r="DM30" s="28">
        <v>2202</v>
      </c>
      <c r="DN30" s="29">
        <v>2828</v>
      </c>
      <c r="DO30" s="29">
        <v>4.5</v>
      </c>
      <c r="DP30" s="34" t="s">
        <v>32</v>
      </c>
      <c r="DQ30" s="34"/>
      <c r="DR30" s="31" t="s">
        <v>32</v>
      </c>
      <c r="DS30" s="34" t="s">
        <v>32</v>
      </c>
      <c r="DT30" s="32" t="s">
        <v>32</v>
      </c>
      <c r="DU30" s="32"/>
      <c r="DV30" s="34"/>
      <c r="DW30" s="28" t="s">
        <v>32</v>
      </c>
      <c r="DX30" s="28" t="s">
        <v>32</v>
      </c>
      <c r="DY30" s="34" t="s">
        <v>32</v>
      </c>
      <c r="DZ30" s="34" t="s">
        <v>32</v>
      </c>
      <c r="EA30" s="32" t="s">
        <v>32</v>
      </c>
      <c r="EB30" s="32" t="s">
        <v>32</v>
      </c>
      <c r="EC30" s="29" t="s">
        <v>32</v>
      </c>
      <c r="ED30" s="28" t="s">
        <v>32</v>
      </c>
      <c r="EE30" s="26" t="s">
        <v>32</v>
      </c>
      <c r="EF30" s="34" t="s">
        <v>32</v>
      </c>
      <c r="EG30" s="34" t="s">
        <v>32</v>
      </c>
      <c r="EH30" s="34"/>
      <c r="EI30" s="33">
        <f t="shared" si="16"/>
        <v>0</v>
      </c>
      <c r="EJ30" s="24"/>
      <c r="EK30" s="25">
        <v>45378</v>
      </c>
      <c r="EL30" s="26">
        <v>0</v>
      </c>
      <c r="EM30" s="26">
        <v>0</v>
      </c>
      <c r="EN30" s="27">
        <f t="shared" si="5"/>
        <v>0</v>
      </c>
      <c r="EO30" s="28">
        <v>0</v>
      </c>
      <c r="EP30" s="29">
        <v>0</v>
      </c>
      <c r="EQ30" s="29">
        <v>0</v>
      </c>
      <c r="ER30" s="34" t="s">
        <v>32</v>
      </c>
      <c r="ES30" s="34"/>
      <c r="ET30" s="31" t="s">
        <v>32</v>
      </c>
      <c r="EU30" s="34" t="s">
        <v>32</v>
      </c>
      <c r="EV30" s="32" t="s">
        <v>32</v>
      </c>
      <c r="EW30" s="32"/>
      <c r="EX30" s="34"/>
      <c r="EY30" s="28" t="s">
        <v>32</v>
      </c>
      <c r="EZ30" s="28" t="s">
        <v>32</v>
      </c>
      <c r="FA30" s="34" t="s">
        <v>32</v>
      </c>
      <c r="FB30" s="34" t="s">
        <v>32</v>
      </c>
      <c r="FC30" s="32" t="s">
        <v>32</v>
      </c>
      <c r="FD30" s="32" t="s">
        <v>32</v>
      </c>
      <c r="FE30" s="29" t="s">
        <v>32</v>
      </c>
      <c r="FF30" s="28" t="s">
        <v>32</v>
      </c>
      <c r="FG30" s="26" t="s">
        <v>32</v>
      </c>
      <c r="FH30" s="34" t="s">
        <v>32</v>
      </c>
      <c r="FI30" s="34" t="s">
        <v>32</v>
      </c>
      <c r="FJ30" s="34"/>
      <c r="FK30" s="33">
        <f t="shared" si="17"/>
        <v>0</v>
      </c>
      <c r="FL30" s="24"/>
    </row>
    <row r="31" spans="1:168" x14ac:dyDescent="0.3">
      <c r="A31" s="25">
        <v>45227</v>
      </c>
      <c r="B31" s="26">
        <v>0</v>
      </c>
      <c r="C31" s="26">
        <v>0</v>
      </c>
      <c r="D31" s="27">
        <f t="shared" si="0"/>
        <v>0</v>
      </c>
      <c r="E31" s="28">
        <v>2951</v>
      </c>
      <c r="F31" s="26">
        <v>0</v>
      </c>
      <c r="G31" s="26">
        <v>0</v>
      </c>
      <c r="H31" s="34" t="s">
        <v>32</v>
      </c>
      <c r="I31" s="34"/>
      <c r="J31" s="31" t="s">
        <v>32</v>
      </c>
      <c r="K31" s="34" t="s">
        <v>32</v>
      </c>
      <c r="L31" s="32" t="s">
        <v>32</v>
      </c>
      <c r="M31" s="32"/>
      <c r="N31" s="34" t="s">
        <v>32</v>
      </c>
      <c r="O31" s="28" t="s">
        <v>32</v>
      </c>
      <c r="P31" s="28" t="s">
        <v>32</v>
      </c>
      <c r="Q31" s="34" t="s">
        <v>32</v>
      </c>
      <c r="R31" s="34" t="s">
        <v>32</v>
      </c>
      <c r="S31" s="32" t="s">
        <v>32</v>
      </c>
      <c r="T31" s="32" t="s">
        <v>32</v>
      </c>
      <c r="U31" s="26" t="s">
        <v>32</v>
      </c>
      <c r="V31" s="28" t="s">
        <v>32</v>
      </c>
      <c r="W31" s="26" t="s">
        <v>32</v>
      </c>
      <c r="X31" s="34" t="s">
        <v>32</v>
      </c>
      <c r="Y31" s="34" t="s">
        <v>32</v>
      </c>
      <c r="Z31" s="34"/>
      <c r="AA31" s="33">
        <f t="shared" si="12"/>
        <v>0</v>
      </c>
      <c r="AB31" s="24"/>
      <c r="AC31" s="25">
        <v>45258</v>
      </c>
      <c r="AD31" s="26">
        <v>1518</v>
      </c>
      <c r="AE31" s="26">
        <v>138353</v>
      </c>
      <c r="AF31" s="27">
        <f t="shared" si="1"/>
        <v>15794</v>
      </c>
      <c r="AG31" s="28">
        <v>1508</v>
      </c>
      <c r="AH31" s="29">
        <v>0</v>
      </c>
      <c r="AI31" s="29">
        <v>3.5</v>
      </c>
      <c r="AJ31" s="34" t="s">
        <v>32</v>
      </c>
      <c r="AK31" s="34"/>
      <c r="AL31" s="31" t="s">
        <v>32</v>
      </c>
      <c r="AM31" s="34" t="s">
        <v>32</v>
      </c>
      <c r="AN31" s="32" t="s">
        <v>32</v>
      </c>
      <c r="AO31" s="32">
        <v>14500</v>
      </c>
      <c r="AP31" s="34" t="s">
        <v>32</v>
      </c>
      <c r="AQ31" s="28" t="s">
        <v>32</v>
      </c>
      <c r="AR31" s="28" t="s">
        <v>32</v>
      </c>
      <c r="AS31" s="34">
        <v>1094</v>
      </c>
      <c r="AT31" s="34" t="s">
        <v>32</v>
      </c>
      <c r="AU31" s="32" t="s">
        <v>32</v>
      </c>
      <c r="AV31" s="32" t="s">
        <v>32</v>
      </c>
      <c r="AW31" s="29" t="s">
        <v>32</v>
      </c>
      <c r="AX31" s="28" t="s">
        <v>32</v>
      </c>
      <c r="AY31" s="26">
        <v>200</v>
      </c>
      <c r="AZ31" s="34" t="s">
        <v>40</v>
      </c>
      <c r="BA31" s="34" t="s">
        <v>32</v>
      </c>
      <c r="BB31" s="34"/>
      <c r="BC31" s="33">
        <f t="shared" si="13"/>
        <v>15794</v>
      </c>
      <c r="BD31" s="24"/>
      <c r="BE31" s="25">
        <v>45288</v>
      </c>
      <c r="BF31" s="26">
        <v>0</v>
      </c>
      <c r="BG31" s="26">
        <v>0</v>
      </c>
      <c r="BH31" s="27">
        <f t="shared" si="2"/>
        <v>52400</v>
      </c>
      <c r="BI31" s="28">
        <v>1050</v>
      </c>
      <c r="BJ31" s="26">
        <v>1856</v>
      </c>
      <c r="BK31" s="26">
        <v>6.45</v>
      </c>
      <c r="BL31" s="34" t="s">
        <v>32</v>
      </c>
      <c r="BM31" s="34"/>
      <c r="BN31" s="31">
        <v>52200</v>
      </c>
      <c r="BO31" s="34" t="s">
        <v>32</v>
      </c>
      <c r="BP31" s="32" t="s">
        <v>32</v>
      </c>
      <c r="BQ31" s="32"/>
      <c r="BR31" s="34" t="s">
        <v>32</v>
      </c>
      <c r="BS31" s="28">
        <v>200</v>
      </c>
      <c r="BT31" s="28" t="s">
        <v>32</v>
      </c>
      <c r="BU31" s="34" t="s">
        <v>32</v>
      </c>
      <c r="BV31" s="34" t="s">
        <v>32</v>
      </c>
      <c r="BW31" s="32" t="s">
        <v>32</v>
      </c>
      <c r="BX31" s="32" t="s">
        <v>32</v>
      </c>
      <c r="BY31" s="26" t="s">
        <v>32</v>
      </c>
      <c r="BZ31" s="28" t="s">
        <v>32</v>
      </c>
      <c r="CA31" s="26" t="s">
        <v>32</v>
      </c>
      <c r="CB31" s="34" t="s">
        <v>32</v>
      </c>
      <c r="CC31" s="34" t="s">
        <v>32</v>
      </c>
      <c r="CD31" s="34"/>
      <c r="CE31" s="33">
        <f t="shared" si="14"/>
        <v>52400</v>
      </c>
      <c r="CF31" s="24"/>
      <c r="CG31" s="25">
        <v>45319</v>
      </c>
      <c r="CH31" s="26">
        <v>0</v>
      </c>
      <c r="CI31" s="26">
        <v>0</v>
      </c>
      <c r="CJ31" s="27">
        <f t="shared" si="3"/>
        <v>0</v>
      </c>
      <c r="CK31" s="28">
        <v>2617</v>
      </c>
      <c r="CL31" s="29">
        <v>2020</v>
      </c>
      <c r="CM31" s="29">
        <v>6.4</v>
      </c>
      <c r="CN31" s="34" t="s">
        <v>32</v>
      </c>
      <c r="CO31" s="34"/>
      <c r="CP31" s="31" t="s">
        <v>32</v>
      </c>
      <c r="CQ31" s="34" t="s">
        <v>32</v>
      </c>
      <c r="CR31" s="32" t="s">
        <v>32</v>
      </c>
      <c r="CS31" s="32"/>
      <c r="CT31" s="34" t="s">
        <v>32</v>
      </c>
      <c r="CU31" s="28" t="s">
        <v>32</v>
      </c>
      <c r="CV31" s="28" t="s">
        <v>32</v>
      </c>
      <c r="CW31" s="34" t="s">
        <v>32</v>
      </c>
      <c r="CX31" s="34" t="s">
        <v>32</v>
      </c>
      <c r="CY31" s="32" t="s">
        <v>32</v>
      </c>
      <c r="CZ31" s="32" t="s">
        <v>32</v>
      </c>
      <c r="DA31" s="29" t="s">
        <v>32</v>
      </c>
      <c r="DB31" s="28" t="s">
        <v>32</v>
      </c>
      <c r="DC31" s="26" t="s">
        <v>32</v>
      </c>
      <c r="DD31" s="34" t="s">
        <v>32</v>
      </c>
      <c r="DE31" s="34" t="s">
        <v>32</v>
      </c>
      <c r="DF31" s="34"/>
      <c r="DG31" s="33">
        <f t="shared" si="15"/>
        <v>0</v>
      </c>
      <c r="DH31" s="24"/>
      <c r="DI31" s="25">
        <v>45350</v>
      </c>
      <c r="DJ31" s="26">
        <v>0</v>
      </c>
      <c r="DK31" s="26">
        <v>0</v>
      </c>
      <c r="DL31" s="27">
        <f t="shared" si="4"/>
        <v>0</v>
      </c>
      <c r="DM31" s="28">
        <v>1954</v>
      </c>
      <c r="DN31" s="29">
        <v>1212</v>
      </c>
      <c r="DO31" s="29">
        <v>9</v>
      </c>
      <c r="DP31" s="34" t="s">
        <v>32</v>
      </c>
      <c r="DQ31" s="34"/>
      <c r="DR31" s="31" t="s">
        <v>32</v>
      </c>
      <c r="DS31" s="34" t="s">
        <v>32</v>
      </c>
      <c r="DT31" s="32" t="s">
        <v>32</v>
      </c>
      <c r="DU31" s="32"/>
      <c r="DV31" s="34" t="s">
        <v>32</v>
      </c>
      <c r="DW31" s="28" t="s">
        <v>32</v>
      </c>
      <c r="DX31" s="28" t="s">
        <v>32</v>
      </c>
      <c r="DY31" s="34" t="s">
        <v>32</v>
      </c>
      <c r="DZ31" s="34" t="s">
        <v>32</v>
      </c>
      <c r="EA31" s="32" t="s">
        <v>32</v>
      </c>
      <c r="EB31" s="32" t="s">
        <v>32</v>
      </c>
      <c r="EC31" s="29" t="s">
        <v>32</v>
      </c>
      <c r="ED31" s="28" t="s">
        <v>32</v>
      </c>
      <c r="EE31" s="26" t="s">
        <v>32</v>
      </c>
      <c r="EF31" s="34" t="s">
        <v>32</v>
      </c>
      <c r="EG31" s="34" t="s">
        <v>32</v>
      </c>
      <c r="EH31" s="34"/>
      <c r="EI31" s="33">
        <f t="shared" si="16"/>
        <v>0</v>
      </c>
      <c r="EJ31" s="24"/>
      <c r="EK31" s="25">
        <v>45379</v>
      </c>
      <c r="EL31" s="26">
        <v>0</v>
      </c>
      <c r="EM31" s="26">
        <v>0</v>
      </c>
      <c r="EN31" s="27">
        <f t="shared" si="5"/>
        <v>0</v>
      </c>
      <c r="EO31" s="28">
        <v>0</v>
      </c>
      <c r="EP31" s="29">
        <v>0</v>
      </c>
      <c r="EQ31" s="29">
        <v>0</v>
      </c>
      <c r="ER31" s="34" t="s">
        <v>32</v>
      </c>
      <c r="ES31" s="34"/>
      <c r="ET31" s="31" t="s">
        <v>32</v>
      </c>
      <c r="EU31" s="34" t="s">
        <v>32</v>
      </c>
      <c r="EV31" s="32" t="s">
        <v>32</v>
      </c>
      <c r="EW31" s="32"/>
      <c r="EX31" s="34" t="s">
        <v>32</v>
      </c>
      <c r="EY31" s="28" t="s">
        <v>32</v>
      </c>
      <c r="EZ31" s="28" t="s">
        <v>32</v>
      </c>
      <c r="FA31" s="34" t="s">
        <v>32</v>
      </c>
      <c r="FB31" s="34" t="s">
        <v>32</v>
      </c>
      <c r="FC31" s="32" t="s">
        <v>32</v>
      </c>
      <c r="FD31" s="32" t="s">
        <v>32</v>
      </c>
      <c r="FE31" s="29" t="s">
        <v>32</v>
      </c>
      <c r="FF31" s="28" t="s">
        <v>32</v>
      </c>
      <c r="FG31" s="26" t="s">
        <v>32</v>
      </c>
      <c r="FH31" s="34" t="s">
        <v>32</v>
      </c>
      <c r="FI31" s="34" t="s">
        <v>32</v>
      </c>
      <c r="FJ31" s="34"/>
      <c r="FK31" s="33">
        <f t="shared" si="17"/>
        <v>0</v>
      </c>
      <c r="FL31" s="24"/>
    </row>
    <row r="32" spans="1:168" x14ac:dyDescent="0.3">
      <c r="A32" s="25">
        <v>45228</v>
      </c>
      <c r="B32" s="26">
        <v>0</v>
      </c>
      <c r="C32" s="26">
        <v>0</v>
      </c>
      <c r="D32" s="27">
        <f t="shared" si="0"/>
        <v>0</v>
      </c>
      <c r="E32" s="28">
        <v>1693</v>
      </c>
      <c r="F32" s="26">
        <v>0</v>
      </c>
      <c r="G32" s="26">
        <v>0</v>
      </c>
      <c r="H32" s="34" t="s">
        <v>32</v>
      </c>
      <c r="I32" s="34"/>
      <c r="J32" s="31" t="s">
        <v>32</v>
      </c>
      <c r="K32" s="34" t="s">
        <v>32</v>
      </c>
      <c r="L32" s="32" t="s">
        <v>32</v>
      </c>
      <c r="M32" s="32"/>
      <c r="N32" s="34"/>
      <c r="O32" s="28"/>
      <c r="P32" s="28" t="s">
        <v>32</v>
      </c>
      <c r="Q32" s="34" t="s">
        <v>32</v>
      </c>
      <c r="R32" s="34" t="s">
        <v>32</v>
      </c>
      <c r="S32" s="32" t="s">
        <v>32</v>
      </c>
      <c r="T32" s="32" t="s">
        <v>32</v>
      </c>
      <c r="U32" s="26" t="s">
        <v>32</v>
      </c>
      <c r="V32" s="28" t="s">
        <v>33</v>
      </c>
      <c r="W32" s="26" t="s">
        <v>32</v>
      </c>
      <c r="X32" s="34" t="s">
        <v>32</v>
      </c>
      <c r="Y32" s="34" t="s">
        <v>32</v>
      </c>
      <c r="Z32" s="34" t="s">
        <v>32</v>
      </c>
      <c r="AA32" s="33">
        <f t="shared" si="12"/>
        <v>0</v>
      </c>
      <c r="AB32" s="24"/>
      <c r="AC32" s="25">
        <v>45259</v>
      </c>
      <c r="AD32" s="26">
        <v>6240</v>
      </c>
      <c r="AE32" s="26">
        <v>384346</v>
      </c>
      <c r="AF32" s="27">
        <f t="shared" si="1"/>
        <v>20350</v>
      </c>
      <c r="AG32" s="28">
        <v>1495</v>
      </c>
      <c r="AH32" s="29">
        <v>1299</v>
      </c>
      <c r="AI32" s="29">
        <v>8</v>
      </c>
      <c r="AJ32" s="34" t="s">
        <v>32</v>
      </c>
      <c r="AK32" s="34"/>
      <c r="AL32" s="31" t="s">
        <v>32</v>
      </c>
      <c r="AM32" s="34" t="s">
        <v>32</v>
      </c>
      <c r="AN32" s="32">
        <v>10000</v>
      </c>
      <c r="AO32" s="32">
        <v>10000</v>
      </c>
      <c r="AP32" s="34"/>
      <c r="AQ32" s="28"/>
      <c r="AR32" s="28">
        <v>350</v>
      </c>
      <c r="AS32" s="34" t="s">
        <v>32</v>
      </c>
      <c r="AT32" s="34" t="s">
        <v>32</v>
      </c>
      <c r="AU32" s="32" t="s">
        <v>32</v>
      </c>
      <c r="AV32" s="32" t="s">
        <v>32</v>
      </c>
      <c r="AW32" s="29" t="s">
        <v>32</v>
      </c>
      <c r="AX32" s="28" t="s">
        <v>33</v>
      </c>
      <c r="AY32" s="26" t="s">
        <v>32</v>
      </c>
      <c r="AZ32" s="34" t="s">
        <v>32</v>
      </c>
      <c r="BA32" s="34" t="s">
        <v>32</v>
      </c>
      <c r="BB32" s="34" t="s">
        <v>32</v>
      </c>
      <c r="BC32" s="33">
        <f t="shared" si="13"/>
        <v>20350</v>
      </c>
      <c r="BD32" s="24"/>
      <c r="BE32" s="25">
        <v>45289</v>
      </c>
      <c r="BF32" s="26">
        <v>0</v>
      </c>
      <c r="BG32" s="26">
        <v>0</v>
      </c>
      <c r="BH32" s="27">
        <f t="shared" si="2"/>
        <v>0</v>
      </c>
      <c r="BI32" s="28">
        <v>1451</v>
      </c>
      <c r="BJ32" s="26">
        <v>3122</v>
      </c>
      <c r="BK32" s="26">
        <v>10</v>
      </c>
      <c r="BL32" s="34" t="s">
        <v>32</v>
      </c>
      <c r="BM32" s="34"/>
      <c r="BN32" s="31" t="s">
        <v>32</v>
      </c>
      <c r="BO32" s="34" t="s">
        <v>32</v>
      </c>
      <c r="BP32" s="32" t="s">
        <v>32</v>
      </c>
      <c r="BQ32" s="32"/>
      <c r="BR32" s="34"/>
      <c r="BS32" s="28"/>
      <c r="BT32" s="28" t="s">
        <v>32</v>
      </c>
      <c r="BU32" s="34" t="s">
        <v>32</v>
      </c>
      <c r="BV32" s="34" t="s">
        <v>32</v>
      </c>
      <c r="BW32" s="32" t="s">
        <v>32</v>
      </c>
      <c r="BX32" s="32" t="s">
        <v>32</v>
      </c>
      <c r="BY32" s="26" t="s">
        <v>32</v>
      </c>
      <c r="BZ32" s="28" t="s">
        <v>33</v>
      </c>
      <c r="CA32" s="26" t="s">
        <v>32</v>
      </c>
      <c r="CB32" s="34" t="s">
        <v>32</v>
      </c>
      <c r="CC32" s="34" t="s">
        <v>32</v>
      </c>
      <c r="CD32" s="34" t="s">
        <v>32</v>
      </c>
      <c r="CE32" s="33">
        <f t="shared" si="14"/>
        <v>0</v>
      </c>
      <c r="CF32" s="24"/>
      <c r="CG32" s="25">
        <v>45320</v>
      </c>
      <c r="CH32" s="26">
        <v>0</v>
      </c>
      <c r="CI32" s="26">
        <v>0</v>
      </c>
      <c r="CJ32" s="27">
        <f t="shared" si="3"/>
        <v>0</v>
      </c>
      <c r="CK32" s="28">
        <v>3832</v>
      </c>
      <c r="CL32" s="29">
        <v>2234</v>
      </c>
      <c r="CM32" s="29">
        <v>9.5</v>
      </c>
      <c r="CN32" s="34" t="s">
        <v>32</v>
      </c>
      <c r="CO32" s="34"/>
      <c r="CP32" s="31" t="s">
        <v>32</v>
      </c>
      <c r="CQ32" s="34" t="s">
        <v>32</v>
      </c>
      <c r="CR32" s="32" t="s">
        <v>32</v>
      </c>
      <c r="CS32" s="32"/>
      <c r="CT32" s="34"/>
      <c r="CU32" s="28"/>
      <c r="CV32" s="28" t="s">
        <v>32</v>
      </c>
      <c r="CW32" s="34" t="s">
        <v>32</v>
      </c>
      <c r="CX32" s="34" t="s">
        <v>32</v>
      </c>
      <c r="CY32" s="32" t="s">
        <v>32</v>
      </c>
      <c r="CZ32" s="32" t="s">
        <v>32</v>
      </c>
      <c r="DA32" s="29" t="s">
        <v>32</v>
      </c>
      <c r="DB32" s="28" t="s">
        <v>33</v>
      </c>
      <c r="DC32" s="26" t="s">
        <v>32</v>
      </c>
      <c r="DD32" s="34" t="s">
        <v>32</v>
      </c>
      <c r="DE32" s="34" t="s">
        <v>32</v>
      </c>
      <c r="DF32" s="34" t="s">
        <v>32</v>
      </c>
      <c r="DG32" s="33">
        <f t="shared" si="15"/>
        <v>0</v>
      </c>
      <c r="DH32" s="24"/>
      <c r="DI32" s="25">
        <v>45351</v>
      </c>
      <c r="DJ32" s="26">
        <v>3751</v>
      </c>
      <c r="DK32" s="26">
        <v>775800</v>
      </c>
      <c r="DL32" s="27">
        <f t="shared" si="4"/>
        <v>1111591</v>
      </c>
      <c r="DM32" s="28">
        <v>1776</v>
      </c>
      <c r="DN32" s="29">
        <v>1776</v>
      </c>
      <c r="DO32" s="29">
        <v>9.5</v>
      </c>
      <c r="DP32" s="34" t="s">
        <v>32</v>
      </c>
      <c r="DQ32" s="34">
        <v>35000</v>
      </c>
      <c r="DR32" s="31">
        <v>100000</v>
      </c>
      <c r="DS32" s="34" t="s">
        <v>32</v>
      </c>
      <c r="DT32" s="32">
        <v>300</v>
      </c>
      <c r="DU32" s="32"/>
      <c r="DV32" s="34">
        <v>23920</v>
      </c>
      <c r="DW32" s="28"/>
      <c r="DX32" s="28" t="s">
        <v>32</v>
      </c>
      <c r="DY32" s="34">
        <v>700</v>
      </c>
      <c r="DZ32" s="34" t="s">
        <v>32</v>
      </c>
      <c r="EA32" s="32">
        <v>943671</v>
      </c>
      <c r="EB32" s="32" t="s">
        <v>66</v>
      </c>
      <c r="EC32" s="29" t="s">
        <v>32</v>
      </c>
      <c r="ED32" s="28" t="s">
        <v>33</v>
      </c>
      <c r="EE32" s="26">
        <v>8000</v>
      </c>
      <c r="EF32" s="34" t="s">
        <v>47</v>
      </c>
      <c r="EG32" s="34" t="s">
        <v>32</v>
      </c>
      <c r="EH32" s="34" t="s">
        <v>32</v>
      </c>
      <c r="EI32" s="33">
        <f t="shared" si="16"/>
        <v>1111591</v>
      </c>
      <c r="EJ32" s="24"/>
      <c r="EK32" s="25">
        <v>45380</v>
      </c>
      <c r="EL32" s="26">
        <v>510</v>
      </c>
      <c r="EM32" s="26">
        <v>31300</v>
      </c>
      <c r="EN32" s="27">
        <f t="shared" si="5"/>
        <v>53646</v>
      </c>
      <c r="EO32" s="28">
        <v>0</v>
      </c>
      <c r="EP32" s="29">
        <v>0</v>
      </c>
      <c r="EQ32" s="29">
        <v>0</v>
      </c>
      <c r="ER32" s="34" t="s">
        <v>32</v>
      </c>
      <c r="ES32" s="34"/>
      <c r="ET32" s="31" t="s">
        <v>32</v>
      </c>
      <c r="EU32" s="34" t="s">
        <v>32</v>
      </c>
      <c r="EV32" s="32">
        <v>20000</v>
      </c>
      <c r="EW32" s="32"/>
      <c r="EX32" s="34">
        <v>13386</v>
      </c>
      <c r="EY32" s="28"/>
      <c r="EZ32" s="28" t="s">
        <v>32</v>
      </c>
      <c r="FA32" s="34">
        <v>8060</v>
      </c>
      <c r="FB32" s="34" t="s">
        <v>32</v>
      </c>
      <c r="FC32" s="32" t="s">
        <v>32</v>
      </c>
      <c r="FD32" s="32" t="s">
        <v>32</v>
      </c>
      <c r="FE32" s="29">
        <v>2200</v>
      </c>
      <c r="FF32" s="28" t="s">
        <v>33</v>
      </c>
      <c r="FG32" s="26">
        <v>10000</v>
      </c>
      <c r="FH32" s="34" t="s">
        <v>68</v>
      </c>
      <c r="FI32" s="34" t="s">
        <v>32</v>
      </c>
      <c r="FJ32" s="34" t="s">
        <v>32</v>
      </c>
      <c r="FK32" s="33">
        <f t="shared" si="17"/>
        <v>53646</v>
      </c>
      <c r="FL32" s="24"/>
    </row>
    <row r="33" spans="1:224" x14ac:dyDescent="0.3">
      <c r="A33" s="25">
        <v>45229</v>
      </c>
      <c r="B33" s="26">
        <v>0</v>
      </c>
      <c r="C33" s="26">
        <v>0</v>
      </c>
      <c r="D33" s="27">
        <f t="shared" si="0"/>
        <v>0</v>
      </c>
      <c r="E33" s="28">
        <v>1029</v>
      </c>
      <c r="F33" s="26">
        <v>0</v>
      </c>
      <c r="G33" s="26">
        <v>0</v>
      </c>
      <c r="H33" s="34" t="s">
        <v>32</v>
      </c>
      <c r="I33" s="34"/>
      <c r="J33" s="31" t="s">
        <v>32</v>
      </c>
      <c r="K33" s="34" t="s">
        <v>32</v>
      </c>
      <c r="L33" s="32" t="s">
        <v>32</v>
      </c>
      <c r="M33" s="32"/>
      <c r="N33" s="34" t="s">
        <v>32</v>
      </c>
      <c r="O33" s="28" t="s">
        <v>32</v>
      </c>
      <c r="P33" s="28" t="s">
        <v>32</v>
      </c>
      <c r="Q33" s="34" t="s">
        <v>32</v>
      </c>
      <c r="R33" s="34" t="s">
        <v>32</v>
      </c>
      <c r="S33" s="32" t="s">
        <v>32</v>
      </c>
      <c r="T33" s="32" t="s">
        <v>32</v>
      </c>
      <c r="U33" s="26" t="s">
        <v>32</v>
      </c>
      <c r="V33" s="28" t="s">
        <v>32</v>
      </c>
      <c r="W33" s="26" t="s">
        <v>32</v>
      </c>
      <c r="X33" s="34" t="s">
        <v>32</v>
      </c>
      <c r="Y33" s="34" t="s">
        <v>32</v>
      </c>
      <c r="Z33" s="34" t="s">
        <v>32</v>
      </c>
      <c r="AA33" s="33">
        <f t="shared" si="12"/>
        <v>0</v>
      </c>
      <c r="AB33" s="24"/>
      <c r="AC33" s="25">
        <v>45260</v>
      </c>
      <c r="AD33" s="26">
        <v>0</v>
      </c>
      <c r="AE33" s="26">
        <v>0</v>
      </c>
      <c r="AF33" s="27">
        <f t="shared" si="1"/>
        <v>1516626</v>
      </c>
      <c r="AG33" s="28">
        <v>2021</v>
      </c>
      <c r="AH33" s="29">
        <v>2095</v>
      </c>
      <c r="AI33" s="29">
        <v>8.75</v>
      </c>
      <c r="AJ33" s="34" t="s">
        <v>32</v>
      </c>
      <c r="AK33" s="34"/>
      <c r="AL33" s="31" t="s">
        <v>32</v>
      </c>
      <c r="AM33" s="34" t="s">
        <v>32</v>
      </c>
      <c r="AN33" s="32" t="s">
        <v>32</v>
      </c>
      <c r="AO33" s="32">
        <v>20000</v>
      </c>
      <c r="AP33" s="34" t="s">
        <v>32</v>
      </c>
      <c r="AQ33" s="28" t="s">
        <v>32</v>
      </c>
      <c r="AR33" s="28" t="s">
        <v>32</v>
      </c>
      <c r="AS33" s="34">
        <v>4692</v>
      </c>
      <c r="AT33" s="34" t="s">
        <v>32</v>
      </c>
      <c r="AU33" s="32">
        <v>1466934</v>
      </c>
      <c r="AV33" s="32" t="s">
        <v>48</v>
      </c>
      <c r="AW33" s="29" t="s">
        <v>32</v>
      </c>
      <c r="AX33" s="28" t="s">
        <v>32</v>
      </c>
      <c r="AY33" s="26">
        <v>25000</v>
      </c>
      <c r="AZ33" s="34" t="s">
        <v>47</v>
      </c>
      <c r="BA33" s="34" t="s">
        <v>32</v>
      </c>
      <c r="BB33" s="34" t="s">
        <v>32</v>
      </c>
      <c r="BC33" s="33">
        <f t="shared" si="13"/>
        <v>1516626</v>
      </c>
      <c r="BD33" s="24"/>
      <c r="BE33" s="25">
        <v>45290</v>
      </c>
      <c r="BF33" s="26">
        <v>3563</v>
      </c>
      <c r="BG33" s="26">
        <v>153840</v>
      </c>
      <c r="BH33" s="27">
        <f t="shared" si="2"/>
        <v>948605</v>
      </c>
      <c r="BI33" s="28">
        <v>2188</v>
      </c>
      <c r="BJ33" s="26">
        <v>2501</v>
      </c>
      <c r="BK33" s="26">
        <v>9.5</v>
      </c>
      <c r="BL33" s="34">
        <v>22000</v>
      </c>
      <c r="BM33" s="34">
        <v>17875</v>
      </c>
      <c r="BN33" s="31">
        <v>119625</v>
      </c>
      <c r="BO33" s="34" t="s">
        <v>32</v>
      </c>
      <c r="BP33" s="32" t="s">
        <v>32</v>
      </c>
      <c r="BQ33" s="32">
        <v>37300</v>
      </c>
      <c r="BR33" s="34" t="s">
        <v>32</v>
      </c>
      <c r="BS33" s="28" t="s">
        <v>32</v>
      </c>
      <c r="BT33" s="28" t="s">
        <v>32</v>
      </c>
      <c r="BU33" s="34" t="s">
        <v>32</v>
      </c>
      <c r="BV33" s="34" t="s">
        <v>32</v>
      </c>
      <c r="BW33" s="32">
        <v>750965</v>
      </c>
      <c r="BX33" s="32" t="s">
        <v>56</v>
      </c>
      <c r="BY33" s="26">
        <v>840</v>
      </c>
      <c r="BZ33" s="28" t="s">
        <v>32</v>
      </c>
      <c r="CA33" s="26" t="s">
        <v>32</v>
      </c>
      <c r="CB33" s="34" t="s">
        <v>32</v>
      </c>
      <c r="CC33" s="34" t="s">
        <v>32</v>
      </c>
      <c r="CD33" s="34" t="s">
        <v>32</v>
      </c>
      <c r="CE33" s="33">
        <f t="shared" si="14"/>
        <v>948605</v>
      </c>
      <c r="CF33" s="24"/>
      <c r="CG33" s="25">
        <v>45321</v>
      </c>
      <c r="CH33" s="26">
        <v>1420</v>
      </c>
      <c r="CI33" s="26">
        <v>79500</v>
      </c>
      <c r="CJ33" s="27">
        <f t="shared" si="3"/>
        <v>20000</v>
      </c>
      <c r="CK33" s="28">
        <v>3266</v>
      </c>
      <c r="CL33" s="29">
        <v>3383</v>
      </c>
      <c r="CM33" s="29">
        <v>9.5</v>
      </c>
      <c r="CN33" s="34" t="s">
        <v>32</v>
      </c>
      <c r="CO33" s="34"/>
      <c r="CP33" s="31" t="s">
        <v>32</v>
      </c>
      <c r="CQ33" s="34" t="s">
        <v>32</v>
      </c>
      <c r="CR33" s="32">
        <v>17800</v>
      </c>
      <c r="CS33" s="32"/>
      <c r="CT33" s="34" t="s">
        <v>32</v>
      </c>
      <c r="CU33" s="28" t="s">
        <v>32</v>
      </c>
      <c r="CV33" s="28" t="s">
        <v>32</v>
      </c>
      <c r="CW33" s="34">
        <v>2200</v>
      </c>
      <c r="CX33" s="34"/>
      <c r="CY33" s="32" t="s">
        <v>32</v>
      </c>
      <c r="CZ33" s="32" t="s">
        <v>32</v>
      </c>
      <c r="DA33" s="29" t="s">
        <v>32</v>
      </c>
      <c r="DB33" s="28" t="s">
        <v>32</v>
      </c>
      <c r="DC33" s="26" t="s">
        <v>32</v>
      </c>
      <c r="DD33" s="34" t="s">
        <v>32</v>
      </c>
      <c r="DE33" s="34" t="s">
        <v>32</v>
      </c>
      <c r="DF33" s="34" t="s">
        <v>32</v>
      </c>
      <c r="DG33" s="33">
        <f t="shared" si="15"/>
        <v>20000</v>
      </c>
      <c r="DH33" s="24"/>
      <c r="DI33" s="25" t="s">
        <v>32</v>
      </c>
      <c r="DJ33" s="26" t="s">
        <v>32</v>
      </c>
      <c r="DK33" s="26" t="s">
        <v>32</v>
      </c>
      <c r="DL33" s="27">
        <f t="shared" si="4"/>
        <v>0</v>
      </c>
      <c r="DM33" s="28" t="s">
        <v>32</v>
      </c>
      <c r="DN33" s="29" t="s">
        <v>33</v>
      </c>
      <c r="DO33" s="29" t="s">
        <v>32</v>
      </c>
      <c r="DP33" s="34" t="s">
        <v>32</v>
      </c>
      <c r="DQ33" s="34"/>
      <c r="DR33" s="31" t="s">
        <v>32</v>
      </c>
      <c r="DS33" s="34" t="s">
        <v>32</v>
      </c>
      <c r="DT33" s="32" t="s">
        <v>32</v>
      </c>
      <c r="DU33" s="32"/>
      <c r="DV33" s="34" t="s">
        <v>32</v>
      </c>
      <c r="DW33" s="28" t="s">
        <v>32</v>
      </c>
      <c r="DX33" s="28" t="s">
        <v>32</v>
      </c>
      <c r="DY33" s="34" t="s">
        <v>32</v>
      </c>
      <c r="DZ33" s="34" t="s">
        <v>32</v>
      </c>
      <c r="EA33" s="32" t="s">
        <v>32</v>
      </c>
      <c r="EB33" s="32" t="s">
        <v>32</v>
      </c>
      <c r="EC33" s="29" t="s">
        <v>32</v>
      </c>
      <c r="ED33" s="28" t="s">
        <v>32</v>
      </c>
      <c r="EE33" s="26" t="s">
        <v>32</v>
      </c>
      <c r="EF33" s="34" t="s">
        <v>32</v>
      </c>
      <c r="EG33" s="34" t="s">
        <v>32</v>
      </c>
      <c r="EH33" s="34" t="s">
        <v>32</v>
      </c>
      <c r="EI33" s="33">
        <f t="shared" si="16"/>
        <v>0</v>
      </c>
      <c r="EJ33" s="24"/>
      <c r="EK33" s="25">
        <v>45381</v>
      </c>
      <c r="EL33" s="26">
        <v>659</v>
      </c>
      <c r="EM33" s="26">
        <v>33620</v>
      </c>
      <c r="EN33" s="27">
        <f t="shared" si="5"/>
        <v>119529</v>
      </c>
      <c r="EO33" s="28">
        <v>0</v>
      </c>
      <c r="EP33" s="29">
        <v>0</v>
      </c>
      <c r="EQ33" s="29">
        <v>0</v>
      </c>
      <c r="ER33" s="34" t="s">
        <v>32</v>
      </c>
      <c r="ES33" s="34"/>
      <c r="ET33" s="31" t="s">
        <v>32</v>
      </c>
      <c r="EU33" s="34">
        <v>49500</v>
      </c>
      <c r="EV33" s="32">
        <v>46830</v>
      </c>
      <c r="EW33" s="32"/>
      <c r="EX33" s="34">
        <v>17650</v>
      </c>
      <c r="EY33" s="28">
        <v>200</v>
      </c>
      <c r="EZ33" s="28" t="s">
        <v>32</v>
      </c>
      <c r="FA33" s="34">
        <v>1400</v>
      </c>
      <c r="FB33" s="34">
        <v>749</v>
      </c>
      <c r="FC33" s="32">
        <v>3200</v>
      </c>
      <c r="FD33" s="32" t="s">
        <v>51</v>
      </c>
      <c r="FE33" s="29" t="s">
        <v>32</v>
      </c>
      <c r="FF33" s="28" t="s">
        <v>32</v>
      </c>
      <c r="FG33" s="26" t="s">
        <v>32</v>
      </c>
      <c r="FH33" s="34" t="s">
        <v>32</v>
      </c>
      <c r="FI33" s="34" t="s">
        <v>32</v>
      </c>
      <c r="FJ33" s="34" t="s">
        <v>32</v>
      </c>
      <c r="FK33" s="33">
        <f t="shared" si="17"/>
        <v>119529</v>
      </c>
      <c r="FL33" s="24"/>
    </row>
    <row r="34" spans="1:224" x14ac:dyDescent="0.3">
      <c r="A34" s="25">
        <v>45230</v>
      </c>
      <c r="B34" s="26">
        <v>0</v>
      </c>
      <c r="C34" s="26">
        <v>30300</v>
      </c>
      <c r="D34" s="27">
        <f t="shared" si="0"/>
        <v>1073374</v>
      </c>
      <c r="E34" s="28">
        <v>1455</v>
      </c>
      <c r="F34" s="26">
        <v>0</v>
      </c>
      <c r="G34" s="26">
        <v>0</v>
      </c>
      <c r="H34" s="34" t="s">
        <v>32</v>
      </c>
      <c r="I34" s="34"/>
      <c r="J34" s="31">
        <v>569598</v>
      </c>
      <c r="K34" s="34" t="s">
        <v>32</v>
      </c>
      <c r="L34" s="32" t="s">
        <v>33</v>
      </c>
      <c r="M34" s="32">
        <v>484696</v>
      </c>
      <c r="N34" s="34"/>
      <c r="O34" s="28">
        <v>220</v>
      </c>
      <c r="P34" s="28">
        <v>1250</v>
      </c>
      <c r="Q34" s="34">
        <v>7810</v>
      </c>
      <c r="R34" s="34" t="s">
        <v>32</v>
      </c>
      <c r="S34" s="32" t="s">
        <v>32</v>
      </c>
      <c r="T34" s="32" t="s">
        <v>32</v>
      </c>
      <c r="U34" s="26" t="s">
        <v>32</v>
      </c>
      <c r="V34" s="28" t="s">
        <v>32</v>
      </c>
      <c r="W34" s="26">
        <v>5300</v>
      </c>
      <c r="X34" s="34" t="s">
        <v>40</v>
      </c>
      <c r="Y34" s="34">
        <v>4500</v>
      </c>
      <c r="Z34" s="34" t="s">
        <v>41</v>
      </c>
      <c r="AA34" s="33">
        <f>SUM(H34:Y34)</f>
        <v>1073374</v>
      </c>
      <c r="AB34" s="24"/>
      <c r="AC34" s="25" t="s">
        <v>32</v>
      </c>
      <c r="AD34" s="26" t="s">
        <v>32</v>
      </c>
      <c r="AE34" s="26" t="s">
        <v>32</v>
      </c>
      <c r="AF34" s="27">
        <f t="shared" si="1"/>
        <v>0</v>
      </c>
      <c r="AG34" s="28" t="s">
        <v>32</v>
      </c>
      <c r="AH34" s="29" t="s">
        <v>32</v>
      </c>
      <c r="AI34" s="29" t="s">
        <v>32</v>
      </c>
      <c r="AJ34" s="34" t="s">
        <v>32</v>
      </c>
      <c r="AK34" s="34"/>
      <c r="AL34" s="31" t="s">
        <v>32</v>
      </c>
      <c r="AM34" s="34" t="s">
        <v>32</v>
      </c>
      <c r="AN34" s="32" t="s">
        <v>33</v>
      </c>
      <c r="AO34" s="32"/>
      <c r="AP34" s="34"/>
      <c r="AQ34" s="28" t="s">
        <v>32</v>
      </c>
      <c r="AR34" s="28" t="s">
        <v>32</v>
      </c>
      <c r="AS34" s="34" t="s">
        <v>32</v>
      </c>
      <c r="AT34" s="34" t="s">
        <v>32</v>
      </c>
      <c r="AU34" s="32" t="s">
        <v>32</v>
      </c>
      <c r="AV34" s="32" t="s">
        <v>32</v>
      </c>
      <c r="AW34" s="29" t="s">
        <v>32</v>
      </c>
      <c r="AX34" s="28" t="s">
        <v>32</v>
      </c>
      <c r="AY34" s="26" t="s">
        <v>32</v>
      </c>
      <c r="AZ34" s="34" t="s">
        <v>32</v>
      </c>
      <c r="BA34" s="34" t="s">
        <v>32</v>
      </c>
      <c r="BB34" s="34" t="s">
        <v>32</v>
      </c>
      <c r="BC34" s="33">
        <f t="shared" si="13"/>
        <v>0</v>
      </c>
      <c r="BD34" s="24"/>
      <c r="BE34" s="25">
        <v>45291</v>
      </c>
      <c r="BF34" s="26">
        <v>0</v>
      </c>
      <c r="BG34" s="26">
        <v>0</v>
      </c>
      <c r="BH34" s="27">
        <f t="shared" si="2"/>
        <v>115430</v>
      </c>
      <c r="BI34" s="28">
        <v>1689</v>
      </c>
      <c r="BJ34" s="26">
        <v>1217</v>
      </c>
      <c r="BK34" s="26">
        <v>8.5</v>
      </c>
      <c r="BL34" s="34">
        <v>13700</v>
      </c>
      <c r="BM34" s="34">
        <v>16500</v>
      </c>
      <c r="BN34" s="31">
        <v>71500</v>
      </c>
      <c r="BO34" s="34" t="s">
        <v>32</v>
      </c>
      <c r="BP34" s="32" t="s">
        <v>33</v>
      </c>
      <c r="BQ34" s="32"/>
      <c r="BR34" s="34"/>
      <c r="BS34" s="28" t="s">
        <v>32</v>
      </c>
      <c r="BT34" s="28" t="s">
        <v>32</v>
      </c>
      <c r="BU34" s="34">
        <v>430</v>
      </c>
      <c r="BV34" s="34" t="s">
        <v>32</v>
      </c>
      <c r="BW34" s="32" t="s">
        <v>32</v>
      </c>
      <c r="BX34" s="32" t="s">
        <v>32</v>
      </c>
      <c r="BY34" s="26">
        <v>13300</v>
      </c>
      <c r="BZ34" s="28" t="s">
        <v>32</v>
      </c>
      <c r="CA34" s="26" t="s">
        <v>32</v>
      </c>
      <c r="CB34" s="34" t="s">
        <v>32</v>
      </c>
      <c r="CC34" s="34" t="s">
        <v>32</v>
      </c>
      <c r="CD34" s="34" t="s">
        <v>32</v>
      </c>
      <c r="CE34" s="33">
        <f t="shared" si="14"/>
        <v>115430</v>
      </c>
      <c r="CF34" s="24"/>
      <c r="CG34" s="25">
        <v>45322</v>
      </c>
      <c r="CH34" s="26">
        <v>282</v>
      </c>
      <c r="CI34" s="26">
        <v>366501</v>
      </c>
      <c r="CJ34" s="27">
        <f t="shared" si="3"/>
        <v>546021</v>
      </c>
      <c r="CK34" s="28">
        <v>1757</v>
      </c>
      <c r="CL34" s="29">
        <v>1601</v>
      </c>
      <c r="CM34" s="29">
        <v>7.4</v>
      </c>
      <c r="CN34" s="34" t="s">
        <v>32</v>
      </c>
      <c r="CO34" s="34"/>
      <c r="CP34" s="31" t="s">
        <v>32</v>
      </c>
      <c r="CQ34" s="34" t="s">
        <v>32</v>
      </c>
      <c r="CR34" s="32" t="s">
        <v>33</v>
      </c>
      <c r="CS34" s="32"/>
      <c r="CT34" s="34"/>
      <c r="CU34" s="28">
        <v>32822</v>
      </c>
      <c r="CV34" s="28" t="s">
        <v>32</v>
      </c>
      <c r="CW34" s="34" t="s">
        <v>32</v>
      </c>
      <c r="CX34" s="34" t="s">
        <v>32</v>
      </c>
      <c r="CY34" s="32">
        <v>465299</v>
      </c>
      <c r="CZ34" s="32" t="s">
        <v>64</v>
      </c>
      <c r="DA34" s="29" t="s">
        <v>32</v>
      </c>
      <c r="DB34" s="28">
        <v>37900</v>
      </c>
      <c r="DC34" s="26">
        <v>10000</v>
      </c>
      <c r="DD34" s="34" t="s">
        <v>47</v>
      </c>
      <c r="DE34" s="34" t="s">
        <v>32</v>
      </c>
      <c r="DF34" s="34" t="s">
        <v>32</v>
      </c>
      <c r="DG34" s="33">
        <f t="shared" si="15"/>
        <v>546021</v>
      </c>
      <c r="DH34" s="24"/>
      <c r="DI34" s="25" t="s">
        <v>32</v>
      </c>
      <c r="DJ34" s="26" t="s">
        <v>32</v>
      </c>
      <c r="DK34" s="26" t="s">
        <v>32</v>
      </c>
      <c r="DL34" s="27">
        <f t="shared" si="4"/>
        <v>0</v>
      </c>
      <c r="DM34" s="28" t="s">
        <v>32</v>
      </c>
      <c r="DN34" s="29" t="s">
        <v>32</v>
      </c>
      <c r="DO34" s="29" t="s">
        <v>32</v>
      </c>
      <c r="DP34" s="34" t="s">
        <v>32</v>
      </c>
      <c r="DQ34" s="34"/>
      <c r="DR34" s="31" t="s">
        <v>32</v>
      </c>
      <c r="DS34" s="34" t="s">
        <v>32</v>
      </c>
      <c r="DT34" s="32" t="s">
        <v>33</v>
      </c>
      <c r="DU34" s="32"/>
      <c r="DV34" s="34"/>
      <c r="DW34" s="28" t="s">
        <v>32</v>
      </c>
      <c r="DX34" s="28" t="s">
        <v>32</v>
      </c>
      <c r="DY34" s="34" t="s">
        <v>32</v>
      </c>
      <c r="DZ34" s="34" t="s">
        <v>32</v>
      </c>
      <c r="EA34" s="32" t="s">
        <v>32</v>
      </c>
      <c r="EB34" s="32" t="s">
        <v>32</v>
      </c>
      <c r="EC34" s="29" t="s">
        <v>32</v>
      </c>
      <c r="ED34" s="28" t="s">
        <v>32</v>
      </c>
      <c r="EE34" s="26" t="s">
        <v>32</v>
      </c>
      <c r="EF34" s="34" t="s">
        <v>32</v>
      </c>
      <c r="EG34" s="34" t="s">
        <v>32</v>
      </c>
      <c r="EH34" s="34" t="s">
        <v>32</v>
      </c>
      <c r="EI34" s="33">
        <f t="shared" si="16"/>
        <v>0</v>
      </c>
      <c r="EJ34" s="24"/>
      <c r="EK34" s="25">
        <v>45382</v>
      </c>
      <c r="EL34" s="26">
        <v>7947</v>
      </c>
      <c r="EM34" s="26">
        <v>257814</v>
      </c>
      <c r="EN34" s="27">
        <f t="shared" si="5"/>
        <v>776674</v>
      </c>
      <c r="EO34" s="28">
        <v>0</v>
      </c>
      <c r="EP34" s="29">
        <v>0</v>
      </c>
      <c r="EQ34" s="29">
        <v>0</v>
      </c>
      <c r="ER34" s="34" t="s">
        <v>32</v>
      </c>
      <c r="ES34" s="34"/>
      <c r="ET34" s="31" t="s">
        <v>32</v>
      </c>
      <c r="EU34" s="34">
        <v>310200</v>
      </c>
      <c r="EV34" s="32" t="s">
        <v>33</v>
      </c>
      <c r="EW34" s="32"/>
      <c r="EX34" s="34"/>
      <c r="EY34" s="28">
        <v>32822</v>
      </c>
      <c r="EZ34" s="28" t="s">
        <v>32</v>
      </c>
      <c r="FA34" s="34">
        <v>280</v>
      </c>
      <c r="FB34" s="34" t="s">
        <v>32</v>
      </c>
      <c r="FC34" s="32">
        <v>423372</v>
      </c>
      <c r="FD34" s="32" t="s">
        <v>70</v>
      </c>
      <c r="FE34" s="29">
        <v>10000</v>
      </c>
      <c r="FF34" s="28" t="s">
        <v>32</v>
      </c>
      <c r="FG34" s="26" t="s">
        <v>32</v>
      </c>
      <c r="FH34" s="34" t="s">
        <v>32</v>
      </c>
      <c r="FI34" s="34" t="s">
        <v>32</v>
      </c>
      <c r="FJ34" s="34" t="s">
        <v>32</v>
      </c>
      <c r="FK34" s="33">
        <f t="shared" si="17"/>
        <v>776674</v>
      </c>
      <c r="FL34" s="24"/>
    </row>
    <row r="35" spans="1:224" x14ac:dyDescent="0.3">
      <c r="A35" s="35"/>
      <c r="B35" s="36">
        <f t="shared" ref="B35:K35" si="18">SUM(B4:B34)</f>
        <v>0</v>
      </c>
      <c r="C35" s="36">
        <f t="shared" si="18"/>
        <v>30300</v>
      </c>
      <c r="D35" s="37">
        <f t="shared" si="18"/>
        <v>1415126</v>
      </c>
      <c r="E35" s="38">
        <f t="shared" si="18"/>
        <v>13699</v>
      </c>
      <c r="F35" s="66">
        <f t="shared" si="18"/>
        <v>0</v>
      </c>
      <c r="G35" s="66">
        <f t="shared" si="18"/>
        <v>0</v>
      </c>
      <c r="H35" s="35">
        <f>SUM(H4:H34)</f>
        <v>14170</v>
      </c>
      <c r="I35" s="35">
        <f>SUM(I22:I34)</f>
        <v>15330</v>
      </c>
      <c r="J35" s="40">
        <f t="shared" si="18"/>
        <v>591998</v>
      </c>
      <c r="K35" s="35">
        <f t="shared" si="18"/>
        <v>0</v>
      </c>
      <c r="L35" s="37">
        <f t="shared" ref="L35:Y35" si="19">SUM(L4:L34)</f>
        <v>112926</v>
      </c>
      <c r="M35" s="37">
        <f t="shared" si="19"/>
        <v>635092</v>
      </c>
      <c r="N35" s="35">
        <f t="shared" si="19"/>
        <v>0</v>
      </c>
      <c r="O35" s="38">
        <f t="shared" si="19"/>
        <v>220</v>
      </c>
      <c r="P35" s="38">
        <f t="shared" si="19"/>
        <v>1250</v>
      </c>
      <c r="Q35" s="35">
        <f t="shared" si="19"/>
        <v>19420</v>
      </c>
      <c r="R35" s="35">
        <f t="shared" si="19"/>
        <v>0</v>
      </c>
      <c r="S35" s="37">
        <f t="shared" si="19"/>
        <v>0</v>
      </c>
      <c r="T35" s="37">
        <f t="shared" si="19"/>
        <v>0</v>
      </c>
      <c r="U35" s="36">
        <f t="shared" si="19"/>
        <v>0</v>
      </c>
      <c r="V35" s="38">
        <f t="shared" si="19"/>
        <v>0</v>
      </c>
      <c r="W35" s="36">
        <f t="shared" si="19"/>
        <v>5300</v>
      </c>
      <c r="X35" s="35">
        <f t="shared" si="19"/>
        <v>0</v>
      </c>
      <c r="Y35" s="35">
        <f t="shared" si="19"/>
        <v>19420</v>
      </c>
      <c r="Z35" s="35"/>
      <c r="AA35" s="42">
        <f>SUM(H35:Z35)</f>
        <v>1415126</v>
      </c>
      <c r="AB35" s="24"/>
      <c r="AC35" s="35"/>
      <c r="AD35" s="36">
        <f t="shared" ref="AD35:AJ35" si="20">SUM(AD4:AD34)</f>
        <v>15439</v>
      </c>
      <c r="AE35" s="36">
        <f t="shared" si="20"/>
        <v>1211885</v>
      </c>
      <c r="AF35" s="37">
        <f t="shared" si="20"/>
        <v>2063457</v>
      </c>
      <c r="AG35" s="38">
        <f t="shared" si="20"/>
        <v>29592</v>
      </c>
      <c r="AH35" s="39">
        <f t="shared" si="20"/>
        <v>38039</v>
      </c>
      <c r="AI35" s="39">
        <f t="shared" si="20"/>
        <v>165.75</v>
      </c>
      <c r="AJ35" s="35">
        <f t="shared" si="20"/>
        <v>56020</v>
      </c>
      <c r="AK35" s="35">
        <f>SUM(AK4:AK34)</f>
        <v>61832</v>
      </c>
      <c r="AL35" s="40">
        <f t="shared" ref="AL35:AN35" si="21">SUM(AL4:AL34)</f>
        <v>0</v>
      </c>
      <c r="AM35" s="35">
        <f t="shared" si="21"/>
        <v>0</v>
      </c>
      <c r="AN35" s="37">
        <f t="shared" si="21"/>
        <v>45517</v>
      </c>
      <c r="AO35" s="37">
        <f>SUM(AO4:AO34)</f>
        <v>242032</v>
      </c>
      <c r="AP35" s="35">
        <f t="shared" ref="AP35:BA35" si="22">SUM(AP4:AP34)</f>
        <v>25280</v>
      </c>
      <c r="AQ35" s="38">
        <f t="shared" si="22"/>
        <v>1342</v>
      </c>
      <c r="AR35" s="38">
        <f t="shared" si="22"/>
        <v>1850</v>
      </c>
      <c r="AS35" s="35">
        <f t="shared" si="22"/>
        <v>18627</v>
      </c>
      <c r="AT35" s="35">
        <f t="shared" si="22"/>
        <v>808</v>
      </c>
      <c r="AU35" s="37">
        <f t="shared" si="22"/>
        <v>1555392</v>
      </c>
      <c r="AV35" s="37">
        <f t="shared" si="22"/>
        <v>0</v>
      </c>
      <c r="AW35" s="41">
        <f t="shared" si="22"/>
        <v>0</v>
      </c>
      <c r="AX35" s="38">
        <f t="shared" si="22"/>
        <v>0</v>
      </c>
      <c r="AY35" s="36">
        <f t="shared" si="22"/>
        <v>49957</v>
      </c>
      <c r="AZ35" s="35">
        <f t="shared" si="22"/>
        <v>0</v>
      </c>
      <c r="BA35" s="35">
        <f t="shared" si="22"/>
        <v>4800</v>
      </c>
      <c r="BB35" s="35"/>
      <c r="BC35" s="42">
        <f>SUM(AJ35:BB35)</f>
        <v>2063457</v>
      </c>
      <c r="BD35" s="24"/>
      <c r="BE35" s="35"/>
      <c r="BF35" s="36">
        <f t="shared" ref="BF35:BL35" si="23">SUM(BF4:BF34)</f>
        <v>31761</v>
      </c>
      <c r="BG35" s="36">
        <f t="shared" si="23"/>
        <v>1963748</v>
      </c>
      <c r="BH35" s="37">
        <f t="shared" si="23"/>
        <v>3211873</v>
      </c>
      <c r="BI35" s="38">
        <f t="shared" si="23"/>
        <v>44834</v>
      </c>
      <c r="BJ35" s="66">
        <f t="shared" si="23"/>
        <v>44357</v>
      </c>
      <c r="BK35" s="66">
        <f t="shared" si="23"/>
        <v>184</v>
      </c>
      <c r="BL35" s="35">
        <f t="shared" si="23"/>
        <v>129500</v>
      </c>
      <c r="BM35" s="35">
        <f>SUM(BM4:BM34)</f>
        <v>123813</v>
      </c>
      <c r="BN35" s="40">
        <f t="shared" ref="BN35:BP35" si="24">SUM(BN4:BN34)</f>
        <v>1299360</v>
      </c>
      <c r="BO35" s="35">
        <f t="shared" si="24"/>
        <v>493016</v>
      </c>
      <c r="BP35" s="37">
        <f t="shared" si="24"/>
        <v>35340</v>
      </c>
      <c r="BQ35" s="37">
        <f>SUM(BQ4:BQ34)</f>
        <v>114022</v>
      </c>
      <c r="BR35" s="35">
        <f t="shared" ref="BR35:CC35" si="25">SUM(BR4:BR34)</f>
        <v>33000</v>
      </c>
      <c r="BS35" s="38">
        <f t="shared" si="25"/>
        <v>2470</v>
      </c>
      <c r="BT35" s="38">
        <f t="shared" si="25"/>
        <v>1200</v>
      </c>
      <c r="BU35" s="35">
        <f t="shared" si="25"/>
        <v>13870</v>
      </c>
      <c r="BV35" s="35">
        <f t="shared" si="25"/>
        <v>0</v>
      </c>
      <c r="BW35" s="37">
        <f t="shared" si="25"/>
        <v>950967</v>
      </c>
      <c r="BX35" s="37">
        <f t="shared" si="25"/>
        <v>0</v>
      </c>
      <c r="BY35" s="36">
        <f t="shared" si="25"/>
        <v>14140</v>
      </c>
      <c r="BZ35" s="38">
        <f t="shared" si="25"/>
        <v>0</v>
      </c>
      <c r="CA35" s="36">
        <f t="shared" si="25"/>
        <v>0</v>
      </c>
      <c r="CB35" s="35">
        <f t="shared" si="25"/>
        <v>0</v>
      </c>
      <c r="CC35" s="35">
        <f t="shared" si="25"/>
        <v>1175</v>
      </c>
      <c r="CD35" s="35"/>
      <c r="CE35" s="42">
        <f>SUM(BL35:CD35)</f>
        <v>3211873</v>
      </c>
      <c r="CF35" s="24"/>
      <c r="CG35" s="35"/>
      <c r="CH35" s="36">
        <f t="shared" ref="CH35:CN35" si="26">SUM(CH4:CH34)</f>
        <v>57982</v>
      </c>
      <c r="CI35" s="36">
        <f t="shared" si="26"/>
        <v>4301571</v>
      </c>
      <c r="CJ35" s="37">
        <f t="shared" si="26"/>
        <v>2463813</v>
      </c>
      <c r="CK35" s="38">
        <f t="shared" si="26"/>
        <v>70430</v>
      </c>
      <c r="CL35" s="39">
        <f t="shared" si="26"/>
        <v>64246</v>
      </c>
      <c r="CM35" s="39">
        <f t="shared" si="26"/>
        <v>231.30000000000004</v>
      </c>
      <c r="CN35" s="35">
        <f t="shared" si="26"/>
        <v>163011</v>
      </c>
      <c r="CO35" s="35">
        <f>SUM(CO4:CO34)</f>
        <v>99341</v>
      </c>
      <c r="CP35" s="40">
        <f t="shared" ref="CP35:CR35" si="27">SUM(CP4:CP34)</f>
        <v>579329</v>
      </c>
      <c r="CQ35" s="35">
        <f t="shared" si="27"/>
        <v>252060</v>
      </c>
      <c r="CR35" s="37">
        <f t="shared" si="27"/>
        <v>65700</v>
      </c>
      <c r="CS35" s="37">
        <f>SUM(CS4:CS34)</f>
        <v>71791</v>
      </c>
      <c r="CT35" s="35">
        <f t="shared" ref="CT35:DE35" si="28">SUM(CT4:CT34)</f>
        <v>141000</v>
      </c>
      <c r="CU35" s="38">
        <f t="shared" si="28"/>
        <v>32822</v>
      </c>
      <c r="CV35" s="38">
        <f t="shared" si="28"/>
        <v>1000</v>
      </c>
      <c r="CW35" s="35">
        <f t="shared" si="28"/>
        <v>15030</v>
      </c>
      <c r="CX35" s="35">
        <f t="shared" si="28"/>
        <v>1651</v>
      </c>
      <c r="CY35" s="37">
        <f t="shared" si="28"/>
        <v>852684</v>
      </c>
      <c r="CZ35" s="37">
        <f t="shared" si="28"/>
        <v>0</v>
      </c>
      <c r="DA35" s="41">
        <f t="shared" si="28"/>
        <v>4842</v>
      </c>
      <c r="DB35" s="38">
        <f t="shared" si="28"/>
        <v>37900</v>
      </c>
      <c r="DC35" s="36">
        <f t="shared" si="28"/>
        <v>107680</v>
      </c>
      <c r="DD35" s="35">
        <f t="shared" si="28"/>
        <v>0</v>
      </c>
      <c r="DE35" s="35">
        <f t="shared" si="28"/>
        <v>37972</v>
      </c>
      <c r="DF35" s="35"/>
      <c r="DG35" s="42">
        <f>SUM(CN35:DF35)</f>
        <v>2463813</v>
      </c>
      <c r="DH35" s="24"/>
      <c r="DI35" s="35"/>
      <c r="DJ35" s="36">
        <f t="shared" ref="DJ35:DP35" si="29">SUM(DJ4:DJ34)</f>
        <v>56364</v>
      </c>
      <c r="DK35" s="36">
        <f t="shared" si="29"/>
        <v>4264859</v>
      </c>
      <c r="DL35" s="37">
        <f t="shared" si="29"/>
        <v>2236573</v>
      </c>
      <c r="DM35" s="38">
        <f t="shared" si="29"/>
        <v>58618</v>
      </c>
      <c r="DN35" s="39">
        <f t="shared" si="29"/>
        <v>56482</v>
      </c>
      <c r="DO35" s="39">
        <f t="shared" si="29"/>
        <v>215.89999999999998</v>
      </c>
      <c r="DP35" s="35">
        <f t="shared" si="29"/>
        <v>69515</v>
      </c>
      <c r="DQ35" s="35">
        <f>SUM(DQ4:DQ34)</f>
        <v>127304</v>
      </c>
      <c r="DR35" s="40">
        <f t="shared" ref="DR35:DT35" si="30">SUM(DR4:DR34)</f>
        <v>421780</v>
      </c>
      <c r="DS35" s="35">
        <f t="shared" si="30"/>
        <v>304736</v>
      </c>
      <c r="DT35" s="37">
        <f t="shared" si="30"/>
        <v>43640</v>
      </c>
      <c r="DU35" s="37">
        <f>SUM(DU4:DU34)</f>
        <v>17400</v>
      </c>
      <c r="DV35" s="35">
        <f t="shared" ref="DV35:EG35" si="31">SUM(DV4:DV34)</f>
        <v>194270</v>
      </c>
      <c r="DW35" s="38">
        <f t="shared" si="31"/>
        <v>32952</v>
      </c>
      <c r="DX35" s="38">
        <f t="shared" si="31"/>
        <v>3471</v>
      </c>
      <c r="DY35" s="35">
        <f t="shared" si="31"/>
        <v>10845</v>
      </c>
      <c r="DZ35" s="35">
        <f t="shared" si="31"/>
        <v>2717</v>
      </c>
      <c r="EA35" s="37">
        <f t="shared" si="31"/>
        <v>944171</v>
      </c>
      <c r="EB35" s="37">
        <f t="shared" si="31"/>
        <v>0</v>
      </c>
      <c r="EC35" s="41">
        <f t="shared" si="31"/>
        <v>13372</v>
      </c>
      <c r="ED35" s="38">
        <f t="shared" si="31"/>
        <v>2400</v>
      </c>
      <c r="EE35" s="36">
        <f t="shared" si="31"/>
        <v>48000</v>
      </c>
      <c r="EF35" s="35">
        <f t="shared" si="31"/>
        <v>0</v>
      </c>
      <c r="EG35" s="35">
        <f t="shared" si="31"/>
        <v>0</v>
      </c>
      <c r="EH35" s="35"/>
      <c r="EI35" s="42">
        <f>SUM(DP35:EH35)</f>
        <v>2236573</v>
      </c>
      <c r="EJ35" s="24"/>
      <c r="EK35" s="35"/>
      <c r="EL35" s="36">
        <f t="shared" ref="EL35:ER35" si="32">SUM(EL4:EL34)</f>
        <v>30123</v>
      </c>
      <c r="EM35" s="36">
        <f t="shared" si="32"/>
        <v>1666035</v>
      </c>
      <c r="EN35" s="37">
        <f t="shared" si="32"/>
        <v>1757963</v>
      </c>
      <c r="EO35" s="38">
        <f t="shared" si="32"/>
        <v>45459</v>
      </c>
      <c r="EP35" s="39">
        <f t="shared" si="32"/>
        <v>48758</v>
      </c>
      <c r="EQ35" s="39">
        <f t="shared" si="32"/>
        <v>147.75000000000003</v>
      </c>
      <c r="ER35" s="35">
        <f t="shared" si="32"/>
        <v>37924</v>
      </c>
      <c r="ES35" s="35">
        <f>SUM(ES4:ES34)</f>
        <v>30813</v>
      </c>
      <c r="ET35" s="40">
        <f t="shared" ref="ET35:EV35" si="33">SUM(ET4:ET34)</f>
        <v>506520</v>
      </c>
      <c r="EU35" s="35">
        <f t="shared" si="33"/>
        <v>459700</v>
      </c>
      <c r="EV35" s="37">
        <f t="shared" si="33"/>
        <v>75330</v>
      </c>
      <c r="EW35" s="37"/>
      <c r="EX35" s="35">
        <f t="shared" ref="EX35:FI35" si="34">SUM(EX4:EX34)</f>
        <v>122336</v>
      </c>
      <c r="EY35" s="38">
        <f t="shared" si="34"/>
        <v>33022</v>
      </c>
      <c r="EZ35" s="38">
        <f t="shared" si="34"/>
        <v>500</v>
      </c>
      <c r="FA35" s="35">
        <f t="shared" si="34"/>
        <v>11522</v>
      </c>
      <c r="FB35" s="35">
        <f t="shared" si="34"/>
        <v>749</v>
      </c>
      <c r="FC35" s="37">
        <f t="shared" si="34"/>
        <v>427062</v>
      </c>
      <c r="FD35" s="37">
        <f t="shared" si="34"/>
        <v>0</v>
      </c>
      <c r="FE35" s="41">
        <f t="shared" si="34"/>
        <v>20175</v>
      </c>
      <c r="FF35" s="38">
        <f t="shared" si="34"/>
        <v>1630</v>
      </c>
      <c r="FG35" s="36">
        <f t="shared" si="34"/>
        <v>30680</v>
      </c>
      <c r="FH35" s="35">
        <f t="shared" si="34"/>
        <v>0</v>
      </c>
      <c r="FI35" s="35">
        <f t="shared" si="34"/>
        <v>0</v>
      </c>
      <c r="FJ35" s="35"/>
      <c r="FK35" s="42">
        <f>SUM(ER35:FJ35)</f>
        <v>1757963</v>
      </c>
      <c r="FL35" s="24"/>
    </row>
    <row r="36" spans="1:224" x14ac:dyDescent="0.3">
      <c r="A36" s="3"/>
      <c r="B36" s="144" t="s">
        <v>34</v>
      </c>
      <c r="C36" s="144" t="s">
        <v>2</v>
      </c>
      <c r="D36" s="146" t="s">
        <v>3</v>
      </c>
      <c r="E36" s="43">
        <v>4</v>
      </c>
      <c r="F36" s="63" t="s">
        <v>5</v>
      </c>
      <c r="G36" s="63" t="s">
        <v>6</v>
      </c>
      <c r="H36" s="3" t="s">
        <v>7</v>
      </c>
      <c r="I36" s="3"/>
      <c r="J36" s="4" t="s">
        <v>8</v>
      </c>
      <c r="K36" s="3" t="s">
        <v>9</v>
      </c>
      <c r="L36" s="146" t="s">
        <v>10</v>
      </c>
      <c r="M36" s="1"/>
      <c r="N36" s="3" t="s">
        <v>11</v>
      </c>
      <c r="O36" s="43" t="s">
        <v>12</v>
      </c>
      <c r="P36" s="145" t="s">
        <v>13</v>
      </c>
      <c r="Q36" s="143" t="s">
        <v>14</v>
      </c>
      <c r="R36" s="3" t="s">
        <v>15</v>
      </c>
      <c r="S36" s="146" t="s">
        <v>16</v>
      </c>
      <c r="T36" s="146" t="s">
        <v>17</v>
      </c>
      <c r="U36" s="69" t="s">
        <v>18</v>
      </c>
      <c r="V36" s="145" t="s">
        <v>19</v>
      </c>
      <c r="W36" s="144" t="s">
        <v>20</v>
      </c>
      <c r="X36" s="143" t="s">
        <v>21</v>
      </c>
      <c r="Y36" s="143" t="s">
        <v>22</v>
      </c>
      <c r="Z36" s="143" t="s">
        <v>17</v>
      </c>
      <c r="AA36" s="146" t="s">
        <v>4</v>
      </c>
      <c r="AB36" s="16"/>
      <c r="AC36" s="3"/>
      <c r="AD36" s="144" t="s">
        <v>1</v>
      </c>
      <c r="AE36" s="144" t="s">
        <v>2</v>
      </c>
      <c r="AF36" s="146" t="s">
        <v>3</v>
      </c>
      <c r="AG36" s="43">
        <v>4</v>
      </c>
      <c r="AH36" s="2" t="s">
        <v>5</v>
      </c>
      <c r="AI36" s="2" t="s">
        <v>6</v>
      </c>
      <c r="AJ36" s="3" t="s">
        <v>7</v>
      </c>
      <c r="AK36" s="3" t="s">
        <v>38</v>
      </c>
      <c r="AL36" s="4" t="s">
        <v>8</v>
      </c>
      <c r="AM36" s="3" t="s">
        <v>9</v>
      </c>
      <c r="AN36" s="146" t="s">
        <v>10</v>
      </c>
      <c r="AO36" s="1" t="s">
        <v>39</v>
      </c>
      <c r="AP36" s="3" t="s">
        <v>11</v>
      </c>
      <c r="AQ36" s="43" t="s">
        <v>12</v>
      </c>
      <c r="AR36" s="145" t="s">
        <v>13</v>
      </c>
      <c r="AS36" s="143" t="s">
        <v>14</v>
      </c>
      <c r="AT36" s="3" t="s">
        <v>15</v>
      </c>
      <c r="AU36" s="146" t="s">
        <v>16</v>
      </c>
      <c r="AV36" s="146" t="s">
        <v>17</v>
      </c>
      <c r="AW36" s="6" t="s">
        <v>18</v>
      </c>
      <c r="AX36" s="145" t="s">
        <v>19</v>
      </c>
      <c r="AY36" s="144" t="s">
        <v>20</v>
      </c>
      <c r="AZ36" s="143" t="s">
        <v>21</v>
      </c>
      <c r="BA36" s="143" t="s">
        <v>22</v>
      </c>
      <c r="BB36" s="143" t="s">
        <v>17</v>
      </c>
      <c r="BC36" s="146" t="s">
        <v>4</v>
      </c>
      <c r="BD36" s="16"/>
      <c r="BE36" s="3"/>
      <c r="BF36" s="144" t="s">
        <v>1</v>
      </c>
      <c r="BG36" s="144" t="s">
        <v>2</v>
      </c>
      <c r="BH36" s="146" t="s">
        <v>3</v>
      </c>
      <c r="BI36" s="43">
        <v>4</v>
      </c>
      <c r="BJ36" s="63" t="s">
        <v>5</v>
      </c>
      <c r="BK36" s="63" t="s">
        <v>6</v>
      </c>
      <c r="BL36" s="3" t="s">
        <v>7</v>
      </c>
      <c r="BM36" s="3" t="s">
        <v>38</v>
      </c>
      <c r="BN36" s="4" t="s">
        <v>8</v>
      </c>
      <c r="BO36" s="3" t="s">
        <v>9</v>
      </c>
      <c r="BP36" s="146" t="s">
        <v>10</v>
      </c>
      <c r="BQ36" s="1" t="s">
        <v>39</v>
      </c>
      <c r="BR36" s="3" t="s">
        <v>11</v>
      </c>
      <c r="BS36" s="43" t="s">
        <v>37</v>
      </c>
      <c r="BT36" s="145" t="s">
        <v>13</v>
      </c>
      <c r="BU36" s="143" t="s">
        <v>14</v>
      </c>
      <c r="BV36" s="3" t="s">
        <v>15</v>
      </c>
      <c r="BW36" s="146" t="s">
        <v>16</v>
      </c>
      <c r="BX36" s="146" t="s">
        <v>17</v>
      </c>
      <c r="BY36" s="69" t="s">
        <v>18</v>
      </c>
      <c r="BZ36" s="145" t="s">
        <v>19</v>
      </c>
      <c r="CA36" s="144" t="s">
        <v>20</v>
      </c>
      <c r="CB36" s="143" t="s">
        <v>21</v>
      </c>
      <c r="CC36" s="143" t="s">
        <v>22</v>
      </c>
      <c r="CD36" s="143" t="s">
        <v>17</v>
      </c>
      <c r="CE36" s="146" t="s">
        <v>4</v>
      </c>
      <c r="CF36" s="16"/>
      <c r="CG36" s="3"/>
      <c r="CH36" s="144" t="s">
        <v>1</v>
      </c>
      <c r="CI36" s="144" t="s">
        <v>2</v>
      </c>
      <c r="CJ36" s="146" t="s">
        <v>3</v>
      </c>
      <c r="CK36" s="43">
        <v>4</v>
      </c>
      <c r="CL36" s="2" t="s">
        <v>5</v>
      </c>
      <c r="CM36" s="2" t="s">
        <v>6</v>
      </c>
      <c r="CN36" s="3" t="s">
        <v>7</v>
      </c>
      <c r="CO36" s="3" t="s">
        <v>38</v>
      </c>
      <c r="CP36" s="4" t="s">
        <v>8</v>
      </c>
      <c r="CQ36" s="3" t="s">
        <v>9</v>
      </c>
      <c r="CR36" s="146" t="s">
        <v>10</v>
      </c>
      <c r="CS36" s="1" t="s">
        <v>39</v>
      </c>
      <c r="CT36" s="3" t="s">
        <v>11</v>
      </c>
      <c r="CU36" s="43" t="s">
        <v>37</v>
      </c>
      <c r="CV36" s="145" t="s">
        <v>13</v>
      </c>
      <c r="CW36" s="143" t="s">
        <v>14</v>
      </c>
      <c r="CX36" s="3" t="s">
        <v>15</v>
      </c>
      <c r="CY36" s="146" t="s">
        <v>16</v>
      </c>
      <c r="CZ36" s="146" t="s">
        <v>17</v>
      </c>
      <c r="DA36" s="6" t="s">
        <v>18</v>
      </c>
      <c r="DB36" s="145" t="s">
        <v>19</v>
      </c>
      <c r="DC36" s="144" t="s">
        <v>20</v>
      </c>
      <c r="DD36" s="143" t="s">
        <v>21</v>
      </c>
      <c r="DE36" s="143" t="s">
        <v>22</v>
      </c>
      <c r="DF36" s="143" t="s">
        <v>17</v>
      </c>
      <c r="DG36" s="146" t="s">
        <v>4</v>
      </c>
      <c r="DH36" s="16"/>
      <c r="DI36" s="3"/>
      <c r="DJ36" s="144" t="s">
        <v>1</v>
      </c>
      <c r="DK36" s="144" t="s">
        <v>2</v>
      </c>
      <c r="DL36" s="146" t="s">
        <v>3</v>
      </c>
      <c r="DM36" s="43">
        <v>4</v>
      </c>
      <c r="DN36" s="2" t="s">
        <v>5</v>
      </c>
      <c r="DO36" s="2" t="s">
        <v>6</v>
      </c>
      <c r="DP36" s="3" t="s">
        <v>7</v>
      </c>
      <c r="DQ36" s="3" t="s">
        <v>38</v>
      </c>
      <c r="DR36" s="4" t="s">
        <v>8</v>
      </c>
      <c r="DS36" s="3" t="s">
        <v>9</v>
      </c>
      <c r="DT36" s="146" t="s">
        <v>10</v>
      </c>
      <c r="DU36" s="1" t="s">
        <v>39</v>
      </c>
      <c r="DV36" s="3" t="s">
        <v>11</v>
      </c>
      <c r="DW36" s="43" t="s">
        <v>12</v>
      </c>
      <c r="DX36" s="145" t="s">
        <v>13</v>
      </c>
      <c r="DY36" s="143" t="s">
        <v>14</v>
      </c>
      <c r="DZ36" s="3" t="s">
        <v>15</v>
      </c>
      <c r="EA36" s="146" t="s">
        <v>16</v>
      </c>
      <c r="EB36" s="146" t="s">
        <v>17</v>
      </c>
      <c r="EC36" s="6" t="s">
        <v>18</v>
      </c>
      <c r="ED36" s="145" t="s">
        <v>19</v>
      </c>
      <c r="EE36" s="144" t="s">
        <v>20</v>
      </c>
      <c r="EF36" s="143" t="s">
        <v>21</v>
      </c>
      <c r="EG36" s="143" t="s">
        <v>22</v>
      </c>
      <c r="EH36" s="143" t="s">
        <v>17</v>
      </c>
      <c r="EI36" s="146" t="s">
        <v>4</v>
      </c>
      <c r="EJ36" s="16"/>
      <c r="EK36" s="3"/>
      <c r="EL36" s="144" t="s">
        <v>1</v>
      </c>
      <c r="EM36" s="144" t="s">
        <v>2</v>
      </c>
      <c r="EN36" s="146" t="s">
        <v>3</v>
      </c>
      <c r="EO36" s="43">
        <v>4</v>
      </c>
      <c r="EP36" s="2" t="s">
        <v>5</v>
      </c>
      <c r="EQ36" s="2" t="s">
        <v>6</v>
      </c>
      <c r="ER36" s="3" t="s">
        <v>7</v>
      </c>
      <c r="ES36" s="3" t="s">
        <v>38</v>
      </c>
      <c r="ET36" s="4" t="s">
        <v>8</v>
      </c>
      <c r="EU36" s="3" t="s">
        <v>9</v>
      </c>
      <c r="EV36" s="146" t="s">
        <v>10</v>
      </c>
      <c r="EW36" s="1" t="s">
        <v>39</v>
      </c>
      <c r="EX36" s="3" t="s">
        <v>11</v>
      </c>
      <c r="EY36" s="43" t="s">
        <v>12</v>
      </c>
      <c r="EZ36" s="145" t="s">
        <v>13</v>
      </c>
      <c r="FA36" s="143" t="s">
        <v>14</v>
      </c>
      <c r="FB36" s="3" t="s">
        <v>15</v>
      </c>
      <c r="FC36" s="146" t="s">
        <v>16</v>
      </c>
      <c r="FD36" s="146" t="s">
        <v>17</v>
      </c>
      <c r="FE36" s="6" t="s">
        <v>18</v>
      </c>
      <c r="FF36" s="145" t="s">
        <v>19</v>
      </c>
      <c r="FG36" s="144" t="s">
        <v>20</v>
      </c>
      <c r="FH36" s="143" t="s">
        <v>21</v>
      </c>
      <c r="FI36" s="143" t="s">
        <v>22</v>
      </c>
      <c r="FJ36" s="143" t="s">
        <v>17</v>
      </c>
      <c r="FK36" s="146" t="s">
        <v>4</v>
      </c>
      <c r="FL36" s="16"/>
    </row>
    <row r="37" spans="1:224" x14ac:dyDescent="0.3">
      <c r="A37" s="44" t="s">
        <v>32</v>
      </c>
      <c r="B37" s="147"/>
      <c r="C37" s="147"/>
      <c r="D37" s="148"/>
      <c r="E37" s="10" t="s">
        <v>23</v>
      </c>
      <c r="F37" s="64" t="s">
        <v>24</v>
      </c>
      <c r="G37" s="64" t="s">
        <v>25</v>
      </c>
      <c r="H37" s="12" t="s">
        <v>26</v>
      </c>
      <c r="I37" s="12"/>
      <c r="J37" s="13" t="s">
        <v>27</v>
      </c>
      <c r="K37" s="12" t="s">
        <v>28</v>
      </c>
      <c r="L37" s="148"/>
      <c r="M37" s="9"/>
      <c r="N37" s="12" t="s">
        <v>29</v>
      </c>
      <c r="O37" s="10" t="s">
        <v>35</v>
      </c>
      <c r="P37" s="145"/>
      <c r="Q37" s="143"/>
      <c r="R37" s="12" t="s">
        <v>30</v>
      </c>
      <c r="S37" s="146"/>
      <c r="T37" s="146"/>
      <c r="U37" s="70" t="s">
        <v>31</v>
      </c>
      <c r="V37" s="145"/>
      <c r="W37" s="144"/>
      <c r="X37" s="143"/>
      <c r="Y37" s="143"/>
      <c r="Z37" s="143"/>
      <c r="AA37" s="146"/>
      <c r="AB37" s="16"/>
      <c r="AC37" s="44" t="s">
        <v>32</v>
      </c>
      <c r="AD37" s="144"/>
      <c r="AE37" s="144"/>
      <c r="AF37" s="146"/>
      <c r="AG37" s="10" t="s">
        <v>23</v>
      </c>
      <c r="AH37" s="11" t="s">
        <v>24</v>
      </c>
      <c r="AI37" s="11" t="s">
        <v>25</v>
      </c>
      <c r="AJ37" s="12" t="s">
        <v>26</v>
      </c>
      <c r="AK37" s="12"/>
      <c r="AL37" s="13" t="s">
        <v>27</v>
      </c>
      <c r="AM37" s="12" t="s">
        <v>28</v>
      </c>
      <c r="AN37" s="146"/>
      <c r="AO37" s="9"/>
      <c r="AP37" s="12" t="s">
        <v>29</v>
      </c>
      <c r="AQ37" s="10" t="s">
        <v>35</v>
      </c>
      <c r="AR37" s="145"/>
      <c r="AS37" s="143"/>
      <c r="AT37" s="12" t="s">
        <v>30</v>
      </c>
      <c r="AU37" s="146"/>
      <c r="AV37" s="146"/>
      <c r="AW37" s="15" t="s">
        <v>31</v>
      </c>
      <c r="AX37" s="145"/>
      <c r="AY37" s="144"/>
      <c r="AZ37" s="143"/>
      <c r="BA37" s="143"/>
      <c r="BB37" s="143"/>
      <c r="BC37" s="146"/>
      <c r="BD37" s="16"/>
      <c r="BE37" s="44" t="s">
        <v>32</v>
      </c>
      <c r="BF37" s="144"/>
      <c r="BG37" s="144"/>
      <c r="BH37" s="146"/>
      <c r="BI37" s="10" t="s">
        <v>23</v>
      </c>
      <c r="BJ37" s="64" t="s">
        <v>24</v>
      </c>
      <c r="BK37" s="64" t="s">
        <v>25</v>
      </c>
      <c r="BL37" s="12" t="s">
        <v>26</v>
      </c>
      <c r="BM37" s="12"/>
      <c r="BN37" s="13" t="s">
        <v>27</v>
      </c>
      <c r="BO37" s="12" t="s">
        <v>28</v>
      </c>
      <c r="BP37" s="146"/>
      <c r="BQ37" s="9"/>
      <c r="BR37" s="12" t="s">
        <v>29</v>
      </c>
      <c r="BS37" s="10" t="s">
        <v>32</v>
      </c>
      <c r="BT37" s="145"/>
      <c r="BU37" s="143"/>
      <c r="BV37" s="12" t="s">
        <v>30</v>
      </c>
      <c r="BW37" s="146"/>
      <c r="BX37" s="146"/>
      <c r="BY37" s="70" t="s">
        <v>31</v>
      </c>
      <c r="BZ37" s="145"/>
      <c r="CA37" s="144"/>
      <c r="CB37" s="143"/>
      <c r="CC37" s="143"/>
      <c r="CD37" s="143"/>
      <c r="CE37" s="146"/>
      <c r="CF37" s="16"/>
      <c r="CG37" s="44" t="s">
        <v>32</v>
      </c>
      <c r="CH37" s="147"/>
      <c r="CI37" s="147"/>
      <c r="CJ37" s="148"/>
      <c r="CK37" s="10" t="s">
        <v>23</v>
      </c>
      <c r="CL37" s="11" t="s">
        <v>24</v>
      </c>
      <c r="CM37" s="11" t="s">
        <v>25</v>
      </c>
      <c r="CN37" s="12" t="s">
        <v>26</v>
      </c>
      <c r="CO37" s="12"/>
      <c r="CP37" s="13" t="s">
        <v>27</v>
      </c>
      <c r="CQ37" s="12" t="s">
        <v>28</v>
      </c>
      <c r="CR37" s="148"/>
      <c r="CS37" s="9"/>
      <c r="CT37" s="12" t="s">
        <v>29</v>
      </c>
      <c r="CU37" s="10" t="s">
        <v>60</v>
      </c>
      <c r="CV37" s="149"/>
      <c r="CW37" s="150"/>
      <c r="CX37" s="12" t="s">
        <v>30</v>
      </c>
      <c r="CY37" s="148"/>
      <c r="CZ37" s="148"/>
      <c r="DA37" s="15" t="s">
        <v>31</v>
      </c>
      <c r="DB37" s="149"/>
      <c r="DC37" s="147"/>
      <c r="DD37" s="150"/>
      <c r="DE37" s="150"/>
      <c r="DF37" s="150"/>
      <c r="DG37" s="148"/>
      <c r="DH37" s="16"/>
      <c r="DI37" s="44" t="s">
        <v>32</v>
      </c>
      <c r="DJ37" s="147"/>
      <c r="DK37" s="147"/>
      <c r="DL37" s="148"/>
      <c r="DM37" s="10" t="s">
        <v>23</v>
      </c>
      <c r="DN37" s="11" t="s">
        <v>24</v>
      </c>
      <c r="DO37" s="11" t="s">
        <v>25</v>
      </c>
      <c r="DP37" s="12" t="s">
        <v>26</v>
      </c>
      <c r="DQ37" s="12"/>
      <c r="DR37" s="13" t="s">
        <v>27</v>
      </c>
      <c r="DS37" s="12" t="s">
        <v>28</v>
      </c>
      <c r="DT37" s="148"/>
      <c r="DU37" s="9"/>
      <c r="DV37" s="12" t="s">
        <v>29</v>
      </c>
      <c r="DW37" s="10" t="s">
        <v>35</v>
      </c>
      <c r="DX37" s="149"/>
      <c r="DY37" s="150"/>
      <c r="DZ37" s="12" t="s">
        <v>30</v>
      </c>
      <c r="EA37" s="148"/>
      <c r="EB37" s="148"/>
      <c r="EC37" s="15" t="s">
        <v>31</v>
      </c>
      <c r="ED37" s="149"/>
      <c r="EE37" s="147"/>
      <c r="EF37" s="150"/>
      <c r="EG37" s="150"/>
      <c r="EH37" s="150"/>
      <c r="EI37" s="148"/>
      <c r="EJ37" s="16"/>
      <c r="EK37" s="44" t="s">
        <v>32</v>
      </c>
      <c r="EL37" s="144"/>
      <c r="EM37" s="144"/>
      <c r="EN37" s="146"/>
      <c r="EO37" s="10" t="s">
        <v>23</v>
      </c>
      <c r="EP37" s="11" t="s">
        <v>24</v>
      </c>
      <c r="EQ37" s="11" t="s">
        <v>25</v>
      </c>
      <c r="ER37" s="12" t="s">
        <v>26</v>
      </c>
      <c r="ES37" s="12"/>
      <c r="ET37" s="13" t="s">
        <v>27</v>
      </c>
      <c r="EU37" s="12" t="s">
        <v>28</v>
      </c>
      <c r="EV37" s="146"/>
      <c r="EW37" s="9"/>
      <c r="EX37" s="12" t="s">
        <v>29</v>
      </c>
      <c r="EY37" s="10" t="s">
        <v>35</v>
      </c>
      <c r="EZ37" s="145"/>
      <c r="FA37" s="143"/>
      <c r="FB37" s="12" t="s">
        <v>30</v>
      </c>
      <c r="FC37" s="146"/>
      <c r="FD37" s="146"/>
      <c r="FE37" s="15" t="s">
        <v>31</v>
      </c>
      <c r="FF37" s="145"/>
      <c r="FG37" s="144"/>
      <c r="FH37" s="143"/>
      <c r="FI37" s="143"/>
      <c r="FJ37" s="143"/>
      <c r="FK37" s="146"/>
      <c r="FL37" s="16"/>
    </row>
    <row r="38" spans="1:224" x14ac:dyDescent="0.3">
      <c r="A38" s="45"/>
      <c r="B38" s="46"/>
      <c r="C38" s="47"/>
      <c r="D38" s="48"/>
      <c r="E38" s="49"/>
      <c r="F38" s="67"/>
      <c r="G38" s="47"/>
      <c r="H38" s="52"/>
      <c r="I38" s="52"/>
      <c r="J38" s="53"/>
      <c r="K38" s="52"/>
      <c r="L38" s="48"/>
      <c r="M38" s="48"/>
      <c r="N38" s="52"/>
      <c r="O38" s="54"/>
      <c r="P38" s="54"/>
      <c r="Q38" s="52"/>
      <c r="R38" s="52"/>
      <c r="S38" s="48"/>
      <c r="T38" s="48"/>
      <c r="U38" s="71"/>
      <c r="V38" s="54"/>
      <c r="W38" s="56"/>
      <c r="X38" s="52"/>
      <c r="Y38" s="52"/>
      <c r="Z38" s="52"/>
      <c r="AA38" s="57"/>
      <c r="AB38" s="58"/>
      <c r="AC38" s="45"/>
      <c r="AD38" s="46"/>
      <c r="AE38" s="47"/>
      <c r="AF38" s="48"/>
      <c r="AG38" s="49"/>
      <c r="AH38" s="50"/>
      <c r="AI38" s="51"/>
      <c r="AJ38" s="52"/>
      <c r="AK38" s="52"/>
      <c r="AL38" s="53"/>
      <c r="AM38" s="52"/>
      <c r="AN38" s="48"/>
      <c r="AO38" s="48"/>
      <c r="AP38" s="52"/>
      <c r="AQ38" s="54"/>
      <c r="AR38" s="54"/>
      <c r="AS38" s="52"/>
      <c r="AT38" s="52"/>
      <c r="AU38" s="48"/>
      <c r="AV38" s="48"/>
      <c r="AW38" s="55"/>
      <c r="AX38" s="54"/>
      <c r="AY38" s="56"/>
      <c r="AZ38" s="52"/>
      <c r="BA38" s="52"/>
      <c r="BB38" s="52"/>
      <c r="BC38" s="57"/>
      <c r="BD38" s="58"/>
      <c r="BE38" s="45"/>
      <c r="BF38" s="46"/>
      <c r="BG38" s="47"/>
      <c r="BH38" s="48"/>
      <c r="BI38" s="49"/>
      <c r="BJ38" s="67"/>
      <c r="BK38" s="47"/>
      <c r="BL38" s="52"/>
      <c r="BM38" s="52"/>
      <c r="BN38" s="53"/>
      <c r="BO38" s="52"/>
      <c r="BP38" s="48"/>
      <c r="BQ38" s="48"/>
      <c r="BR38" s="52"/>
      <c r="BS38" s="54"/>
      <c r="BT38" s="54"/>
      <c r="BU38" s="52"/>
      <c r="BV38" s="52"/>
      <c r="BW38" s="48"/>
      <c r="BX38" s="48"/>
      <c r="BY38" s="71"/>
      <c r="BZ38" s="54"/>
      <c r="CA38" s="56"/>
      <c r="CB38" s="52"/>
      <c r="CC38" s="52"/>
      <c r="CD38" s="52"/>
      <c r="CE38" s="57"/>
      <c r="CF38" s="58"/>
      <c r="CG38" s="45"/>
      <c r="CH38" s="46"/>
      <c r="CI38" s="47"/>
      <c r="CJ38" s="48"/>
      <c r="CK38" s="49"/>
      <c r="CL38" s="50"/>
      <c r="CM38" s="51"/>
      <c r="CN38" s="52"/>
      <c r="CO38" s="52"/>
      <c r="CP38" s="53"/>
      <c r="CQ38" s="52"/>
      <c r="CR38" s="48"/>
      <c r="CS38" s="48"/>
      <c r="CT38" s="52"/>
      <c r="CU38" s="54"/>
      <c r="CV38" s="54"/>
      <c r="CW38" s="52"/>
      <c r="CX38" s="52"/>
      <c r="CY38" s="48"/>
      <c r="CZ38" s="48"/>
      <c r="DA38" s="55"/>
      <c r="DB38" s="54"/>
      <c r="DC38" s="56"/>
      <c r="DD38" s="52"/>
      <c r="DE38" s="52"/>
      <c r="DF38" s="52"/>
      <c r="DG38" s="57"/>
      <c r="DH38" s="58"/>
      <c r="DI38" s="45"/>
      <c r="DJ38" s="46"/>
      <c r="DK38" s="47"/>
      <c r="DL38" s="48"/>
      <c r="DM38" s="49"/>
      <c r="DN38" s="50"/>
      <c r="DO38" s="51"/>
      <c r="DP38" s="52"/>
      <c r="DQ38" s="52"/>
      <c r="DR38" s="53"/>
      <c r="DS38" s="52"/>
      <c r="DT38" s="48"/>
      <c r="DU38" s="48"/>
      <c r="DV38" s="52"/>
      <c r="DW38" s="54"/>
      <c r="DX38" s="54"/>
      <c r="DY38" s="52"/>
      <c r="DZ38" s="52"/>
      <c r="EA38" s="48"/>
      <c r="EB38" s="48"/>
      <c r="EC38" s="55"/>
      <c r="ED38" s="54"/>
      <c r="EE38" s="56"/>
      <c r="EF38" s="52"/>
      <c r="EG38" s="52"/>
      <c r="EH38" s="52"/>
      <c r="EI38" s="57"/>
      <c r="EJ38" s="58"/>
      <c r="EK38" s="45"/>
      <c r="EL38" s="46"/>
      <c r="EM38" s="47"/>
      <c r="EN38" s="48"/>
      <c r="EO38" s="49"/>
      <c r="EP38" s="50"/>
      <c r="EQ38" s="51"/>
      <c r="ER38" s="52"/>
      <c r="ES38" s="52"/>
      <c r="ET38" s="53"/>
      <c r="EU38" s="52"/>
      <c r="EV38" s="48"/>
      <c r="EW38" s="48"/>
      <c r="EX38" s="52"/>
      <c r="EY38" s="54"/>
      <c r="EZ38" s="54"/>
      <c r="FA38" s="52"/>
      <c r="FB38" s="52"/>
      <c r="FC38" s="48"/>
      <c r="FD38" s="48"/>
      <c r="FE38" s="55"/>
      <c r="FF38" s="54"/>
      <c r="FG38" s="56"/>
      <c r="FH38" s="52"/>
      <c r="FI38" s="52"/>
      <c r="FJ38" s="52"/>
      <c r="FK38" s="57"/>
      <c r="FL38" s="58"/>
      <c r="FM38" s="45"/>
      <c r="FN38" s="46"/>
      <c r="FO38" s="47"/>
      <c r="FP38" s="48"/>
      <c r="FQ38" s="49"/>
      <c r="FR38" s="50"/>
      <c r="FS38" s="51"/>
      <c r="FT38" s="52"/>
      <c r="FU38" s="52"/>
      <c r="FV38" s="53"/>
      <c r="FW38" s="52"/>
      <c r="FX38" s="48"/>
      <c r="FY38" s="48"/>
      <c r="FZ38" s="52"/>
      <c r="GA38" s="54"/>
      <c r="GB38" s="54"/>
      <c r="GC38" s="52"/>
      <c r="GD38" s="52"/>
      <c r="GE38" s="48"/>
      <c r="GF38" s="48"/>
      <c r="GG38" s="55"/>
      <c r="GH38" s="54"/>
      <c r="GI38" s="56"/>
      <c r="GJ38" s="52"/>
      <c r="GK38" s="52"/>
      <c r="GL38" s="52"/>
      <c r="GM38" s="57"/>
      <c r="GN38" s="58"/>
      <c r="GO38" s="45"/>
      <c r="GP38" s="46"/>
      <c r="GQ38" s="47"/>
      <c r="GR38" s="48"/>
      <c r="GS38" s="49"/>
      <c r="GT38" s="50"/>
      <c r="GU38" s="51"/>
      <c r="GV38" s="52"/>
      <c r="GW38" s="52"/>
      <c r="GX38" s="53"/>
      <c r="GY38" s="52"/>
      <c r="GZ38" s="48"/>
      <c r="HA38" s="48"/>
      <c r="HB38" s="52"/>
      <c r="HC38" s="54"/>
      <c r="HD38" s="54"/>
      <c r="HE38" s="52"/>
      <c r="HF38" s="52"/>
      <c r="HG38" s="48"/>
      <c r="HH38" s="48"/>
      <c r="HI38" s="55"/>
      <c r="HJ38" s="54"/>
      <c r="HK38" s="56"/>
      <c r="HL38" s="52"/>
      <c r="HM38" s="52"/>
      <c r="HN38" s="52"/>
      <c r="HO38" s="57"/>
      <c r="HP38" s="58"/>
    </row>
  </sheetData>
  <mergeCells count="186">
    <mergeCell ref="BB1:BB2"/>
    <mergeCell ref="BC1:BC2"/>
    <mergeCell ref="AJ3:AP3"/>
    <mergeCell ref="AS1:AS2"/>
    <mergeCell ref="AU1:AU2"/>
    <mergeCell ref="AV1:AV2"/>
    <mergeCell ref="AX1:AX2"/>
    <mergeCell ref="AY1:AY2"/>
    <mergeCell ref="AZ1:AZ2"/>
    <mergeCell ref="B36:B37"/>
    <mergeCell ref="C36:C37"/>
    <mergeCell ref="D36:D37"/>
    <mergeCell ref="L36:L37"/>
    <mergeCell ref="H3:N3"/>
    <mergeCell ref="P1:P2"/>
    <mergeCell ref="Q1:Q2"/>
    <mergeCell ref="S1:S2"/>
    <mergeCell ref="T1:T2"/>
    <mergeCell ref="E1:E2"/>
    <mergeCell ref="BE1:BE2"/>
    <mergeCell ref="BF1:BF2"/>
    <mergeCell ref="BG1:BG2"/>
    <mergeCell ref="BH1:BH2"/>
    <mergeCell ref="BI1:BI2"/>
    <mergeCell ref="A1:A2"/>
    <mergeCell ref="B1:B2"/>
    <mergeCell ref="C1:C2"/>
    <mergeCell ref="D1:D2"/>
    <mergeCell ref="L1:L2"/>
    <mergeCell ref="V1:V2"/>
    <mergeCell ref="AC1:AC2"/>
    <mergeCell ref="AA1:AA2"/>
    <mergeCell ref="X1:X2"/>
    <mergeCell ref="Y1:Y2"/>
    <mergeCell ref="Z1:Z2"/>
    <mergeCell ref="W1:W2"/>
    <mergeCell ref="AR1:AR2"/>
    <mergeCell ref="AD1:AD2"/>
    <mergeCell ref="AE1:AE2"/>
    <mergeCell ref="AF1:AF2"/>
    <mergeCell ref="AG1:AG2"/>
    <mergeCell ref="AN1:AN2"/>
    <mergeCell ref="BA1:BA2"/>
    <mergeCell ref="CG1:CG2"/>
    <mergeCell ref="CH1:CH2"/>
    <mergeCell ref="CI1:CI2"/>
    <mergeCell ref="CJ1:CJ2"/>
    <mergeCell ref="CK1:CK2"/>
    <mergeCell ref="CE1:CE2"/>
    <mergeCell ref="BL3:BR3"/>
    <mergeCell ref="BZ1:BZ2"/>
    <mergeCell ref="CA1:CA2"/>
    <mergeCell ref="CB1:CB2"/>
    <mergeCell ref="CC1:CC2"/>
    <mergeCell ref="CD1:CD2"/>
    <mergeCell ref="BP1:BP2"/>
    <mergeCell ref="BT1:BT2"/>
    <mergeCell ref="BU1:BU2"/>
    <mergeCell ref="BW1:BW2"/>
    <mergeCell ref="BX1:BX2"/>
    <mergeCell ref="DD36:DD37"/>
    <mergeCell ref="DE36:DE37"/>
    <mergeCell ref="DF36:DF37"/>
    <mergeCell ref="DG36:DG37"/>
    <mergeCell ref="DB1:DB2"/>
    <mergeCell ref="DC1:DC2"/>
    <mergeCell ref="DD1:DD2"/>
    <mergeCell ref="DE1:DE2"/>
    <mergeCell ref="DF1:DF2"/>
    <mergeCell ref="CI36:CI37"/>
    <mergeCell ref="CJ36:CJ37"/>
    <mergeCell ref="CR36:CR37"/>
    <mergeCell ref="CV36:CV37"/>
    <mergeCell ref="CW36:CW37"/>
    <mergeCell ref="CY36:CY37"/>
    <mergeCell ref="CZ36:CZ37"/>
    <mergeCell ref="DB36:DB37"/>
    <mergeCell ref="DC36:DC37"/>
    <mergeCell ref="DI1:DI2"/>
    <mergeCell ref="DJ1:DJ2"/>
    <mergeCell ref="DK1:DK2"/>
    <mergeCell ref="DL1:DL2"/>
    <mergeCell ref="DM1:DM2"/>
    <mergeCell ref="DG1:DG2"/>
    <mergeCell ref="CN3:CT3"/>
    <mergeCell ref="CR1:CR2"/>
    <mergeCell ref="CV1:CV2"/>
    <mergeCell ref="CW1:CW2"/>
    <mergeCell ref="CY1:CY2"/>
    <mergeCell ref="CZ1:CZ2"/>
    <mergeCell ref="EK1:EK2"/>
    <mergeCell ref="EL1:EL2"/>
    <mergeCell ref="EM1:EM2"/>
    <mergeCell ref="EN1:EN2"/>
    <mergeCell ref="EO1:EO2"/>
    <mergeCell ref="EI1:EI2"/>
    <mergeCell ref="DP3:DV3"/>
    <mergeCell ref="DT1:DT2"/>
    <mergeCell ref="DX1:DX2"/>
    <mergeCell ref="DY1:DY2"/>
    <mergeCell ref="EA1:EA2"/>
    <mergeCell ref="EB1:EB2"/>
    <mergeCell ref="ED1:ED2"/>
    <mergeCell ref="EE1:EE2"/>
    <mergeCell ref="EF1:EF2"/>
    <mergeCell ref="EG1:EG2"/>
    <mergeCell ref="EH1:EH2"/>
    <mergeCell ref="FK1:FK2"/>
    <mergeCell ref="ER3:EX3"/>
    <mergeCell ref="FF1:FF2"/>
    <mergeCell ref="FG1:FG2"/>
    <mergeCell ref="FH1:FH2"/>
    <mergeCell ref="FI1:FI2"/>
    <mergeCell ref="FJ1:FJ2"/>
    <mergeCell ref="EV1:EV2"/>
    <mergeCell ref="EZ1:EZ2"/>
    <mergeCell ref="FA1:FA2"/>
    <mergeCell ref="FC1:FC2"/>
    <mergeCell ref="FD1:FD2"/>
    <mergeCell ref="FK36:FK37"/>
    <mergeCell ref="FJ36:FJ37"/>
    <mergeCell ref="FI36:FI37"/>
    <mergeCell ref="FH36:FH37"/>
    <mergeCell ref="FG36:FG37"/>
    <mergeCell ref="FF36:FF37"/>
    <mergeCell ref="FD36:FD37"/>
    <mergeCell ref="FC36:FC37"/>
    <mergeCell ref="FA36:FA37"/>
    <mergeCell ref="EZ36:EZ37"/>
    <mergeCell ref="EV36:EV37"/>
    <mergeCell ref="EN36:EN37"/>
    <mergeCell ref="EM36:EM37"/>
    <mergeCell ref="EL36:EL37"/>
    <mergeCell ref="CE36:CE37"/>
    <mergeCell ref="CD36:CD37"/>
    <mergeCell ref="CC36:CC37"/>
    <mergeCell ref="CB36:CB37"/>
    <mergeCell ref="DJ36:DJ37"/>
    <mergeCell ref="DK36:DK37"/>
    <mergeCell ref="DL36:DL37"/>
    <mergeCell ref="DT36:DT37"/>
    <mergeCell ref="DX36:DX37"/>
    <mergeCell ref="DY36:DY37"/>
    <mergeCell ref="EA36:EA37"/>
    <mergeCell ref="EB36:EB37"/>
    <mergeCell ref="ED36:ED37"/>
    <mergeCell ref="EE36:EE37"/>
    <mergeCell ref="EF36:EF37"/>
    <mergeCell ref="EG36:EG37"/>
    <mergeCell ref="EH36:EH37"/>
    <mergeCell ref="EI36:EI37"/>
    <mergeCell ref="CH36:CH37"/>
    <mergeCell ref="CA36:CA37"/>
    <mergeCell ref="BZ36:BZ37"/>
    <mergeCell ref="BX36:BX37"/>
    <mergeCell ref="BW36:BW37"/>
    <mergeCell ref="BU36:BU37"/>
    <mergeCell ref="BT36:BT37"/>
    <mergeCell ref="BP36:BP37"/>
    <mergeCell ref="BH36:BH37"/>
    <mergeCell ref="BG36:BG37"/>
    <mergeCell ref="BF36:BF37"/>
    <mergeCell ref="BC36:BC37"/>
    <mergeCell ref="BB36:BB37"/>
    <mergeCell ref="BA36:BA37"/>
    <mergeCell ref="AZ36:AZ37"/>
    <mergeCell ref="AY36:AY37"/>
    <mergeCell ref="AX36:AX37"/>
    <mergeCell ref="AV36:AV37"/>
    <mergeCell ref="AU36:AU37"/>
    <mergeCell ref="X36:X37"/>
    <mergeCell ref="W36:W37"/>
    <mergeCell ref="V36:V37"/>
    <mergeCell ref="T36:T37"/>
    <mergeCell ref="S36:S37"/>
    <mergeCell ref="Q36:Q37"/>
    <mergeCell ref="P36:P37"/>
    <mergeCell ref="AS36:AS37"/>
    <mergeCell ref="AR36:AR37"/>
    <mergeCell ref="AN36:AN37"/>
    <mergeCell ref="AF36:AF37"/>
    <mergeCell ref="AE36:AE37"/>
    <mergeCell ref="AD36:AD37"/>
    <mergeCell ref="AA36:AA37"/>
    <mergeCell ref="Z36:Z37"/>
    <mergeCell ref="Y36:Y3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22A8-C25D-4BAD-AA2A-02D546AF4AA9}">
  <dimension ref="A1:LX37"/>
  <sheetViews>
    <sheetView topLeftCell="HR13" zoomScaleNormal="100" workbookViewId="0">
      <selection activeCell="IJ34" sqref="IJ34"/>
    </sheetView>
  </sheetViews>
  <sheetFormatPr defaultRowHeight="14.4" x14ac:dyDescent="0.3"/>
  <cols>
    <col min="1" max="1" width="9.5546875" bestFit="1" customWidth="1"/>
    <col min="2" max="2" width="6.5546875" bestFit="1" customWidth="1"/>
    <col min="5" max="5" width="9.109375" bestFit="1" customWidth="1"/>
    <col min="6" max="6" width="6.5546875" bestFit="1" customWidth="1"/>
    <col min="7" max="7" width="6.88671875" customWidth="1"/>
    <col min="9" max="9" width="8.33203125" customWidth="1"/>
    <col min="12" max="12" width="7" bestFit="1" customWidth="1"/>
    <col min="13" max="13" width="5" customWidth="1"/>
    <col min="14" max="14" width="7.6640625" bestFit="1" customWidth="1"/>
    <col min="15" max="15" width="7.109375" bestFit="1" customWidth="1"/>
    <col min="16" max="16" width="5.44140625" bestFit="1" customWidth="1"/>
    <col min="17" max="17" width="6.5546875" bestFit="1" customWidth="1"/>
    <col min="18" max="18" width="6.77734375" bestFit="1" customWidth="1"/>
    <col min="22" max="22" width="6.77734375" customWidth="1"/>
    <col min="23" max="23" width="7" customWidth="1"/>
    <col min="25" max="25" width="5.44140625" bestFit="1" customWidth="1"/>
    <col min="26" max="26" width="5.44140625" customWidth="1"/>
    <col min="28" max="28" width="2.44140625" customWidth="1"/>
    <col min="29" max="29" width="10.109375" bestFit="1" customWidth="1"/>
    <col min="30" max="30" width="7.6640625" customWidth="1"/>
    <col min="34" max="34" width="7.109375" customWidth="1"/>
    <col min="35" max="35" width="6.33203125" customWidth="1"/>
    <col min="36" max="36" width="7.6640625" customWidth="1"/>
    <col min="37" max="37" width="7.44140625" customWidth="1"/>
    <col min="38" max="38" width="9.109375" bestFit="1" customWidth="1"/>
    <col min="39" max="39" width="7.5546875" customWidth="1"/>
    <col min="40" max="40" width="7" bestFit="1" customWidth="1"/>
    <col min="41" max="42" width="6.5546875" bestFit="1" customWidth="1"/>
    <col min="43" max="43" width="7.109375" bestFit="1" customWidth="1"/>
    <col min="44" max="44" width="5.44140625" bestFit="1" customWidth="1"/>
    <col min="45" max="45" width="5.77734375" bestFit="1" customWidth="1"/>
    <col min="46" max="46" width="6.44140625" customWidth="1"/>
    <col min="48" max="49" width="6.6640625" customWidth="1"/>
    <col min="50" max="50" width="6.109375" customWidth="1"/>
    <col min="51" max="51" width="6.6640625" customWidth="1"/>
    <col min="52" max="52" width="5.88671875" customWidth="1"/>
    <col min="53" max="53" width="6.5546875" bestFit="1" customWidth="1"/>
    <col min="54" max="54" width="6.33203125" customWidth="1"/>
    <col min="56" max="56" width="2" customWidth="1"/>
    <col min="57" max="57" width="9.5546875" bestFit="1" customWidth="1"/>
    <col min="63" max="63" width="5.6640625" customWidth="1"/>
    <col min="68" max="69" width="7.77734375" customWidth="1"/>
    <col min="71" max="71" width="7.109375" bestFit="1" customWidth="1"/>
    <col min="72" max="72" width="5.77734375" customWidth="1"/>
    <col min="73" max="73" width="6.88671875" customWidth="1"/>
    <col min="74" max="74" width="5.21875" customWidth="1"/>
    <col min="76" max="76" width="41.5546875" bestFit="1" customWidth="1"/>
    <col min="77" max="77" width="6.88671875" bestFit="1" customWidth="1"/>
    <col min="78" max="78" width="5.5546875" customWidth="1"/>
    <col min="79" max="79" width="7.44140625" customWidth="1"/>
    <col min="80" max="80" width="3.33203125" customWidth="1"/>
    <col min="81" max="81" width="5.6640625" customWidth="1"/>
    <col min="82" max="82" width="5.21875" customWidth="1"/>
    <col min="84" max="84" width="1.44140625" customWidth="1"/>
    <col min="85" max="85" width="9.109375" bestFit="1" customWidth="1"/>
    <col min="86" max="86" width="6.5546875" bestFit="1" customWidth="1"/>
    <col min="87" max="87" width="8.77734375" bestFit="1" customWidth="1"/>
    <col min="89" max="89" width="8.109375" customWidth="1"/>
    <col min="90" max="90" width="7.21875" customWidth="1"/>
    <col min="91" max="91" width="6.88671875" customWidth="1"/>
    <col min="97" max="97" width="7.21875" customWidth="1"/>
    <col min="99" max="99" width="7.109375" bestFit="1" customWidth="1"/>
    <col min="100" max="100" width="5.44140625" bestFit="1" customWidth="1"/>
    <col min="101" max="101" width="6.5546875" bestFit="1" customWidth="1"/>
    <col min="102" max="102" width="5.5546875" customWidth="1"/>
    <col min="103" max="103" width="7.44140625" customWidth="1"/>
    <col min="104" max="104" width="14.109375" customWidth="1"/>
    <col min="105" max="105" width="6.88671875" bestFit="1" customWidth="1"/>
    <col min="106" max="106" width="6.77734375" customWidth="1"/>
    <col min="107" max="108" width="6.5546875" customWidth="1"/>
    <col min="109" max="109" width="5.44140625" bestFit="1" customWidth="1"/>
    <col min="112" max="112" width="3" customWidth="1"/>
    <col min="113" max="113" width="9.88671875" bestFit="1" customWidth="1"/>
    <col min="114" max="114" width="7.33203125" customWidth="1"/>
    <col min="117" max="117" width="7.77734375" customWidth="1"/>
    <col min="118" max="118" width="8" customWidth="1"/>
    <col min="119" max="119" width="7" customWidth="1"/>
    <col min="121" max="121" width="6.88671875" customWidth="1"/>
    <col min="122" max="122" width="8.21875" customWidth="1"/>
    <col min="125" max="125" width="7.6640625" customWidth="1"/>
    <col min="127" max="127" width="7" customWidth="1"/>
    <col min="128" max="128" width="5.33203125" customWidth="1"/>
    <col min="130" max="130" width="5.77734375" customWidth="1"/>
    <col min="133" max="133" width="5.6640625" customWidth="1"/>
    <col min="134" max="134" width="6.5546875" customWidth="1"/>
    <col min="135" max="135" width="8" customWidth="1"/>
    <col min="136" max="136" width="4.77734375" customWidth="1"/>
    <col min="138" max="138" width="4.21875" customWidth="1"/>
    <col min="140" max="140" width="3.21875" customWidth="1"/>
    <col min="141" max="141" width="9.88671875" bestFit="1" customWidth="1"/>
    <col min="142" max="142" width="6.5546875" bestFit="1" customWidth="1"/>
    <col min="143" max="143" width="8.77734375" bestFit="1" customWidth="1"/>
    <col min="145" max="145" width="7.6640625" customWidth="1"/>
    <col min="146" max="146" width="6.5546875" bestFit="1" customWidth="1"/>
    <col min="147" max="147" width="5.5546875" customWidth="1"/>
    <col min="148" max="148" width="7.44140625" customWidth="1"/>
    <col min="149" max="150" width="7.5546875" customWidth="1"/>
    <col min="151" max="151" width="7.44140625" customWidth="1"/>
    <col min="152" max="152" width="7" bestFit="1" customWidth="1"/>
    <col min="153" max="153" width="7.88671875" customWidth="1"/>
    <col min="154" max="154" width="7.6640625" bestFit="1" customWidth="1"/>
    <col min="155" max="155" width="7.109375" bestFit="1" customWidth="1"/>
    <col min="156" max="156" width="5.44140625" bestFit="1" customWidth="1"/>
    <col min="157" max="157" width="6.5546875" bestFit="1" customWidth="1"/>
    <col min="158" max="158" width="7.109375" customWidth="1"/>
    <col min="159" max="159" width="8.6640625" bestFit="1" customWidth="1"/>
    <col min="161" max="161" width="6.88671875" bestFit="1" customWidth="1"/>
    <col min="162" max="162" width="6.33203125" customWidth="1"/>
    <col min="163" max="163" width="7.33203125" customWidth="1"/>
    <col min="165" max="165" width="6.44140625" customWidth="1"/>
    <col min="166" max="166" width="2.77734375" customWidth="1"/>
    <col min="168" max="168" width="2.5546875" customWidth="1"/>
    <col min="169" max="169" width="9.6640625" bestFit="1" customWidth="1"/>
    <col min="170" max="170" width="7" customWidth="1"/>
    <col min="171" max="171" width="9" customWidth="1"/>
    <col min="172" max="172" width="8.77734375" bestFit="1" customWidth="1"/>
    <col min="173" max="173" width="7.33203125" customWidth="1"/>
    <col min="174" max="174" width="6.5546875" bestFit="1" customWidth="1"/>
    <col min="175" max="175" width="7.77734375" bestFit="1" customWidth="1"/>
    <col min="177" max="177" width="8" customWidth="1"/>
    <col min="178" max="178" width="7.6640625" customWidth="1"/>
    <col min="179" max="179" width="7.44140625" customWidth="1"/>
    <col min="180" max="180" width="7" bestFit="1" customWidth="1"/>
    <col min="181" max="182" width="7.5546875" customWidth="1"/>
    <col min="183" max="183" width="6.33203125" customWidth="1"/>
    <col min="184" max="184" width="5.5546875" customWidth="1"/>
    <col min="185" max="185" width="6.5546875" bestFit="1" customWidth="1"/>
    <col min="186" max="186" width="6.109375" customWidth="1"/>
    <col min="188" max="188" width="7.109375" customWidth="1"/>
    <col min="189" max="189" width="7.88671875" customWidth="1"/>
    <col min="190" max="190" width="7.44140625" customWidth="1"/>
    <col min="191" max="191" width="8" customWidth="1"/>
    <col min="193" max="193" width="5.44140625" bestFit="1" customWidth="1"/>
    <col min="194" max="194" width="6.109375" customWidth="1"/>
    <col min="195" max="195" width="8.88671875" customWidth="1"/>
    <col min="196" max="196" width="1.88671875" customWidth="1"/>
    <col min="197" max="197" width="9.77734375" bestFit="1" customWidth="1"/>
    <col min="201" max="201" width="7" customWidth="1"/>
    <col min="202" max="202" width="7.109375" customWidth="1"/>
    <col min="203" max="203" width="6.88671875" customWidth="1"/>
    <col min="204" max="204" width="7.6640625" customWidth="1"/>
    <col min="205" max="205" width="7.21875" customWidth="1"/>
    <col min="206" max="206" width="7.109375" customWidth="1"/>
    <col min="207" max="207" width="7.77734375" customWidth="1"/>
    <col min="208" max="208" width="7.33203125" customWidth="1"/>
    <col min="209" max="209" width="6.88671875" customWidth="1"/>
    <col min="211" max="211" width="7.109375" customWidth="1"/>
    <col min="212" max="212" width="5.5546875" customWidth="1"/>
    <col min="213" max="213" width="6.88671875" customWidth="1"/>
    <col min="214" max="214" width="6" customWidth="1"/>
    <col min="216" max="216" width="17.21875" customWidth="1"/>
    <col min="217" max="217" width="6.5546875" customWidth="1"/>
    <col min="218" max="218" width="5.6640625" customWidth="1"/>
    <col min="220" max="220" width="7.44140625" customWidth="1"/>
    <col min="222" max="222" width="5.77734375" customWidth="1"/>
    <col min="224" max="224" width="2.21875" customWidth="1"/>
    <col min="225" max="225" width="10" bestFit="1" customWidth="1"/>
    <col min="226" max="226" width="7" customWidth="1"/>
    <col min="227" max="227" width="8.77734375" bestFit="1" customWidth="1"/>
    <col min="228" max="228" width="8.77734375" customWidth="1"/>
    <col min="229" max="229" width="7.109375" customWidth="1"/>
    <col min="230" max="230" width="6.6640625" customWidth="1"/>
    <col min="231" max="231" width="4.77734375" customWidth="1"/>
    <col min="232" max="232" width="7.6640625" customWidth="1"/>
    <col min="233" max="233" width="7.88671875" customWidth="1"/>
    <col min="234" max="234" width="8.5546875" customWidth="1"/>
    <col min="236" max="236" width="8" customWidth="1"/>
    <col min="237" max="237" width="6.5546875" customWidth="1"/>
    <col min="238" max="238" width="7.77734375" customWidth="1"/>
    <col min="239" max="239" width="6.44140625" customWidth="1"/>
    <col min="240" max="240" width="6.33203125" customWidth="1"/>
    <col min="241" max="241" width="6.44140625" customWidth="1"/>
    <col min="242" max="242" width="5.88671875" customWidth="1"/>
    <col min="243" max="243" width="8.5546875" customWidth="1"/>
    <col min="244" max="244" width="5.44140625" customWidth="1"/>
    <col min="245" max="245" width="5.6640625" customWidth="1"/>
    <col min="246" max="246" width="6.21875" customWidth="1"/>
    <col min="247" max="247" width="7" customWidth="1"/>
    <col min="248" max="248" width="6.6640625" customWidth="1"/>
    <col min="249" max="249" width="7" customWidth="1"/>
    <col min="250" max="250" width="6.88671875" customWidth="1"/>
    <col min="252" max="252" width="2.5546875" customWidth="1"/>
    <col min="253" max="253" width="9.5546875" bestFit="1" customWidth="1"/>
    <col min="254" max="254" width="7.109375" customWidth="1"/>
    <col min="255" max="255" width="9.5546875" customWidth="1"/>
    <col min="256" max="256" width="8.6640625" customWidth="1"/>
    <col min="257" max="257" width="7.44140625" customWidth="1"/>
    <col min="258" max="258" width="6" customWidth="1"/>
    <col min="259" max="259" width="4.5546875" customWidth="1"/>
    <col min="260" max="260" width="7.5546875" customWidth="1"/>
    <col min="261" max="261" width="8.33203125" customWidth="1"/>
    <col min="262" max="262" width="7.109375" customWidth="1"/>
    <col min="263" max="263" width="8.33203125" customWidth="1"/>
    <col min="264" max="264" width="6.33203125" customWidth="1"/>
    <col min="265" max="265" width="6.5546875" bestFit="1" customWidth="1"/>
    <col min="266" max="266" width="8" customWidth="1"/>
    <col min="267" max="267" width="7.109375" bestFit="1" customWidth="1"/>
    <col min="268" max="268" width="5.5546875" customWidth="1"/>
    <col min="269" max="269" width="6.77734375" customWidth="1"/>
    <col min="270" max="270" width="6" customWidth="1"/>
    <col min="272" max="272" width="6.21875" customWidth="1"/>
    <col min="274" max="274" width="6.88671875" customWidth="1"/>
    <col min="277" max="277" width="5.44140625" bestFit="1" customWidth="1"/>
    <col min="280" max="280" width="1.6640625" customWidth="1"/>
    <col min="281" max="281" width="9.77734375" bestFit="1" customWidth="1"/>
    <col min="282" max="282" width="6.5546875" bestFit="1" customWidth="1"/>
    <col min="283" max="284" width="8.77734375" bestFit="1" customWidth="1"/>
    <col min="285" max="285" width="7.6640625" customWidth="1"/>
    <col min="286" max="286" width="7" customWidth="1"/>
    <col min="287" max="287" width="5.77734375" customWidth="1"/>
    <col min="288" max="289" width="7.109375" customWidth="1"/>
    <col min="290" max="290" width="8.33203125" customWidth="1"/>
    <col min="291" max="291" width="8.21875" customWidth="1"/>
    <col min="292" max="292" width="7" bestFit="1" customWidth="1"/>
    <col min="293" max="293" width="7.6640625" customWidth="1"/>
    <col min="294" max="294" width="8.44140625" customWidth="1"/>
    <col min="295" max="295" width="7.109375" bestFit="1" customWidth="1"/>
    <col min="296" max="296" width="6.21875" customWidth="1"/>
    <col min="297" max="297" width="6.5546875" bestFit="1" customWidth="1"/>
    <col min="298" max="298" width="3.44140625" customWidth="1"/>
    <col min="300" max="300" width="6.88671875" customWidth="1"/>
    <col min="301" max="301" width="7.88671875" customWidth="1"/>
    <col min="302" max="302" width="7.109375" customWidth="1"/>
    <col min="305" max="305" width="5.44140625" bestFit="1" customWidth="1"/>
    <col min="308" max="308" width="2.6640625" customWidth="1"/>
    <col min="309" max="309" width="10" bestFit="1" customWidth="1"/>
    <col min="310" max="310" width="7.88671875" customWidth="1"/>
    <col min="312" max="312" width="8.77734375" bestFit="1" customWidth="1"/>
    <col min="313" max="313" width="7.21875" customWidth="1"/>
    <col min="314" max="314" width="7.6640625" customWidth="1"/>
    <col min="315" max="315" width="5.109375" customWidth="1"/>
    <col min="316" max="316" width="7.44140625" customWidth="1"/>
    <col min="317" max="317" width="7.21875" customWidth="1"/>
    <col min="318" max="318" width="7" customWidth="1"/>
    <col min="319" max="319" width="7.6640625" customWidth="1"/>
    <col min="320" max="320" width="6.44140625" customWidth="1"/>
    <col min="321" max="321" width="7.6640625" customWidth="1"/>
    <col min="322" max="322" width="8.109375" customWidth="1"/>
    <col min="323" max="323" width="7.109375" bestFit="1" customWidth="1"/>
    <col min="324" max="324" width="5.44140625" customWidth="1"/>
    <col min="325" max="325" width="7" customWidth="1"/>
    <col min="326" max="326" width="5.77734375" customWidth="1"/>
    <col min="327" max="327" width="8.77734375" bestFit="1" customWidth="1"/>
    <col min="329" max="329" width="6.21875" customWidth="1"/>
    <col min="330" max="330" width="6" customWidth="1"/>
    <col min="333" max="333" width="5.77734375" customWidth="1"/>
  </cols>
  <sheetData>
    <row r="1" spans="1:336" x14ac:dyDescent="0.3">
      <c r="A1" s="159" t="s">
        <v>0</v>
      </c>
      <c r="B1" s="144" t="s">
        <v>1</v>
      </c>
      <c r="C1" s="144" t="s">
        <v>2</v>
      </c>
      <c r="D1" s="146" t="s">
        <v>3</v>
      </c>
      <c r="E1" s="161" t="s">
        <v>36</v>
      </c>
      <c r="F1" s="2" t="s">
        <v>5</v>
      </c>
      <c r="G1" s="2" t="s">
        <v>6</v>
      </c>
      <c r="H1" s="3" t="s">
        <v>7</v>
      </c>
      <c r="I1" s="3" t="s">
        <v>38</v>
      </c>
      <c r="J1" s="4" t="s">
        <v>8</v>
      </c>
      <c r="K1" s="3" t="s">
        <v>9</v>
      </c>
      <c r="L1" s="146" t="s">
        <v>10</v>
      </c>
      <c r="M1" s="1" t="s">
        <v>39</v>
      </c>
      <c r="N1" s="3" t="s">
        <v>11</v>
      </c>
      <c r="O1" s="5" t="s">
        <v>37</v>
      </c>
      <c r="P1" s="145" t="s">
        <v>13</v>
      </c>
      <c r="Q1" s="143" t="s">
        <v>14</v>
      </c>
      <c r="R1" s="3" t="s">
        <v>15</v>
      </c>
      <c r="S1" s="151" t="s">
        <v>16</v>
      </c>
      <c r="T1" s="146" t="s">
        <v>17</v>
      </c>
      <c r="U1" s="6" t="s">
        <v>18</v>
      </c>
      <c r="V1" s="153" t="s">
        <v>19</v>
      </c>
      <c r="W1" s="155" t="s">
        <v>20</v>
      </c>
      <c r="X1" s="157" t="s">
        <v>21</v>
      </c>
      <c r="Y1" s="157" t="s">
        <v>22</v>
      </c>
      <c r="Z1" s="157" t="s">
        <v>17</v>
      </c>
      <c r="AA1" s="151" t="s">
        <v>4</v>
      </c>
      <c r="AB1" s="7"/>
      <c r="AC1" s="159" t="s">
        <v>0</v>
      </c>
      <c r="AD1" s="144" t="s">
        <v>1</v>
      </c>
      <c r="AE1" s="144" t="s">
        <v>2</v>
      </c>
      <c r="AF1" s="146" t="s">
        <v>3</v>
      </c>
      <c r="AG1" s="161" t="s">
        <v>36</v>
      </c>
      <c r="AH1" s="2" t="s">
        <v>5</v>
      </c>
      <c r="AI1" s="2" t="s">
        <v>6</v>
      </c>
      <c r="AJ1" s="3" t="s">
        <v>7</v>
      </c>
      <c r="AK1" s="3" t="s">
        <v>38</v>
      </c>
      <c r="AL1" s="4" t="s">
        <v>8</v>
      </c>
      <c r="AM1" s="3" t="s">
        <v>9</v>
      </c>
      <c r="AN1" s="146" t="s">
        <v>10</v>
      </c>
      <c r="AO1" s="1" t="s">
        <v>39</v>
      </c>
      <c r="AP1" s="3" t="s">
        <v>11</v>
      </c>
      <c r="AQ1" s="5" t="s">
        <v>37</v>
      </c>
      <c r="AR1" s="145" t="s">
        <v>13</v>
      </c>
      <c r="AS1" s="143" t="s">
        <v>14</v>
      </c>
      <c r="AT1" s="3" t="s">
        <v>15</v>
      </c>
      <c r="AU1" s="151" t="s">
        <v>16</v>
      </c>
      <c r="AV1" s="146" t="s">
        <v>17</v>
      </c>
      <c r="AW1" s="6" t="s">
        <v>18</v>
      </c>
      <c r="AX1" s="153" t="s">
        <v>19</v>
      </c>
      <c r="AY1" s="155" t="s">
        <v>20</v>
      </c>
      <c r="AZ1" s="157" t="s">
        <v>21</v>
      </c>
      <c r="BA1" s="157" t="s">
        <v>22</v>
      </c>
      <c r="BB1" s="157" t="s">
        <v>17</v>
      </c>
      <c r="BC1" s="151" t="s">
        <v>4</v>
      </c>
      <c r="BD1" s="7"/>
      <c r="BE1" s="159" t="s">
        <v>0</v>
      </c>
      <c r="BF1" s="144" t="s">
        <v>1</v>
      </c>
      <c r="BG1" s="144" t="s">
        <v>2</v>
      </c>
      <c r="BH1" s="146" t="s">
        <v>3</v>
      </c>
      <c r="BI1" s="161" t="s">
        <v>36</v>
      </c>
      <c r="BJ1" s="2" t="s">
        <v>5</v>
      </c>
      <c r="BK1" s="2" t="s">
        <v>6</v>
      </c>
      <c r="BL1" s="3" t="s">
        <v>7</v>
      </c>
      <c r="BM1" s="3" t="s">
        <v>38</v>
      </c>
      <c r="BN1" s="4" t="s">
        <v>8</v>
      </c>
      <c r="BO1" s="3" t="s">
        <v>9</v>
      </c>
      <c r="BP1" s="146" t="s">
        <v>10</v>
      </c>
      <c r="BQ1" s="1" t="s">
        <v>39</v>
      </c>
      <c r="BR1" s="3" t="s">
        <v>11</v>
      </c>
      <c r="BS1" s="5" t="s">
        <v>37</v>
      </c>
      <c r="BT1" s="145" t="s">
        <v>13</v>
      </c>
      <c r="BU1" s="143" t="s">
        <v>14</v>
      </c>
      <c r="BV1" s="3" t="s">
        <v>15</v>
      </c>
      <c r="BW1" s="151" t="s">
        <v>16</v>
      </c>
      <c r="BX1" s="146" t="s">
        <v>17</v>
      </c>
      <c r="BY1" s="6" t="s">
        <v>18</v>
      </c>
      <c r="BZ1" s="153" t="s">
        <v>19</v>
      </c>
      <c r="CA1" s="155" t="s">
        <v>20</v>
      </c>
      <c r="CB1" s="157" t="s">
        <v>21</v>
      </c>
      <c r="CC1" s="157" t="s">
        <v>22</v>
      </c>
      <c r="CD1" s="157" t="s">
        <v>17</v>
      </c>
      <c r="CE1" s="151" t="s">
        <v>4</v>
      </c>
      <c r="CF1" s="7"/>
      <c r="CG1" s="159" t="s">
        <v>0</v>
      </c>
      <c r="CH1" s="144" t="s">
        <v>1</v>
      </c>
      <c r="CI1" s="144" t="s">
        <v>2</v>
      </c>
      <c r="CJ1" s="146" t="s">
        <v>3</v>
      </c>
      <c r="CK1" s="161" t="s">
        <v>36</v>
      </c>
      <c r="CL1" s="2" t="s">
        <v>5</v>
      </c>
      <c r="CM1" s="2" t="s">
        <v>6</v>
      </c>
      <c r="CN1" s="3" t="s">
        <v>7</v>
      </c>
      <c r="CO1" s="3" t="s">
        <v>38</v>
      </c>
      <c r="CP1" s="4" t="s">
        <v>8</v>
      </c>
      <c r="CQ1" s="3" t="s">
        <v>9</v>
      </c>
      <c r="CR1" s="146" t="s">
        <v>10</v>
      </c>
      <c r="CS1" s="1" t="s">
        <v>39</v>
      </c>
      <c r="CT1" s="3" t="s">
        <v>11</v>
      </c>
      <c r="CU1" s="5" t="s">
        <v>37</v>
      </c>
      <c r="CV1" s="145" t="s">
        <v>13</v>
      </c>
      <c r="CW1" s="143" t="s">
        <v>14</v>
      </c>
      <c r="CX1" s="3" t="s">
        <v>15</v>
      </c>
      <c r="CY1" s="151" t="s">
        <v>16</v>
      </c>
      <c r="CZ1" s="146" t="s">
        <v>17</v>
      </c>
      <c r="DA1" s="6" t="s">
        <v>18</v>
      </c>
      <c r="DB1" s="153" t="s">
        <v>19</v>
      </c>
      <c r="DC1" s="155" t="s">
        <v>20</v>
      </c>
      <c r="DD1" s="157" t="s">
        <v>21</v>
      </c>
      <c r="DE1" s="157" t="s">
        <v>22</v>
      </c>
      <c r="DF1" s="157" t="s">
        <v>17</v>
      </c>
      <c r="DG1" s="151" t="s">
        <v>4</v>
      </c>
      <c r="DH1" s="7"/>
      <c r="DI1" s="159" t="s">
        <v>0</v>
      </c>
      <c r="DJ1" s="144" t="s">
        <v>1</v>
      </c>
      <c r="DK1" s="144" t="s">
        <v>2</v>
      </c>
      <c r="DL1" s="146" t="s">
        <v>3</v>
      </c>
      <c r="DM1" s="161" t="s">
        <v>36</v>
      </c>
      <c r="DN1" s="2" t="s">
        <v>5</v>
      </c>
      <c r="DO1" s="2" t="s">
        <v>6</v>
      </c>
      <c r="DP1" s="3" t="s">
        <v>7</v>
      </c>
      <c r="DQ1" s="3" t="s">
        <v>38</v>
      </c>
      <c r="DR1" s="4" t="s">
        <v>8</v>
      </c>
      <c r="DS1" s="3" t="s">
        <v>9</v>
      </c>
      <c r="DT1" s="146" t="s">
        <v>10</v>
      </c>
      <c r="DU1" s="1" t="s">
        <v>39</v>
      </c>
      <c r="DV1" s="3" t="s">
        <v>11</v>
      </c>
      <c r="DW1" s="5" t="s">
        <v>37</v>
      </c>
      <c r="DX1" s="145" t="s">
        <v>13</v>
      </c>
      <c r="DY1" s="143" t="s">
        <v>14</v>
      </c>
      <c r="DZ1" s="3" t="s">
        <v>15</v>
      </c>
      <c r="EA1" s="151" t="s">
        <v>16</v>
      </c>
      <c r="EB1" s="146" t="s">
        <v>17</v>
      </c>
      <c r="EC1" s="6" t="s">
        <v>18</v>
      </c>
      <c r="ED1" s="153" t="s">
        <v>19</v>
      </c>
      <c r="EE1" s="155" t="s">
        <v>20</v>
      </c>
      <c r="EF1" s="157" t="s">
        <v>21</v>
      </c>
      <c r="EG1" s="157" t="s">
        <v>22</v>
      </c>
      <c r="EH1" s="157" t="s">
        <v>17</v>
      </c>
      <c r="EI1" s="151" t="s">
        <v>4</v>
      </c>
      <c r="EJ1" s="7"/>
      <c r="EK1" s="159" t="s">
        <v>0</v>
      </c>
      <c r="EL1" s="144" t="s">
        <v>1</v>
      </c>
      <c r="EM1" s="144" t="s">
        <v>2</v>
      </c>
      <c r="EN1" s="146" t="s">
        <v>3</v>
      </c>
      <c r="EO1" s="161" t="s">
        <v>36</v>
      </c>
      <c r="EP1" s="2" t="s">
        <v>5</v>
      </c>
      <c r="EQ1" s="2" t="s">
        <v>6</v>
      </c>
      <c r="ER1" s="3" t="s">
        <v>7</v>
      </c>
      <c r="ES1" s="3" t="s">
        <v>38</v>
      </c>
      <c r="ET1" s="4" t="s">
        <v>8</v>
      </c>
      <c r="EU1" s="3" t="s">
        <v>9</v>
      </c>
      <c r="EV1" s="146" t="s">
        <v>10</v>
      </c>
      <c r="EW1" s="1" t="s">
        <v>39</v>
      </c>
      <c r="EX1" s="3" t="s">
        <v>11</v>
      </c>
      <c r="EY1" s="5" t="s">
        <v>37</v>
      </c>
      <c r="EZ1" s="145" t="s">
        <v>13</v>
      </c>
      <c r="FA1" s="143" t="s">
        <v>14</v>
      </c>
      <c r="FB1" s="3" t="s">
        <v>15</v>
      </c>
      <c r="FC1" s="151" t="s">
        <v>16</v>
      </c>
      <c r="FD1" s="146" t="s">
        <v>17</v>
      </c>
      <c r="FE1" s="6" t="s">
        <v>18</v>
      </c>
      <c r="FF1" s="153" t="s">
        <v>19</v>
      </c>
      <c r="FG1" s="155" t="s">
        <v>20</v>
      </c>
      <c r="FH1" s="157" t="s">
        <v>21</v>
      </c>
      <c r="FI1" s="157" t="s">
        <v>22</v>
      </c>
      <c r="FJ1" s="157" t="s">
        <v>17</v>
      </c>
      <c r="FK1" s="151" t="s">
        <v>4</v>
      </c>
      <c r="FL1" s="7"/>
      <c r="FM1" s="159" t="s">
        <v>0</v>
      </c>
      <c r="FN1" s="144" t="s">
        <v>1</v>
      </c>
      <c r="FO1" s="144" t="s">
        <v>2</v>
      </c>
      <c r="FP1" s="146" t="s">
        <v>3</v>
      </c>
      <c r="FQ1" s="161" t="s">
        <v>36</v>
      </c>
      <c r="FR1" s="2" t="s">
        <v>5</v>
      </c>
      <c r="FS1" s="2" t="s">
        <v>6</v>
      </c>
      <c r="FT1" s="3" t="s">
        <v>7</v>
      </c>
      <c r="FU1" s="3" t="s">
        <v>38</v>
      </c>
      <c r="FV1" s="4" t="s">
        <v>8</v>
      </c>
      <c r="FW1" s="3" t="s">
        <v>9</v>
      </c>
      <c r="FX1" s="146" t="s">
        <v>10</v>
      </c>
      <c r="FY1" s="1" t="s">
        <v>39</v>
      </c>
      <c r="FZ1" s="3" t="s">
        <v>11</v>
      </c>
      <c r="GA1" s="5" t="s">
        <v>37</v>
      </c>
      <c r="GB1" s="145" t="s">
        <v>13</v>
      </c>
      <c r="GC1" s="143" t="s">
        <v>14</v>
      </c>
      <c r="GD1" s="3" t="s">
        <v>15</v>
      </c>
      <c r="GE1" s="151" t="s">
        <v>16</v>
      </c>
      <c r="GF1" s="146" t="s">
        <v>17</v>
      </c>
      <c r="GG1" s="6" t="s">
        <v>18</v>
      </c>
      <c r="GH1" s="153" t="s">
        <v>19</v>
      </c>
      <c r="GI1" s="155" t="s">
        <v>20</v>
      </c>
      <c r="GJ1" s="157" t="s">
        <v>21</v>
      </c>
      <c r="GK1" s="157" t="s">
        <v>22</v>
      </c>
      <c r="GL1" s="157" t="s">
        <v>17</v>
      </c>
      <c r="GM1" s="151" t="s">
        <v>4</v>
      </c>
      <c r="GN1" s="7"/>
      <c r="GO1" s="159" t="s">
        <v>0</v>
      </c>
      <c r="GP1" s="144" t="s">
        <v>1</v>
      </c>
      <c r="GQ1" s="144" t="s">
        <v>2</v>
      </c>
      <c r="GR1" s="146" t="s">
        <v>3</v>
      </c>
      <c r="GS1" s="161" t="s">
        <v>36</v>
      </c>
      <c r="GT1" s="2" t="s">
        <v>5</v>
      </c>
      <c r="GU1" s="2" t="s">
        <v>6</v>
      </c>
      <c r="GV1" s="3" t="s">
        <v>7</v>
      </c>
      <c r="GW1" s="3" t="s">
        <v>38</v>
      </c>
      <c r="GX1" s="4" t="s">
        <v>8</v>
      </c>
      <c r="GY1" s="3" t="s">
        <v>9</v>
      </c>
      <c r="GZ1" s="146" t="s">
        <v>10</v>
      </c>
      <c r="HA1" s="1" t="s">
        <v>39</v>
      </c>
      <c r="HB1" s="3" t="s">
        <v>11</v>
      </c>
      <c r="HC1" s="5" t="s">
        <v>37</v>
      </c>
      <c r="HD1" s="145" t="s">
        <v>13</v>
      </c>
      <c r="HE1" s="143" t="s">
        <v>14</v>
      </c>
      <c r="HF1" s="3" t="s">
        <v>15</v>
      </c>
      <c r="HG1" s="151" t="s">
        <v>16</v>
      </c>
      <c r="HH1" s="146" t="s">
        <v>17</v>
      </c>
      <c r="HI1" s="6" t="s">
        <v>18</v>
      </c>
      <c r="HJ1" s="153" t="s">
        <v>19</v>
      </c>
      <c r="HK1" s="155" t="s">
        <v>20</v>
      </c>
      <c r="HL1" s="157" t="s">
        <v>21</v>
      </c>
      <c r="HM1" s="157" t="s">
        <v>22</v>
      </c>
      <c r="HN1" s="157" t="s">
        <v>17</v>
      </c>
      <c r="HO1" s="151" t="s">
        <v>4</v>
      </c>
      <c r="HP1" s="7"/>
      <c r="HQ1" s="159" t="s">
        <v>0</v>
      </c>
      <c r="HR1" s="144" t="s">
        <v>1</v>
      </c>
      <c r="HS1" s="144" t="s">
        <v>2</v>
      </c>
      <c r="HT1" s="146" t="s">
        <v>3</v>
      </c>
      <c r="HU1" s="161" t="s">
        <v>36</v>
      </c>
      <c r="HV1" s="2" t="s">
        <v>5</v>
      </c>
      <c r="HW1" s="2" t="s">
        <v>6</v>
      </c>
      <c r="HX1" s="3" t="s">
        <v>7</v>
      </c>
      <c r="HY1" s="3" t="s">
        <v>38</v>
      </c>
      <c r="HZ1" s="4" t="s">
        <v>8</v>
      </c>
      <c r="IA1" s="3" t="s">
        <v>9</v>
      </c>
      <c r="IB1" s="146" t="s">
        <v>10</v>
      </c>
      <c r="IC1" s="1" t="s">
        <v>39</v>
      </c>
      <c r="ID1" s="3" t="s">
        <v>11</v>
      </c>
      <c r="IE1" s="5" t="s">
        <v>37</v>
      </c>
      <c r="IF1" s="145" t="s">
        <v>13</v>
      </c>
      <c r="IG1" s="143" t="s">
        <v>14</v>
      </c>
      <c r="IH1" s="3" t="s">
        <v>15</v>
      </c>
      <c r="II1" s="151" t="s">
        <v>16</v>
      </c>
      <c r="IJ1" s="146" t="s">
        <v>17</v>
      </c>
      <c r="IK1" s="6" t="s">
        <v>18</v>
      </c>
      <c r="IL1" s="153" t="s">
        <v>19</v>
      </c>
      <c r="IM1" s="155" t="s">
        <v>20</v>
      </c>
      <c r="IN1" s="157" t="s">
        <v>21</v>
      </c>
      <c r="IO1" s="157" t="s">
        <v>22</v>
      </c>
      <c r="IP1" s="157" t="s">
        <v>17</v>
      </c>
      <c r="IQ1" s="151" t="s">
        <v>4</v>
      </c>
      <c r="IR1" s="7"/>
      <c r="IS1" s="159" t="s">
        <v>0</v>
      </c>
      <c r="IT1" s="144" t="s">
        <v>1</v>
      </c>
      <c r="IU1" s="144" t="s">
        <v>2</v>
      </c>
      <c r="IV1" s="146" t="s">
        <v>3</v>
      </c>
      <c r="IW1" s="161" t="s">
        <v>36</v>
      </c>
      <c r="IX1" s="2" t="s">
        <v>5</v>
      </c>
      <c r="IY1" s="2" t="s">
        <v>6</v>
      </c>
      <c r="IZ1" s="3" t="s">
        <v>7</v>
      </c>
      <c r="JA1" s="3" t="s">
        <v>38</v>
      </c>
      <c r="JB1" s="4" t="s">
        <v>8</v>
      </c>
      <c r="JC1" s="3" t="s">
        <v>9</v>
      </c>
      <c r="JD1" s="146" t="s">
        <v>10</v>
      </c>
      <c r="JE1" s="1" t="s">
        <v>39</v>
      </c>
      <c r="JF1" s="3" t="s">
        <v>11</v>
      </c>
      <c r="JG1" s="5" t="s">
        <v>37</v>
      </c>
      <c r="JH1" s="145" t="s">
        <v>13</v>
      </c>
      <c r="JI1" s="143" t="s">
        <v>14</v>
      </c>
      <c r="JJ1" s="3" t="s">
        <v>15</v>
      </c>
      <c r="JK1" s="151" t="s">
        <v>16</v>
      </c>
      <c r="JL1" s="146" t="s">
        <v>17</v>
      </c>
      <c r="JM1" s="6" t="s">
        <v>18</v>
      </c>
      <c r="JN1" s="153" t="s">
        <v>19</v>
      </c>
      <c r="JO1" s="155" t="s">
        <v>20</v>
      </c>
      <c r="JP1" s="157" t="s">
        <v>21</v>
      </c>
      <c r="JQ1" s="157" t="s">
        <v>22</v>
      </c>
      <c r="JR1" s="157" t="s">
        <v>17</v>
      </c>
      <c r="JS1" s="151" t="s">
        <v>4</v>
      </c>
      <c r="JT1" s="7"/>
      <c r="JU1" s="159" t="s">
        <v>0</v>
      </c>
      <c r="JV1" s="144" t="s">
        <v>1</v>
      </c>
      <c r="JW1" s="144" t="s">
        <v>2</v>
      </c>
      <c r="JX1" s="146" t="s">
        <v>3</v>
      </c>
      <c r="JY1" s="161" t="s">
        <v>36</v>
      </c>
      <c r="JZ1" s="2" t="s">
        <v>5</v>
      </c>
      <c r="KA1" s="2" t="s">
        <v>6</v>
      </c>
      <c r="KB1" s="3" t="s">
        <v>7</v>
      </c>
      <c r="KC1" s="3" t="s">
        <v>38</v>
      </c>
      <c r="KD1" s="4" t="s">
        <v>8</v>
      </c>
      <c r="KE1" s="3" t="s">
        <v>9</v>
      </c>
      <c r="KF1" s="146" t="s">
        <v>10</v>
      </c>
      <c r="KG1" s="1" t="s">
        <v>39</v>
      </c>
      <c r="KH1" s="3" t="s">
        <v>11</v>
      </c>
      <c r="KI1" s="5" t="s">
        <v>37</v>
      </c>
      <c r="KJ1" s="145" t="s">
        <v>13</v>
      </c>
      <c r="KK1" s="143" t="s">
        <v>14</v>
      </c>
      <c r="KL1" s="3" t="s">
        <v>15</v>
      </c>
      <c r="KM1" s="151" t="s">
        <v>16</v>
      </c>
      <c r="KN1" s="146" t="s">
        <v>17</v>
      </c>
      <c r="KO1" s="6" t="s">
        <v>18</v>
      </c>
      <c r="KP1" s="153" t="s">
        <v>19</v>
      </c>
      <c r="KQ1" s="155" t="s">
        <v>20</v>
      </c>
      <c r="KR1" s="157" t="s">
        <v>21</v>
      </c>
      <c r="KS1" s="157" t="s">
        <v>22</v>
      </c>
      <c r="KT1" s="157" t="s">
        <v>17</v>
      </c>
      <c r="KU1" s="151" t="s">
        <v>4</v>
      </c>
      <c r="KV1" s="7"/>
      <c r="KW1" s="159" t="s">
        <v>0</v>
      </c>
      <c r="KX1" s="144" t="s">
        <v>1</v>
      </c>
      <c r="KY1" s="144" t="s">
        <v>2</v>
      </c>
      <c r="KZ1" s="146" t="s">
        <v>3</v>
      </c>
      <c r="LA1" s="161" t="s">
        <v>36</v>
      </c>
      <c r="LB1" s="2" t="s">
        <v>5</v>
      </c>
      <c r="LC1" s="2" t="s">
        <v>6</v>
      </c>
      <c r="LD1" s="3" t="s">
        <v>7</v>
      </c>
      <c r="LE1" s="3" t="s">
        <v>38</v>
      </c>
      <c r="LF1" s="4" t="s">
        <v>8</v>
      </c>
      <c r="LG1" s="3" t="s">
        <v>9</v>
      </c>
      <c r="LH1" s="146" t="s">
        <v>10</v>
      </c>
      <c r="LI1" s="1" t="s">
        <v>39</v>
      </c>
      <c r="LJ1" s="3" t="s">
        <v>11</v>
      </c>
      <c r="LK1" s="5" t="s">
        <v>37</v>
      </c>
      <c r="LL1" s="145" t="s">
        <v>13</v>
      </c>
      <c r="LM1" s="143" t="s">
        <v>14</v>
      </c>
      <c r="LN1" s="3" t="s">
        <v>15</v>
      </c>
      <c r="LO1" s="151" t="s">
        <v>16</v>
      </c>
      <c r="LP1" s="146" t="s">
        <v>17</v>
      </c>
      <c r="LQ1" s="6" t="s">
        <v>18</v>
      </c>
      <c r="LR1" s="153" t="s">
        <v>19</v>
      </c>
      <c r="LS1" s="155" t="s">
        <v>20</v>
      </c>
      <c r="LT1" s="157" t="s">
        <v>21</v>
      </c>
      <c r="LU1" s="157" t="s">
        <v>22</v>
      </c>
      <c r="LV1" s="157" t="s">
        <v>17</v>
      </c>
      <c r="LW1" s="151" t="s">
        <v>4</v>
      </c>
      <c r="LX1" s="7"/>
    </row>
    <row r="2" spans="1:336" x14ac:dyDescent="0.3">
      <c r="A2" s="160"/>
      <c r="B2" s="147"/>
      <c r="C2" s="147"/>
      <c r="D2" s="148"/>
      <c r="E2" s="162"/>
      <c r="F2" s="11" t="s">
        <v>24</v>
      </c>
      <c r="G2" s="11" t="s">
        <v>25</v>
      </c>
      <c r="H2" s="12" t="s">
        <v>26</v>
      </c>
      <c r="I2" s="12"/>
      <c r="J2" s="13" t="s">
        <v>27</v>
      </c>
      <c r="K2" s="12" t="s">
        <v>28</v>
      </c>
      <c r="L2" s="148"/>
      <c r="M2" s="9"/>
      <c r="N2" s="12" t="s">
        <v>29</v>
      </c>
      <c r="O2" s="14" t="s">
        <v>3</v>
      </c>
      <c r="P2" s="149"/>
      <c r="Q2" s="150"/>
      <c r="R2" s="12" t="s">
        <v>30</v>
      </c>
      <c r="S2" s="152"/>
      <c r="T2" s="148"/>
      <c r="U2" s="15" t="s">
        <v>31</v>
      </c>
      <c r="V2" s="154"/>
      <c r="W2" s="156"/>
      <c r="X2" s="158"/>
      <c r="Y2" s="158"/>
      <c r="Z2" s="158"/>
      <c r="AA2" s="152"/>
      <c r="AB2" s="16"/>
      <c r="AC2" s="160"/>
      <c r="AD2" s="147"/>
      <c r="AE2" s="147"/>
      <c r="AF2" s="148"/>
      <c r="AG2" s="162"/>
      <c r="AH2" s="11" t="s">
        <v>24</v>
      </c>
      <c r="AI2" s="11" t="s">
        <v>25</v>
      </c>
      <c r="AJ2" s="12" t="s">
        <v>26</v>
      </c>
      <c r="AK2" s="12" t="s">
        <v>38</v>
      </c>
      <c r="AL2" s="13" t="s">
        <v>27</v>
      </c>
      <c r="AM2" s="12" t="s">
        <v>28</v>
      </c>
      <c r="AN2" s="148"/>
      <c r="AO2" s="9"/>
      <c r="AP2" s="12" t="s">
        <v>29</v>
      </c>
      <c r="AQ2" s="14" t="s">
        <v>3</v>
      </c>
      <c r="AR2" s="149"/>
      <c r="AS2" s="150"/>
      <c r="AT2" s="12" t="s">
        <v>30</v>
      </c>
      <c r="AU2" s="152"/>
      <c r="AV2" s="148"/>
      <c r="AW2" s="15" t="s">
        <v>31</v>
      </c>
      <c r="AX2" s="154"/>
      <c r="AY2" s="156"/>
      <c r="AZ2" s="158"/>
      <c r="BA2" s="158"/>
      <c r="BB2" s="158"/>
      <c r="BC2" s="152"/>
      <c r="BD2" s="16"/>
      <c r="BE2" s="160"/>
      <c r="BF2" s="147"/>
      <c r="BG2" s="147"/>
      <c r="BH2" s="148"/>
      <c r="BI2" s="162"/>
      <c r="BJ2" s="11" t="s">
        <v>24</v>
      </c>
      <c r="BK2" s="11" t="s">
        <v>25</v>
      </c>
      <c r="BL2" s="12" t="s">
        <v>26</v>
      </c>
      <c r="BM2" s="12"/>
      <c r="BN2" s="13" t="s">
        <v>27</v>
      </c>
      <c r="BO2" s="12" t="s">
        <v>28</v>
      </c>
      <c r="BP2" s="148"/>
      <c r="BQ2" s="9"/>
      <c r="BR2" s="12" t="s">
        <v>29</v>
      </c>
      <c r="BS2" s="14" t="s">
        <v>3</v>
      </c>
      <c r="BT2" s="149"/>
      <c r="BU2" s="150"/>
      <c r="BV2" s="12" t="s">
        <v>30</v>
      </c>
      <c r="BW2" s="152"/>
      <c r="BX2" s="148"/>
      <c r="BY2" s="15" t="s">
        <v>31</v>
      </c>
      <c r="BZ2" s="154"/>
      <c r="CA2" s="156"/>
      <c r="CB2" s="158"/>
      <c r="CC2" s="158"/>
      <c r="CD2" s="158"/>
      <c r="CE2" s="152"/>
      <c r="CF2" s="16"/>
      <c r="CG2" s="160"/>
      <c r="CH2" s="147"/>
      <c r="CI2" s="147"/>
      <c r="CJ2" s="148"/>
      <c r="CK2" s="162"/>
      <c r="CL2" s="11" t="s">
        <v>24</v>
      </c>
      <c r="CM2" s="11" t="s">
        <v>25</v>
      </c>
      <c r="CN2" s="12" t="s">
        <v>26</v>
      </c>
      <c r="CO2" s="12"/>
      <c r="CP2" s="13" t="s">
        <v>27</v>
      </c>
      <c r="CQ2" s="12" t="s">
        <v>28</v>
      </c>
      <c r="CR2" s="148"/>
      <c r="CS2" s="9"/>
      <c r="CT2" s="12" t="s">
        <v>29</v>
      </c>
      <c r="CU2" s="14" t="s">
        <v>3</v>
      </c>
      <c r="CV2" s="149"/>
      <c r="CW2" s="150"/>
      <c r="CX2" s="12" t="s">
        <v>30</v>
      </c>
      <c r="CY2" s="152"/>
      <c r="CZ2" s="148"/>
      <c r="DA2" s="15" t="s">
        <v>31</v>
      </c>
      <c r="DB2" s="154"/>
      <c r="DC2" s="156"/>
      <c r="DD2" s="158"/>
      <c r="DE2" s="158"/>
      <c r="DF2" s="158"/>
      <c r="DG2" s="152"/>
      <c r="DH2" s="16"/>
      <c r="DI2" s="160"/>
      <c r="DJ2" s="147"/>
      <c r="DK2" s="147"/>
      <c r="DL2" s="148"/>
      <c r="DM2" s="162"/>
      <c r="DN2" s="11" t="s">
        <v>24</v>
      </c>
      <c r="DO2" s="11" t="s">
        <v>25</v>
      </c>
      <c r="DP2" s="12" t="s">
        <v>26</v>
      </c>
      <c r="DQ2" s="12"/>
      <c r="DR2" s="13" t="s">
        <v>27</v>
      </c>
      <c r="DS2" s="12" t="s">
        <v>28</v>
      </c>
      <c r="DT2" s="148"/>
      <c r="DU2" s="9"/>
      <c r="DV2" s="12" t="s">
        <v>29</v>
      </c>
      <c r="DW2" s="14" t="s">
        <v>3</v>
      </c>
      <c r="DX2" s="149"/>
      <c r="DY2" s="150"/>
      <c r="DZ2" s="12" t="s">
        <v>30</v>
      </c>
      <c r="EA2" s="152"/>
      <c r="EB2" s="148"/>
      <c r="EC2" s="15" t="s">
        <v>31</v>
      </c>
      <c r="ED2" s="154"/>
      <c r="EE2" s="156"/>
      <c r="EF2" s="158"/>
      <c r="EG2" s="158"/>
      <c r="EH2" s="158"/>
      <c r="EI2" s="152"/>
      <c r="EJ2" s="16"/>
      <c r="EK2" s="160"/>
      <c r="EL2" s="147"/>
      <c r="EM2" s="147"/>
      <c r="EN2" s="148"/>
      <c r="EO2" s="162"/>
      <c r="EP2" s="11" t="s">
        <v>24</v>
      </c>
      <c r="EQ2" s="11" t="s">
        <v>25</v>
      </c>
      <c r="ER2" s="12" t="s">
        <v>26</v>
      </c>
      <c r="ES2" s="12"/>
      <c r="ET2" s="13" t="s">
        <v>27</v>
      </c>
      <c r="EU2" s="12" t="s">
        <v>28</v>
      </c>
      <c r="EV2" s="148"/>
      <c r="EW2" s="9"/>
      <c r="EX2" s="12" t="s">
        <v>29</v>
      </c>
      <c r="EY2" s="14" t="s">
        <v>3</v>
      </c>
      <c r="EZ2" s="149"/>
      <c r="FA2" s="150"/>
      <c r="FB2" s="12" t="s">
        <v>30</v>
      </c>
      <c r="FC2" s="152"/>
      <c r="FD2" s="148"/>
      <c r="FE2" s="15" t="s">
        <v>31</v>
      </c>
      <c r="FF2" s="154"/>
      <c r="FG2" s="156"/>
      <c r="FH2" s="158"/>
      <c r="FI2" s="158"/>
      <c r="FJ2" s="158"/>
      <c r="FK2" s="152"/>
      <c r="FL2" s="16"/>
      <c r="FM2" s="160"/>
      <c r="FN2" s="147"/>
      <c r="FO2" s="147"/>
      <c r="FP2" s="148"/>
      <c r="FQ2" s="162"/>
      <c r="FR2" s="11" t="s">
        <v>24</v>
      </c>
      <c r="FS2" s="11" t="s">
        <v>25</v>
      </c>
      <c r="FT2" s="12" t="s">
        <v>26</v>
      </c>
      <c r="FU2" s="12"/>
      <c r="FV2" s="13" t="s">
        <v>27</v>
      </c>
      <c r="FW2" s="12" t="s">
        <v>28</v>
      </c>
      <c r="FX2" s="148"/>
      <c r="FY2" s="9"/>
      <c r="FZ2" s="12" t="s">
        <v>29</v>
      </c>
      <c r="GA2" s="14" t="s">
        <v>3</v>
      </c>
      <c r="GB2" s="149"/>
      <c r="GC2" s="150"/>
      <c r="GD2" s="12" t="s">
        <v>30</v>
      </c>
      <c r="GE2" s="152"/>
      <c r="GF2" s="148"/>
      <c r="GG2" s="15" t="s">
        <v>31</v>
      </c>
      <c r="GH2" s="154"/>
      <c r="GI2" s="156"/>
      <c r="GJ2" s="158"/>
      <c r="GK2" s="158"/>
      <c r="GL2" s="158"/>
      <c r="GM2" s="152"/>
      <c r="GN2" s="16"/>
      <c r="GO2" s="160"/>
      <c r="GP2" s="147"/>
      <c r="GQ2" s="147"/>
      <c r="GR2" s="148"/>
      <c r="GS2" s="162"/>
      <c r="GT2" s="11" t="s">
        <v>24</v>
      </c>
      <c r="GU2" s="11" t="s">
        <v>25</v>
      </c>
      <c r="GV2" s="12" t="s">
        <v>26</v>
      </c>
      <c r="GW2" s="12"/>
      <c r="GX2" s="13" t="s">
        <v>27</v>
      </c>
      <c r="GY2" s="12" t="s">
        <v>28</v>
      </c>
      <c r="GZ2" s="148"/>
      <c r="HA2" s="9"/>
      <c r="HB2" s="12" t="s">
        <v>29</v>
      </c>
      <c r="HC2" s="14" t="s">
        <v>3</v>
      </c>
      <c r="HD2" s="149"/>
      <c r="HE2" s="150"/>
      <c r="HF2" s="12" t="s">
        <v>30</v>
      </c>
      <c r="HG2" s="152"/>
      <c r="HH2" s="148"/>
      <c r="HI2" s="15" t="s">
        <v>31</v>
      </c>
      <c r="HJ2" s="154"/>
      <c r="HK2" s="156"/>
      <c r="HL2" s="158"/>
      <c r="HM2" s="158"/>
      <c r="HN2" s="158"/>
      <c r="HO2" s="152"/>
      <c r="HP2" s="16"/>
      <c r="HQ2" s="160"/>
      <c r="HR2" s="147"/>
      <c r="HS2" s="147"/>
      <c r="HT2" s="148"/>
      <c r="HU2" s="162"/>
      <c r="HV2" s="11" t="s">
        <v>24</v>
      </c>
      <c r="HW2" s="11" t="s">
        <v>25</v>
      </c>
      <c r="HX2" s="12" t="s">
        <v>26</v>
      </c>
      <c r="HY2" s="12"/>
      <c r="HZ2" s="13" t="s">
        <v>27</v>
      </c>
      <c r="IA2" s="12" t="s">
        <v>28</v>
      </c>
      <c r="IB2" s="148"/>
      <c r="IC2" s="9"/>
      <c r="ID2" s="12" t="s">
        <v>29</v>
      </c>
      <c r="IE2" s="14" t="s">
        <v>3</v>
      </c>
      <c r="IF2" s="149"/>
      <c r="IG2" s="150"/>
      <c r="IH2" s="12" t="s">
        <v>30</v>
      </c>
      <c r="II2" s="152"/>
      <c r="IJ2" s="148"/>
      <c r="IK2" s="15" t="s">
        <v>31</v>
      </c>
      <c r="IL2" s="154"/>
      <c r="IM2" s="156"/>
      <c r="IN2" s="158"/>
      <c r="IO2" s="158"/>
      <c r="IP2" s="158"/>
      <c r="IQ2" s="152"/>
      <c r="IR2" s="16"/>
      <c r="IS2" s="160"/>
      <c r="IT2" s="147"/>
      <c r="IU2" s="147"/>
      <c r="IV2" s="148"/>
      <c r="IW2" s="162"/>
      <c r="IX2" s="11" t="s">
        <v>24</v>
      </c>
      <c r="IY2" s="11" t="s">
        <v>25</v>
      </c>
      <c r="IZ2" s="12" t="s">
        <v>26</v>
      </c>
      <c r="JA2" s="12"/>
      <c r="JB2" s="13" t="s">
        <v>27</v>
      </c>
      <c r="JC2" s="12" t="s">
        <v>28</v>
      </c>
      <c r="JD2" s="148"/>
      <c r="JE2" s="9"/>
      <c r="JF2" s="12" t="s">
        <v>29</v>
      </c>
      <c r="JG2" s="14" t="s">
        <v>3</v>
      </c>
      <c r="JH2" s="149"/>
      <c r="JI2" s="150"/>
      <c r="JJ2" s="12" t="s">
        <v>30</v>
      </c>
      <c r="JK2" s="152"/>
      <c r="JL2" s="148"/>
      <c r="JM2" s="15" t="s">
        <v>31</v>
      </c>
      <c r="JN2" s="154"/>
      <c r="JO2" s="156"/>
      <c r="JP2" s="158"/>
      <c r="JQ2" s="158"/>
      <c r="JR2" s="158"/>
      <c r="JS2" s="152"/>
      <c r="JT2" s="16"/>
      <c r="JU2" s="160"/>
      <c r="JV2" s="147"/>
      <c r="JW2" s="147"/>
      <c r="JX2" s="148"/>
      <c r="JY2" s="162"/>
      <c r="JZ2" s="11" t="s">
        <v>24</v>
      </c>
      <c r="KA2" s="11" t="s">
        <v>25</v>
      </c>
      <c r="KB2" s="12" t="s">
        <v>26</v>
      </c>
      <c r="KC2" s="12"/>
      <c r="KD2" s="13" t="s">
        <v>27</v>
      </c>
      <c r="KE2" s="12" t="s">
        <v>28</v>
      </c>
      <c r="KF2" s="148"/>
      <c r="KG2" s="9"/>
      <c r="KH2" s="12" t="s">
        <v>29</v>
      </c>
      <c r="KI2" s="14" t="s">
        <v>3</v>
      </c>
      <c r="KJ2" s="149"/>
      <c r="KK2" s="150"/>
      <c r="KL2" s="12" t="s">
        <v>30</v>
      </c>
      <c r="KM2" s="152"/>
      <c r="KN2" s="148"/>
      <c r="KO2" s="15" t="s">
        <v>31</v>
      </c>
      <c r="KP2" s="154"/>
      <c r="KQ2" s="156"/>
      <c r="KR2" s="158"/>
      <c r="KS2" s="158"/>
      <c r="KT2" s="158"/>
      <c r="KU2" s="152"/>
      <c r="KV2" s="16"/>
      <c r="KW2" s="160"/>
      <c r="KX2" s="147"/>
      <c r="KY2" s="147"/>
      <c r="KZ2" s="148"/>
      <c r="LA2" s="162"/>
      <c r="LB2" s="11" t="s">
        <v>24</v>
      </c>
      <c r="LC2" s="11" t="s">
        <v>25</v>
      </c>
      <c r="LD2" s="12" t="s">
        <v>26</v>
      </c>
      <c r="LE2" s="12"/>
      <c r="LF2" s="13" t="s">
        <v>27</v>
      </c>
      <c r="LG2" s="12" t="s">
        <v>28</v>
      </c>
      <c r="LH2" s="148"/>
      <c r="LI2" s="9"/>
      <c r="LJ2" s="12" t="s">
        <v>29</v>
      </c>
      <c r="LK2" s="14" t="s">
        <v>3</v>
      </c>
      <c r="LL2" s="149"/>
      <c r="LM2" s="150"/>
      <c r="LN2" s="12" t="s">
        <v>30</v>
      </c>
      <c r="LO2" s="152"/>
      <c r="LP2" s="148"/>
      <c r="LQ2" s="15" t="s">
        <v>31</v>
      </c>
      <c r="LR2" s="154"/>
      <c r="LS2" s="156"/>
      <c r="LT2" s="158"/>
      <c r="LU2" s="158"/>
      <c r="LV2" s="158"/>
      <c r="LW2" s="152"/>
      <c r="LX2" s="16"/>
    </row>
    <row r="3" spans="1:336" x14ac:dyDescent="0.3">
      <c r="A3" s="17"/>
      <c r="B3" s="18"/>
      <c r="C3" s="18"/>
      <c r="D3" s="19"/>
      <c r="E3" s="20"/>
      <c r="F3" s="21"/>
      <c r="G3" s="21"/>
      <c r="H3" s="142" t="s">
        <v>69</v>
      </c>
      <c r="I3" s="142"/>
      <c r="J3" s="142"/>
      <c r="K3" s="142"/>
      <c r="L3" s="142"/>
      <c r="M3" s="142"/>
      <c r="N3" s="142"/>
      <c r="O3" s="20"/>
      <c r="P3" s="20"/>
      <c r="Q3" s="17"/>
      <c r="R3" s="17"/>
      <c r="S3" s="19"/>
      <c r="T3" s="19"/>
      <c r="U3" s="22"/>
      <c r="V3" s="20"/>
      <c r="W3" s="23"/>
      <c r="X3" s="17"/>
      <c r="Y3" s="17"/>
      <c r="Z3" s="17"/>
      <c r="AA3" s="19"/>
      <c r="AB3" s="24"/>
      <c r="AC3" s="17"/>
      <c r="AD3" s="18"/>
      <c r="AE3" s="18"/>
      <c r="AF3" s="19"/>
      <c r="AG3" s="20"/>
      <c r="AH3" s="21"/>
      <c r="AI3" s="21"/>
      <c r="AJ3" s="142" t="s">
        <v>45</v>
      </c>
      <c r="AK3" s="142"/>
      <c r="AL3" s="142"/>
      <c r="AM3" s="142"/>
      <c r="AN3" s="142"/>
      <c r="AO3" s="142"/>
      <c r="AP3" s="142"/>
      <c r="AQ3" s="20"/>
      <c r="AR3" s="20"/>
      <c r="AS3" s="17"/>
      <c r="AT3" s="17"/>
      <c r="AU3" s="19"/>
      <c r="AV3" s="19"/>
      <c r="AW3" s="22"/>
      <c r="AX3" s="20"/>
      <c r="AY3" s="23"/>
      <c r="AZ3" s="17"/>
      <c r="BA3" s="17"/>
      <c r="BB3" s="17"/>
      <c r="BC3" s="19"/>
      <c r="BD3" s="24"/>
      <c r="BE3" s="17"/>
      <c r="BF3" s="18"/>
      <c r="BG3" s="18"/>
      <c r="BH3" s="19"/>
      <c r="BI3" s="20"/>
      <c r="BJ3" s="21"/>
      <c r="BK3" s="21"/>
      <c r="BL3" s="142" t="s">
        <v>45</v>
      </c>
      <c r="BM3" s="142"/>
      <c r="BN3" s="142"/>
      <c r="BO3" s="142"/>
      <c r="BP3" s="142"/>
      <c r="BQ3" s="142"/>
      <c r="BR3" s="142"/>
      <c r="BS3" s="20"/>
      <c r="BT3" s="20"/>
      <c r="BU3" s="17"/>
      <c r="BV3" s="17"/>
      <c r="BW3" s="19"/>
      <c r="BX3" s="19"/>
      <c r="BY3" s="22"/>
      <c r="BZ3" s="20"/>
      <c r="CA3" s="23"/>
      <c r="CB3" s="17"/>
      <c r="CC3" s="17"/>
      <c r="CD3" s="17"/>
      <c r="CE3" s="19"/>
      <c r="CF3" s="24"/>
      <c r="CG3" s="17"/>
      <c r="CH3" s="18"/>
      <c r="CI3" s="18"/>
      <c r="CJ3" s="19"/>
      <c r="CK3" s="20"/>
      <c r="CL3" s="21"/>
      <c r="CM3" s="21"/>
      <c r="CN3" s="142" t="s">
        <v>45</v>
      </c>
      <c r="CO3" s="142"/>
      <c r="CP3" s="142"/>
      <c r="CQ3" s="142"/>
      <c r="CR3" s="142"/>
      <c r="CS3" s="142"/>
      <c r="CT3" s="142"/>
      <c r="CU3" s="20"/>
      <c r="CV3" s="20"/>
      <c r="CW3" s="17"/>
      <c r="CX3" s="17"/>
      <c r="CY3" s="19"/>
      <c r="CZ3" s="19"/>
      <c r="DA3" s="22"/>
      <c r="DB3" s="20"/>
      <c r="DC3" s="23"/>
      <c r="DD3" s="17"/>
      <c r="DE3" s="17"/>
      <c r="DF3" s="17"/>
      <c r="DG3" s="19"/>
      <c r="DH3" s="24"/>
      <c r="DI3" s="17"/>
      <c r="DJ3" s="18"/>
      <c r="DK3" s="18"/>
      <c r="DL3" s="19"/>
      <c r="DM3" s="20"/>
      <c r="DN3" s="21"/>
      <c r="DO3" s="21"/>
      <c r="DP3" s="142" t="s">
        <v>45</v>
      </c>
      <c r="DQ3" s="142"/>
      <c r="DR3" s="142"/>
      <c r="DS3" s="142"/>
      <c r="DT3" s="142"/>
      <c r="DU3" s="142"/>
      <c r="DV3" s="142"/>
      <c r="DW3" s="20"/>
      <c r="DX3" s="20"/>
      <c r="DY3" s="17"/>
      <c r="DZ3" s="17"/>
      <c r="EA3" s="19"/>
      <c r="EB3" s="19"/>
      <c r="EC3" s="22"/>
      <c r="ED3" s="20"/>
      <c r="EE3" s="23"/>
      <c r="EF3" s="17"/>
      <c r="EG3" s="17"/>
      <c r="EH3" s="17"/>
      <c r="EI3" s="19"/>
      <c r="EJ3" s="24"/>
      <c r="EK3" s="17"/>
      <c r="EL3" s="18"/>
      <c r="EM3" s="18"/>
      <c r="EN3" s="19"/>
      <c r="EO3" s="20"/>
      <c r="EP3" s="21"/>
      <c r="EQ3" s="21"/>
      <c r="ER3" s="142" t="s">
        <v>45</v>
      </c>
      <c r="ES3" s="142"/>
      <c r="ET3" s="142"/>
      <c r="EU3" s="142"/>
      <c r="EV3" s="142"/>
      <c r="EW3" s="142"/>
      <c r="EX3" s="142"/>
      <c r="EY3" s="20"/>
      <c r="EZ3" s="20"/>
      <c r="FA3" s="17"/>
      <c r="FB3" s="17"/>
      <c r="FC3" s="19"/>
      <c r="FD3" s="19"/>
      <c r="FE3" s="22"/>
      <c r="FF3" s="20"/>
      <c r="FG3" s="23"/>
      <c r="FH3" s="17"/>
      <c r="FI3" s="17"/>
      <c r="FJ3" s="17"/>
      <c r="FK3" s="19"/>
      <c r="FL3" s="24"/>
      <c r="FM3" s="17"/>
      <c r="FN3" s="18"/>
      <c r="FO3" s="18"/>
      <c r="FP3" s="19"/>
      <c r="FQ3" s="20"/>
      <c r="FR3" s="21"/>
      <c r="FS3" s="21"/>
      <c r="FT3" s="142" t="s">
        <v>45</v>
      </c>
      <c r="FU3" s="142"/>
      <c r="FV3" s="142"/>
      <c r="FW3" s="142"/>
      <c r="FX3" s="142"/>
      <c r="FY3" s="142"/>
      <c r="FZ3" s="142"/>
      <c r="GA3" s="20"/>
      <c r="GB3" s="20"/>
      <c r="GC3" s="17"/>
      <c r="GD3" s="17"/>
      <c r="GE3" s="19"/>
      <c r="GF3" s="19"/>
      <c r="GG3" s="22"/>
      <c r="GH3" s="20"/>
      <c r="GI3" s="23"/>
      <c r="GJ3" s="17"/>
      <c r="GK3" s="17"/>
      <c r="GL3" s="17"/>
      <c r="GM3" s="19"/>
      <c r="GN3" s="24"/>
      <c r="GO3" s="17"/>
      <c r="GP3" s="18"/>
      <c r="GQ3" s="18"/>
      <c r="GR3" s="19"/>
      <c r="GS3" s="20"/>
      <c r="GT3" s="21"/>
      <c r="GU3" s="21"/>
      <c r="GV3" s="142" t="s">
        <v>45</v>
      </c>
      <c r="GW3" s="142"/>
      <c r="GX3" s="142"/>
      <c r="GY3" s="142"/>
      <c r="GZ3" s="142"/>
      <c r="HA3" s="142"/>
      <c r="HB3" s="142"/>
      <c r="HC3" s="20"/>
      <c r="HD3" s="20"/>
      <c r="HE3" s="17"/>
      <c r="HF3" s="17"/>
      <c r="HG3" s="19"/>
      <c r="HH3" s="19"/>
      <c r="HI3" s="22"/>
      <c r="HJ3" s="20"/>
      <c r="HK3" s="23"/>
      <c r="HL3" s="17"/>
      <c r="HM3" s="17"/>
      <c r="HN3" s="17"/>
      <c r="HO3" s="19"/>
      <c r="HP3" s="24"/>
      <c r="HQ3" s="17"/>
      <c r="HR3" s="18"/>
      <c r="HS3" s="18"/>
      <c r="HT3" s="19"/>
      <c r="HU3" s="20"/>
      <c r="HV3" s="21"/>
      <c r="HW3" s="21"/>
      <c r="HX3" s="142" t="s">
        <v>110</v>
      </c>
      <c r="HY3" s="142"/>
      <c r="HZ3" s="142"/>
      <c r="IA3" s="142"/>
      <c r="IB3" s="142"/>
      <c r="IC3" s="142"/>
      <c r="ID3" s="142"/>
      <c r="IE3" s="20"/>
      <c r="IF3" s="20"/>
      <c r="IG3" s="17"/>
      <c r="IH3" s="17"/>
      <c r="II3" s="19"/>
      <c r="IJ3" s="19"/>
      <c r="IK3" s="22"/>
      <c r="IL3" s="20"/>
      <c r="IM3" s="23"/>
      <c r="IN3" s="17"/>
      <c r="IO3" s="17"/>
      <c r="IP3" s="17"/>
      <c r="IQ3" s="19"/>
      <c r="IR3" s="24"/>
      <c r="IS3" s="17"/>
      <c r="IT3" s="18"/>
      <c r="IU3" s="18"/>
      <c r="IV3" s="19"/>
      <c r="IW3" s="20"/>
      <c r="IX3" s="21"/>
      <c r="IY3" s="21"/>
      <c r="IZ3" s="142" t="s">
        <v>45</v>
      </c>
      <c r="JA3" s="142"/>
      <c r="JB3" s="142"/>
      <c r="JC3" s="142"/>
      <c r="JD3" s="142"/>
      <c r="JE3" s="142"/>
      <c r="JF3" s="142"/>
      <c r="JG3" s="20"/>
      <c r="JH3" s="20"/>
      <c r="JI3" s="17"/>
      <c r="JJ3" s="17"/>
      <c r="JK3" s="19"/>
      <c r="JL3" s="19"/>
      <c r="JM3" s="22"/>
      <c r="JN3" s="20"/>
      <c r="JO3" s="23"/>
      <c r="JP3" s="17"/>
      <c r="JQ3" s="17"/>
      <c r="JR3" s="17"/>
      <c r="JS3" s="19"/>
      <c r="JT3" s="24"/>
      <c r="JU3" s="17"/>
      <c r="JV3" s="18"/>
      <c r="JW3" s="18"/>
      <c r="JX3" s="19"/>
      <c r="JY3" s="20"/>
      <c r="JZ3" s="21"/>
      <c r="KA3" s="21"/>
      <c r="KB3" s="142" t="s">
        <v>45</v>
      </c>
      <c r="KC3" s="142"/>
      <c r="KD3" s="142"/>
      <c r="KE3" s="142"/>
      <c r="KF3" s="142"/>
      <c r="KG3" s="142"/>
      <c r="KH3" s="142"/>
      <c r="KI3" s="20"/>
      <c r="KJ3" s="20"/>
      <c r="KK3" s="17"/>
      <c r="KL3" s="17"/>
      <c r="KM3" s="19"/>
      <c r="KN3" s="19"/>
      <c r="KO3" s="22"/>
      <c r="KP3" s="20"/>
      <c r="KQ3" s="23"/>
      <c r="KR3" s="17"/>
      <c r="KS3" s="17"/>
      <c r="KT3" s="17"/>
      <c r="KU3" s="19"/>
      <c r="KV3" s="24"/>
      <c r="KW3" s="17"/>
      <c r="KX3" s="18"/>
      <c r="KY3" s="18"/>
      <c r="KZ3" s="19"/>
      <c r="LA3" s="20"/>
      <c r="LB3" s="21"/>
      <c r="LC3" s="21"/>
      <c r="LD3" s="142" t="s">
        <v>45</v>
      </c>
      <c r="LE3" s="142"/>
      <c r="LF3" s="142"/>
      <c r="LG3" s="142"/>
      <c r="LH3" s="142"/>
      <c r="LI3" s="142"/>
      <c r="LJ3" s="142"/>
      <c r="LK3" s="20"/>
      <c r="LL3" s="20"/>
      <c r="LM3" s="17"/>
      <c r="LN3" s="17"/>
      <c r="LO3" s="19"/>
      <c r="LP3" s="19"/>
      <c r="LQ3" s="22"/>
      <c r="LR3" s="20"/>
      <c r="LS3" s="23"/>
      <c r="LT3" s="17"/>
      <c r="LU3" s="17"/>
      <c r="LV3" s="17"/>
      <c r="LW3" s="19"/>
      <c r="LX3" s="24"/>
    </row>
    <row r="4" spans="1:336" x14ac:dyDescent="0.3">
      <c r="A4" s="25">
        <v>45383</v>
      </c>
      <c r="B4" s="26">
        <v>0</v>
      </c>
      <c r="C4" s="26">
        <v>0</v>
      </c>
      <c r="D4" s="27">
        <f t="shared" ref="D4:D34" si="0">AA4</f>
        <v>0</v>
      </c>
      <c r="E4" s="28">
        <v>0</v>
      </c>
      <c r="F4" s="29">
        <v>0</v>
      </c>
      <c r="G4" s="29">
        <v>0</v>
      </c>
      <c r="H4" s="30" t="s">
        <v>32</v>
      </c>
      <c r="I4" s="30"/>
      <c r="J4" s="31" t="s">
        <v>32</v>
      </c>
      <c r="K4" s="30" t="s">
        <v>32</v>
      </c>
      <c r="L4" s="30" t="s">
        <v>32</v>
      </c>
      <c r="M4" s="30"/>
      <c r="N4" s="30"/>
      <c r="O4" s="28"/>
      <c r="P4" s="28" t="s">
        <v>32</v>
      </c>
      <c r="Q4" s="30" t="s">
        <v>32</v>
      </c>
      <c r="R4" s="30" t="s">
        <v>32</v>
      </c>
      <c r="S4" s="32" t="s">
        <v>32</v>
      </c>
      <c r="T4" s="32" t="s">
        <v>32</v>
      </c>
      <c r="U4" s="29" t="s">
        <v>32</v>
      </c>
      <c r="V4" s="28" t="s">
        <v>32</v>
      </c>
      <c r="W4" s="26" t="s">
        <v>32</v>
      </c>
      <c r="X4" s="30" t="s">
        <v>32</v>
      </c>
      <c r="Y4" s="30" t="s">
        <v>32</v>
      </c>
      <c r="Z4" s="30"/>
      <c r="AA4" s="33">
        <f>SUM(H4:Y4)</f>
        <v>0</v>
      </c>
      <c r="AB4" s="24"/>
      <c r="AC4" s="25">
        <v>45413</v>
      </c>
      <c r="AD4" s="26">
        <v>0</v>
      </c>
      <c r="AE4" s="26">
        <v>0</v>
      </c>
      <c r="AF4" s="27">
        <f t="shared" ref="AF4:AF34" si="1">BC4</f>
        <v>0</v>
      </c>
      <c r="AG4" s="28">
        <v>1203</v>
      </c>
      <c r="AH4" s="29">
        <v>2593</v>
      </c>
      <c r="AI4" s="29">
        <v>9.25</v>
      </c>
      <c r="AJ4" s="30" t="s">
        <v>32</v>
      </c>
      <c r="AK4" s="30"/>
      <c r="AL4" s="31" t="s">
        <v>32</v>
      </c>
      <c r="AM4" s="30" t="s">
        <v>32</v>
      </c>
      <c r="AN4" s="30" t="s">
        <v>32</v>
      </c>
      <c r="AO4" s="30"/>
      <c r="AP4" s="30"/>
      <c r="AQ4" s="28"/>
      <c r="AR4" s="28" t="s">
        <v>32</v>
      </c>
      <c r="AS4" s="30" t="s">
        <v>32</v>
      </c>
      <c r="AT4" s="30" t="s">
        <v>32</v>
      </c>
      <c r="AU4" s="32" t="s">
        <v>32</v>
      </c>
      <c r="AV4" s="32" t="s">
        <v>32</v>
      </c>
      <c r="AW4" s="29" t="s">
        <v>32</v>
      </c>
      <c r="AX4" s="28" t="s">
        <v>32</v>
      </c>
      <c r="AY4" s="26" t="s">
        <v>32</v>
      </c>
      <c r="AZ4" s="30" t="s">
        <v>32</v>
      </c>
      <c r="BA4" s="30" t="s">
        <v>32</v>
      </c>
      <c r="BB4" s="30"/>
      <c r="BC4" s="33">
        <f>SUM(AJ4:BA4)</f>
        <v>0</v>
      </c>
      <c r="BD4" s="24"/>
      <c r="BE4" s="25">
        <v>45444</v>
      </c>
      <c r="BF4" s="26">
        <v>0</v>
      </c>
      <c r="BG4" s="26">
        <v>0</v>
      </c>
      <c r="BH4" s="27">
        <f t="shared" ref="BH4:BH34" si="2">CE4</f>
        <v>0</v>
      </c>
      <c r="BI4" s="28">
        <v>0</v>
      </c>
      <c r="BJ4" s="29">
        <v>1530</v>
      </c>
      <c r="BK4" s="29">
        <v>6.72</v>
      </c>
      <c r="BL4" s="30" t="s">
        <v>32</v>
      </c>
      <c r="BM4" s="30"/>
      <c r="BN4" s="31" t="s">
        <v>32</v>
      </c>
      <c r="BO4" s="30" t="s">
        <v>32</v>
      </c>
      <c r="BP4" s="30" t="s">
        <v>32</v>
      </c>
      <c r="BQ4" s="30"/>
      <c r="BR4" s="30"/>
      <c r="BS4" s="28"/>
      <c r="BT4" s="28" t="s">
        <v>32</v>
      </c>
      <c r="BU4" s="30" t="s">
        <v>32</v>
      </c>
      <c r="BV4" s="30" t="s">
        <v>32</v>
      </c>
      <c r="BW4" s="32" t="s">
        <v>32</v>
      </c>
      <c r="BX4" s="32" t="s">
        <v>32</v>
      </c>
      <c r="BY4" s="29" t="s">
        <v>32</v>
      </c>
      <c r="BZ4" s="28" t="s">
        <v>32</v>
      </c>
      <c r="CA4" s="26" t="s">
        <v>32</v>
      </c>
      <c r="CB4" s="30" t="s">
        <v>32</v>
      </c>
      <c r="CC4" s="30" t="s">
        <v>32</v>
      </c>
      <c r="CD4" s="30"/>
      <c r="CE4" s="33">
        <f>SUM(BL4:CC4)</f>
        <v>0</v>
      </c>
      <c r="CF4" s="24"/>
      <c r="CG4" s="25">
        <v>45474</v>
      </c>
      <c r="CH4" s="26">
        <v>0</v>
      </c>
      <c r="CI4" s="26">
        <v>0</v>
      </c>
      <c r="CJ4" s="27">
        <f t="shared" ref="CJ4:CJ34" si="3">DG4</f>
        <v>0</v>
      </c>
      <c r="CK4" s="28">
        <v>4089</v>
      </c>
      <c r="CL4" s="29">
        <v>4499</v>
      </c>
      <c r="CM4" s="29">
        <v>8.25</v>
      </c>
      <c r="CN4" s="30" t="s">
        <v>32</v>
      </c>
      <c r="CO4" s="30"/>
      <c r="CP4" s="31" t="s">
        <v>32</v>
      </c>
      <c r="CQ4" s="30" t="s">
        <v>32</v>
      </c>
      <c r="CR4" s="30" t="s">
        <v>32</v>
      </c>
      <c r="CS4" s="30"/>
      <c r="CT4" s="30"/>
      <c r="CU4" s="28"/>
      <c r="CV4" s="28" t="s">
        <v>32</v>
      </c>
      <c r="CW4" s="30" t="s">
        <v>32</v>
      </c>
      <c r="CX4" s="30" t="s">
        <v>32</v>
      </c>
      <c r="CY4" s="32" t="s">
        <v>32</v>
      </c>
      <c r="CZ4" s="32" t="s">
        <v>32</v>
      </c>
      <c r="DA4" s="29" t="s">
        <v>32</v>
      </c>
      <c r="DB4" s="28" t="s">
        <v>32</v>
      </c>
      <c r="DC4" s="26" t="s">
        <v>32</v>
      </c>
      <c r="DD4" s="30" t="s">
        <v>32</v>
      </c>
      <c r="DE4" s="30" t="s">
        <v>32</v>
      </c>
      <c r="DF4" s="30"/>
      <c r="DG4" s="33">
        <f>SUM(CN4:DE4)</f>
        <v>0</v>
      </c>
      <c r="DH4" s="24"/>
      <c r="DI4" s="25">
        <v>45505</v>
      </c>
      <c r="DJ4" s="26">
        <v>0</v>
      </c>
      <c r="DK4" s="26">
        <v>0</v>
      </c>
      <c r="DL4" s="27">
        <f t="shared" ref="DL4:DL34" si="4">EI4</f>
        <v>0</v>
      </c>
      <c r="DM4" s="28">
        <v>1800</v>
      </c>
      <c r="DN4" s="29">
        <v>0</v>
      </c>
      <c r="DO4" s="29">
        <v>8.3000000000000007</v>
      </c>
      <c r="DP4" s="30" t="s">
        <v>32</v>
      </c>
      <c r="DQ4" s="30"/>
      <c r="DR4" s="31" t="s">
        <v>32</v>
      </c>
      <c r="DS4" s="30" t="s">
        <v>32</v>
      </c>
      <c r="DT4" s="30" t="s">
        <v>32</v>
      </c>
      <c r="DU4" s="30"/>
      <c r="DV4" s="30"/>
      <c r="DW4" s="28"/>
      <c r="DX4" s="28" t="s">
        <v>32</v>
      </c>
      <c r="DY4" s="30" t="s">
        <v>32</v>
      </c>
      <c r="DZ4" s="30" t="s">
        <v>32</v>
      </c>
      <c r="EA4" s="32" t="s">
        <v>32</v>
      </c>
      <c r="EB4" s="32" t="s">
        <v>32</v>
      </c>
      <c r="EC4" s="29" t="s">
        <v>32</v>
      </c>
      <c r="ED4" s="28" t="s">
        <v>32</v>
      </c>
      <c r="EE4" s="26" t="s">
        <v>32</v>
      </c>
      <c r="EF4" s="30" t="s">
        <v>32</v>
      </c>
      <c r="EG4" s="30" t="s">
        <v>32</v>
      </c>
      <c r="EH4" s="30"/>
      <c r="EI4" s="33">
        <f>SUM(DP4:EG4)</f>
        <v>0</v>
      </c>
      <c r="EJ4" s="24"/>
      <c r="EK4" s="25">
        <v>45536</v>
      </c>
      <c r="EL4" s="26">
        <v>0</v>
      </c>
      <c r="EM4" s="26">
        <v>0</v>
      </c>
      <c r="EN4" s="27">
        <f t="shared" ref="EN4:EN34" si="5">FK4</f>
        <v>0</v>
      </c>
      <c r="EO4" s="28">
        <v>3676</v>
      </c>
      <c r="EP4" s="29">
        <v>742</v>
      </c>
      <c r="EQ4" s="29">
        <v>10.5</v>
      </c>
      <c r="ER4" s="30" t="s">
        <v>32</v>
      </c>
      <c r="ES4" s="30"/>
      <c r="ET4" s="31" t="s">
        <v>32</v>
      </c>
      <c r="EU4" s="30" t="s">
        <v>32</v>
      </c>
      <c r="EV4" s="30" t="s">
        <v>32</v>
      </c>
      <c r="EW4" s="30"/>
      <c r="EX4" s="30"/>
      <c r="EY4" s="28"/>
      <c r="EZ4" s="28" t="s">
        <v>32</v>
      </c>
      <c r="FA4" s="30" t="s">
        <v>32</v>
      </c>
      <c r="FB4" s="30" t="s">
        <v>32</v>
      </c>
      <c r="FC4" s="32" t="s">
        <v>32</v>
      </c>
      <c r="FD4" s="32" t="s">
        <v>32</v>
      </c>
      <c r="FE4" s="29" t="s">
        <v>32</v>
      </c>
      <c r="FF4" s="28" t="s">
        <v>32</v>
      </c>
      <c r="FG4" s="26" t="s">
        <v>32</v>
      </c>
      <c r="FH4" s="30" t="s">
        <v>32</v>
      </c>
      <c r="FI4" s="30" t="s">
        <v>32</v>
      </c>
      <c r="FJ4" s="30"/>
      <c r="FK4" s="33">
        <f>SUM(ER4:FI4)</f>
        <v>0</v>
      </c>
      <c r="FL4" s="24"/>
      <c r="FM4" s="25">
        <v>45566</v>
      </c>
      <c r="FN4" s="26">
        <v>0</v>
      </c>
      <c r="FO4" s="26">
        <v>0</v>
      </c>
      <c r="FP4" s="27">
        <f t="shared" ref="FP4:FP34" si="6">GM4</f>
        <v>0</v>
      </c>
      <c r="FQ4" s="28">
        <v>1633</v>
      </c>
      <c r="FR4" s="29">
        <v>2514</v>
      </c>
      <c r="FS4" s="29">
        <v>4.5</v>
      </c>
      <c r="FT4" s="30" t="s">
        <v>32</v>
      </c>
      <c r="FU4" s="30"/>
      <c r="FV4" s="31" t="s">
        <v>32</v>
      </c>
      <c r="FW4" s="30" t="s">
        <v>32</v>
      </c>
      <c r="FX4" s="30" t="s">
        <v>32</v>
      </c>
      <c r="FY4" s="30"/>
      <c r="FZ4" s="30"/>
      <c r="GA4" s="28"/>
      <c r="GB4" s="28" t="s">
        <v>32</v>
      </c>
      <c r="GC4" s="30" t="s">
        <v>32</v>
      </c>
      <c r="GD4" s="30" t="s">
        <v>32</v>
      </c>
      <c r="GE4" s="32" t="s">
        <v>32</v>
      </c>
      <c r="GF4" s="32" t="s">
        <v>32</v>
      </c>
      <c r="GG4" s="29" t="s">
        <v>32</v>
      </c>
      <c r="GH4" s="28" t="s">
        <v>32</v>
      </c>
      <c r="GI4" s="26" t="s">
        <v>32</v>
      </c>
      <c r="GJ4" s="30" t="s">
        <v>32</v>
      </c>
      <c r="GK4" s="30" t="s">
        <v>32</v>
      </c>
      <c r="GL4" s="30"/>
      <c r="GM4" s="33">
        <f>SUM(FT4:GK4)</f>
        <v>0</v>
      </c>
      <c r="GN4" s="24"/>
      <c r="GO4" s="25">
        <v>45597</v>
      </c>
      <c r="GP4" s="26">
        <v>0</v>
      </c>
      <c r="GQ4" s="26">
        <v>0</v>
      </c>
      <c r="GR4" s="27">
        <f t="shared" ref="GR4:GR34" si="7">HO4</f>
        <v>0</v>
      </c>
      <c r="GS4" s="28">
        <v>0</v>
      </c>
      <c r="GT4" s="29">
        <v>0</v>
      </c>
      <c r="GU4" s="29">
        <v>0</v>
      </c>
      <c r="GV4" s="30" t="s">
        <v>32</v>
      </c>
      <c r="GW4" s="30"/>
      <c r="GX4" s="31" t="s">
        <v>32</v>
      </c>
      <c r="GY4" s="30" t="s">
        <v>32</v>
      </c>
      <c r="GZ4" s="30" t="s">
        <v>32</v>
      </c>
      <c r="HA4" s="30"/>
      <c r="HB4" s="30"/>
      <c r="HC4" s="28"/>
      <c r="HD4" s="28" t="s">
        <v>32</v>
      </c>
      <c r="HE4" s="30" t="s">
        <v>32</v>
      </c>
      <c r="HF4" s="30" t="s">
        <v>32</v>
      </c>
      <c r="HG4" s="32" t="s">
        <v>32</v>
      </c>
      <c r="HH4" s="32" t="s">
        <v>32</v>
      </c>
      <c r="HI4" s="29" t="s">
        <v>32</v>
      </c>
      <c r="HJ4" s="28" t="s">
        <v>32</v>
      </c>
      <c r="HK4" s="26" t="s">
        <v>32</v>
      </c>
      <c r="HL4" s="30" t="s">
        <v>32</v>
      </c>
      <c r="HM4" s="30" t="s">
        <v>32</v>
      </c>
      <c r="HN4" s="30"/>
      <c r="HO4" s="33">
        <f>SUM(GV4:HM4)</f>
        <v>0</v>
      </c>
      <c r="HP4" s="24"/>
      <c r="HQ4" s="25">
        <v>45627</v>
      </c>
      <c r="HR4" s="26">
        <v>0</v>
      </c>
      <c r="HS4" s="26">
        <v>0</v>
      </c>
      <c r="HT4" s="27">
        <f t="shared" ref="HT4:HT34" si="8">IQ4</f>
        <v>0</v>
      </c>
      <c r="HU4" s="28">
        <v>4189</v>
      </c>
      <c r="HV4" s="29">
        <v>3107</v>
      </c>
      <c r="HW4" s="29">
        <v>7</v>
      </c>
      <c r="HX4" s="30" t="s">
        <v>32</v>
      </c>
      <c r="HY4" s="30"/>
      <c r="HZ4" s="31" t="s">
        <v>32</v>
      </c>
      <c r="IA4" s="30" t="s">
        <v>32</v>
      </c>
      <c r="IB4" s="30" t="s">
        <v>32</v>
      </c>
      <c r="IC4" s="30"/>
      <c r="ID4" s="30"/>
      <c r="IE4" s="28"/>
      <c r="IF4" s="28" t="s">
        <v>32</v>
      </c>
      <c r="IG4" s="30" t="s">
        <v>32</v>
      </c>
      <c r="IH4" s="30" t="s">
        <v>32</v>
      </c>
      <c r="II4" s="32" t="s">
        <v>32</v>
      </c>
      <c r="IJ4" s="32" t="s">
        <v>32</v>
      </c>
      <c r="IK4" s="29" t="s">
        <v>32</v>
      </c>
      <c r="IL4" s="28" t="s">
        <v>32</v>
      </c>
      <c r="IM4" s="26" t="s">
        <v>32</v>
      </c>
      <c r="IN4" s="30" t="s">
        <v>32</v>
      </c>
      <c r="IO4" s="30" t="s">
        <v>32</v>
      </c>
      <c r="IP4" s="30"/>
      <c r="IQ4" s="33">
        <f>SUM(HX4:IO4)</f>
        <v>0</v>
      </c>
      <c r="IR4" s="24"/>
      <c r="IS4" s="25">
        <v>45658</v>
      </c>
      <c r="IT4" s="26">
        <v>0</v>
      </c>
      <c r="IU4" s="26">
        <v>0</v>
      </c>
      <c r="IV4" s="27">
        <f t="shared" ref="IV4:IV34" si="9">JS4</f>
        <v>0</v>
      </c>
      <c r="IW4" s="28">
        <v>2416</v>
      </c>
      <c r="IX4" s="29">
        <v>990</v>
      </c>
      <c r="IY4" s="29">
        <v>2</v>
      </c>
      <c r="IZ4" s="30" t="s">
        <v>32</v>
      </c>
      <c r="JA4" s="30"/>
      <c r="JB4" s="31" t="s">
        <v>32</v>
      </c>
      <c r="JC4" s="30" t="s">
        <v>32</v>
      </c>
      <c r="JD4" s="30" t="s">
        <v>32</v>
      </c>
      <c r="JE4" s="30"/>
      <c r="JF4" s="30"/>
      <c r="JG4" s="28"/>
      <c r="JH4" s="28" t="s">
        <v>32</v>
      </c>
      <c r="JI4" s="30" t="s">
        <v>32</v>
      </c>
      <c r="JJ4" s="30" t="s">
        <v>32</v>
      </c>
      <c r="JK4" s="32" t="s">
        <v>32</v>
      </c>
      <c r="JL4" s="32" t="s">
        <v>32</v>
      </c>
      <c r="JM4" s="29" t="s">
        <v>32</v>
      </c>
      <c r="JN4" s="28" t="s">
        <v>32</v>
      </c>
      <c r="JO4" s="26" t="s">
        <v>32</v>
      </c>
      <c r="JP4" s="30" t="s">
        <v>32</v>
      </c>
      <c r="JQ4" s="30" t="s">
        <v>32</v>
      </c>
      <c r="JR4" s="30"/>
      <c r="JS4" s="33">
        <f>SUM(IZ4:JQ4)</f>
        <v>0</v>
      </c>
      <c r="JT4" s="24"/>
      <c r="JU4" s="25">
        <v>45689</v>
      </c>
      <c r="JV4" s="26">
        <v>0</v>
      </c>
      <c r="JW4" s="26">
        <v>0</v>
      </c>
      <c r="JX4" s="27">
        <f t="shared" ref="JX4:JX34" si="10">KU4</f>
        <v>0</v>
      </c>
      <c r="JY4" s="28">
        <v>1724</v>
      </c>
      <c r="JZ4" s="29">
        <v>5098</v>
      </c>
      <c r="KA4" s="29">
        <v>8.5</v>
      </c>
      <c r="KB4" s="30" t="s">
        <v>32</v>
      </c>
      <c r="KC4" s="30"/>
      <c r="KD4" s="31" t="s">
        <v>32</v>
      </c>
      <c r="KE4" s="30" t="s">
        <v>32</v>
      </c>
      <c r="KF4" s="30" t="s">
        <v>32</v>
      </c>
      <c r="KG4" s="30"/>
      <c r="KH4" s="30"/>
      <c r="KI4" s="28"/>
      <c r="KJ4" s="28" t="s">
        <v>32</v>
      </c>
      <c r="KK4" s="30" t="s">
        <v>32</v>
      </c>
      <c r="KL4" s="30" t="s">
        <v>32</v>
      </c>
      <c r="KM4" s="32" t="s">
        <v>32</v>
      </c>
      <c r="KN4" s="32" t="s">
        <v>32</v>
      </c>
      <c r="KO4" s="29" t="s">
        <v>32</v>
      </c>
      <c r="KP4" s="28" t="s">
        <v>32</v>
      </c>
      <c r="KQ4" s="26" t="s">
        <v>32</v>
      </c>
      <c r="KR4" s="30" t="s">
        <v>32</v>
      </c>
      <c r="KS4" s="30" t="s">
        <v>32</v>
      </c>
      <c r="KT4" s="30"/>
      <c r="KU4" s="33">
        <f>SUM(KB4:KS4)</f>
        <v>0</v>
      </c>
      <c r="KV4" s="24"/>
      <c r="KW4" s="25">
        <v>45717</v>
      </c>
      <c r="KX4" s="26">
        <v>0</v>
      </c>
      <c r="KY4" s="26">
        <v>0</v>
      </c>
      <c r="KZ4" s="27">
        <f t="shared" ref="KZ4:KZ34" si="11">LW4</f>
        <v>0</v>
      </c>
      <c r="LA4" s="28">
        <v>1080</v>
      </c>
      <c r="LB4" s="29">
        <v>1804</v>
      </c>
      <c r="LC4" s="29">
        <v>4.25</v>
      </c>
      <c r="LD4" s="30" t="s">
        <v>32</v>
      </c>
      <c r="LE4" s="30"/>
      <c r="LF4" s="31" t="s">
        <v>32</v>
      </c>
      <c r="LG4" s="30" t="s">
        <v>32</v>
      </c>
      <c r="LH4" s="30" t="s">
        <v>32</v>
      </c>
      <c r="LI4" s="30"/>
      <c r="LJ4" s="30"/>
      <c r="LK4" s="28"/>
      <c r="LL4" s="28" t="s">
        <v>32</v>
      </c>
      <c r="LM4" s="30" t="s">
        <v>32</v>
      </c>
      <c r="LN4" s="30" t="s">
        <v>32</v>
      </c>
      <c r="LO4" s="32" t="s">
        <v>32</v>
      </c>
      <c r="LP4" s="32" t="s">
        <v>32</v>
      </c>
      <c r="LQ4" s="29" t="s">
        <v>32</v>
      </c>
      <c r="LR4" s="28" t="s">
        <v>32</v>
      </c>
      <c r="LS4" s="26" t="s">
        <v>32</v>
      </c>
      <c r="LT4" s="30" t="s">
        <v>32</v>
      </c>
      <c r="LU4" s="30" t="s">
        <v>32</v>
      </c>
      <c r="LV4" s="30"/>
      <c r="LW4" s="33">
        <f>SUM(LD4:LU4)</f>
        <v>0</v>
      </c>
      <c r="LX4" s="24"/>
    </row>
    <row r="5" spans="1:336" x14ac:dyDescent="0.3">
      <c r="A5" s="25">
        <v>45384</v>
      </c>
      <c r="B5" s="26">
        <v>0</v>
      </c>
      <c r="C5" s="26">
        <v>0</v>
      </c>
      <c r="D5" s="27">
        <f t="shared" si="0"/>
        <v>0</v>
      </c>
      <c r="E5" s="28">
        <v>0</v>
      </c>
      <c r="F5" s="29">
        <v>0</v>
      </c>
      <c r="G5" s="29">
        <v>0</v>
      </c>
      <c r="H5" s="34" t="s">
        <v>32</v>
      </c>
      <c r="I5" s="34"/>
      <c r="J5" s="31" t="s">
        <v>32</v>
      </c>
      <c r="K5" s="34" t="s">
        <v>32</v>
      </c>
      <c r="L5" s="32" t="s">
        <v>32</v>
      </c>
      <c r="M5" s="32"/>
      <c r="N5" s="34" t="s">
        <v>32</v>
      </c>
      <c r="O5" s="28" t="s">
        <v>32</v>
      </c>
      <c r="P5" s="28" t="s">
        <v>32</v>
      </c>
      <c r="Q5" s="34" t="s">
        <v>32</v>
      </c>
      <c r="R5" s="34" t="s">
        <v>32</v>
      </c>
      <c r="S5" s="32" t="s">
        <v>32</v>
      </c>
      <c r="T5" s="32" t="s">
        <v>32</v>
      </c>
      <c r="U5" s="29" t="s">
        <v>32</v>
      </c>
      <c r="V5" s="28"/>
      <c r="W5" s="26" t="s">
        <v>32</v>
      </c>
      <c r="X5" s="34" t="s">
        <v>32</v>
      </c>
      <c r="Y5" s="34" t="s">
        <v>32</v>
      </c>
      <c r="Z5" s="34" t="s">
        <v>32</v>
      </c>
      <c r="AA5" s="33">
        <f>SUM(H5:Y5)</f>
        <v>0</v>
      </c>
      <c r="AB5" s="24"/>
      <c r="AC5" s="25">
        <v>45414</v>
      </c>
      <c r="AD5" s="26">
        <v>147</v>
      </c>
      <c r="AE5" s="26">
        <v>70000</v>
      </c>
      <c r="AF5" s="27">
        <f t="shared" si="1"/>
        <v>221887</v>
      </c>
      <c r="AG5" s="28">
        <v>1155</v>
      </c>
      <c r="AH5" s="29">
        <v>0</v>
      </c>
      <c r="AI5" s="29">
        <v>5.25</v>
      </c>
      <c r="AJ5" s="34">
        <v>41740</v>
      </c>
      <c r="AK5" s="34">
        <v>38306</v>
      </c>
      <c r="AL5" s="31">
        <v>140100</v>
      </c>
      <c r="AM5" s="34" t="s">
        <v>32</v>
      </c>
      <c r="AN5" s="32">
        <v>100</v>
      </c>
      <c r="AO5" s="32"/>
      <c r="AP5" s="34" t="s">
        <v>32</v>
      </c>
      <c r="AQ5" s="28" t="s">
        <v>32</v>
      </c>
      <c r="AR5" s="28" t="s">
        <v>32</v>
      </c>
      <c r="AS5" s="34">
        <v>1400</v>
      </c>
      <c r="AT5" s="34" t="s">
        <v>32</v>
      </c>
      <c r="AU5" s="32" t="s">
        <v>32</v>
      </c>
      <c r="AV5" s="32" t="s">
        <v>32</v>
      </c>
      <c r="AW5" s="29" t="s">
        <v>32</v>
      </c>
      <c r="AX5" s="28"/>
      <c r="AY5" s="26">
        <v>241</v>
      </c>
      <c r="AZ5" s="34" t="s">
        <v>40</v>
      </c>
      <c r="BA5" s="34" t="s">
        <v>32</v>
      </c>
      <c r="BB5" s="34" t="s">
        <v>32</v>
      </c>
      <c r="BC5" s="33">
        <f>SUM(AJ5:BA5)</f>
        <v>221887</v>
      </c>
      <c r="BD5" s="24"/>
      <c r="BE5" s="25">
        <v>45445</v>
      </c>
      <c r="BF5" s="26">
        <v>166</v>
      </c>
      <c r="BG5" s="26">
        <v>8450</v>
      </c>
      <c r="BH5" s="27">
        <f t="shared" si="2"/>
        <v>73200</v>
      </c>
      <c r="BI5" s="28">
        <v>550</v>
      </c>
      <c r="BJ5" s="29">
        <v>2218</v>
      </c>
      <c r="BK5" s="29">
        <v>7.15</v>
      </c>
      <c r="BL5" s="34" t="s">
        <v>32</v>
      </c>
      <c r="BM5" s="34"/>
      <c r="BN5" s="31" t="s">
        <v>32</v>
      </c>
      <c r="BO5" s="34" t="s">
        <v>32</v>
      </c>
      <c r="BP5" s="32">
        <v>1500</v>
      </c>
      <c r="BQ5" s="32">
        <v>70000</v>
      </c>
      <c r="BR5" s="34" t="s">
        <v>32</v>
      </c>
      <c r="BS5" s="28">
        <v>1700</v>
      </c>
      <c r="BT5" s="28" t="s">
        <v>32</v>
      </c>
      <c r="BU5" s="34" t="s">
        <v>32</v>
      </c>
      <c r="BV5" s="34" t="s">
        <v>32</v>
      </c>
      <c r="BW5" s="32" t="s">
        <v>32</v>
      </c>
      <c r="BX5" s="32" t="s">
        <v>32</v>
      </c>
      <c r="BY5" s="29" t="s">
        <v>32</v>
      </c>
      <c r="BZ5" s="28"/>
      <c r="CA5" s="26" t="s">
        <v>32</v>
      </c>
      <c r="CB5" s="34" t="s">
        <v>32</v>
      </c>
      <c r="CC5" s="34" t="s">
        <v>32</v>
      </c>
      <c r="CD5" s="34" t="s">
        <v>32</v>
      </c>
      <c r="CE5" s="33">
        <f>SUM(BL5:CC5)</f>
        <v>73200</v>
      </c>
      <c r="CF5" s="24"/>
      <c r="CG5" s="25">
        <v>45475</v>
      </c>
      <c r="CH5" s="26">
        <v>7996</v>
      </c>
      <c r="CI5" s="26">
        <v>197654</v>
      </c>
      <c r="CJ5" s="27">
        <f t="shared" si="3"/>
        <v>12550</v>
      </c>
      <c r="CK5" s="28">
        <v>3623</v>
      </c>
      <c r="CL5" s="29">
        <v>1890</v>
      </c>
      <c r="CM5" s="29">
        <v>7</v>
      </c>
      <c r="CN5" s="34" t="s">
        <v>32</v>
      </c>
      <c r="CO5" s="34"/>
      <c r="CP5" s="31">
        <v>8000</v>
      </c>
      <c r="CQ5" s="34" t="s">
        <v>32</v>
      </c>
      <c r="CR5" s="32">
        <v>1550</v>
      </c>
      <c r="CS5" s="32">
        <v>3000</v>
      </c>
      <c r="CT5" s="34" t="s">
        <v>32</v>
      </c>
      <c r="CU5" s="28" t="s">
        <v>32</v>
      </c>
      <c r="CV5" s="28" t="s">
        <v>32</v>
      </c>
      <c r="CW5" s="34" t="s">
        <v>32</v>
      </c>
      <c r="CX5" s="34" t="s">
        <v>32</v>
      </c>
      <c r="CY5" s="32" t="s">
        <v>32</v>
      </c>
      <c r="CZ5" s="32" t="s">
        <v>32</v>
      </c>
      <c r="DA5" s="29" t="s">
        <v>32</v>
      </c>
      <c r="DB5" s="28"/>
      <c r="DC5" s="26" t="s">
        <v>32</v>
      </c>
      <c r="DD5" s="34" t="s">
        <v>32</v>
      </c>
      <c r="DE5" s="34" t="s">
        <v>32</v>
      </c>
      <c r="DF5" s="34" t="s">
        <v>32</v>
      </c>
      <c r="DG5" s="33">
        <f>SUM(CN5:DE5)</f>
        <v>12550</v>
      </c>
      <c r="DH5" s="24"/>
      <c r="DI5" s="25">
        <v>45506</v>
      </c>
      <c r="DJ5" s="26">
        <v>8913</v>
      </c>
      <c r="DK5" s="26">
        <v>391985</v>
      </c>
      <c r="DL5" s="27">
        <f t="shared" si="4"/>
        <v>85900</v>
      </c>
      <c r="DM5" s="28">
        <v>2413</v>
      </c>
      <c r="DN5" s="29">
        <v>0</v>
      </c>
      <c r="DO5" s="29">
        <v>5</v>
      </c>
      <c r="DP5" s="34" t="s">
        <v>32</v>
      </c>
      <c r="DQ5" s="34"/>
      <c r="DR5" s="31">
        <v>20000</v>
      </c>
      <c r="DS5" s="34" t="s">
        <v>32</v>
      </c>
      <c r="DT5" s="32" t="s">
        <v>32</v>
      </c>
      <c r="DU5" s="32"/>
      <c r="DV5" s="34" t="s">
        <v>32</v>
      </c>
      <c r="DW5" s="28">
        <v>65900</v>
      </c>
      <c r="DX5" s="28" t="s">
        <v>32</v>
      </c>
      <c r="DY5" s="34" t="s">
        <v>32</v>
      </c>
      <c r="DZ5" s="34" t="s">
        <v>32</v>
      </c>
      <c r="EA5" s="32" t="s">
        <v>32</v>
      </c>
      <c r="EB5" s="32" t="s">
        <v>32</v>
      </c>
      <c r="EC5" s="29" t="s">
        <v>32</v>
      </c>
      <c r="ED5" s="28"/>
      <c r="EE5" s="26" t="s">
        <v>32</v>
      </c>
      <c r="EF5" s="34" t="s">
        <v>32</v>
      </c>
      <c r="EG5" s="34" t="s">
        <v>32</v>
      </c>
      <c r="EH5" s="34" t="s">
        <v>32</v>
      </c>
      <c r="EI5" s="33">
        <f>SUM(DP5:EG5)</f>
        <v>85900</v>
      </c>
      <c r="EJ5" s="24"/>
      <c r="EK5" s="25">
        <v>45537</v>
      </c>
      <c r="EL5" s="26">
        <v>8439</v>
      </c>
      <c r="EM5" s="26">
        <v>265235</v>
      </c>
      <c r="EN5" s="27">
        <f t="shared" si="5"/>
        <v>121339</v>
      </c>
      <c r="EO5" s="28">
        <v>771</v>
      </c>
      <c r="EP5" s="29">
        <v>3358</v>
      </c>
      <c r="EQ5" s="29">
        <v>5</v>
      </c>
      <c r="ER5" s="34" t="s">
        <v>32</v>
      </c>
      <c r="ES5" s="34"/>
      <c r="ET5" s="31" t="s">
        <v>32</v>
      </c>
      <c r="EU5" s="34">
        <v>80000</v>
      </c>
      <c r="EV5" s="32" t="s">
        <v>32</v>
      </c>
      <c r="EW5" s="32"/>
      <c r="EX5" s="34">
        <v>40000</v>
      </c>
      <c r="EY5" s="28" t="s">
        <v>32</v>
      </c>
      <c r="EZ5" s="28" t="s">
        <v>32</v>
      </c>
      <c r="FA5" s="34">
        <v>1339</v>
      </c>
      <c r="FB5" s="34" t="s">
        <v>32</v>
      </c>
      <c r="FC5" s="32" t="s">
        <v>32</v>
      </c>
      <c r="FD5" s="32" t="s">
        <v>32</v>
      </c>
      <c r="FE5" s="29" t="s">
        <v>32</v>
      </c>
      <c r="FF5" s="28"/>
      <c r="FG5" s="26" t="s">
        <v>32</v>
      </c>
      <c r="FH5" s="34" t="s">
        <v>32</v>
      </c>
      <c r="FI5" s="34" t="s">
        <v>32</v>
      </c>
      <c r="FJ5" s="34" t="s">
        <v>32</v>
      </c>
      <c r="FK5" s="33">
        <f>SUM(ER5:FI5)</f>
        <v>121339</v>
      </c>
      <c r="FL5" s="24"/>
      <c r="FM5" s="25">
        <v>45567</v>
      </c>
      <c r="FN5" s="26">
        <v>147</v>
      </c>
      <c r="FO5" s="26">
        <v>8700</v>
      </c>
      <c r="FP5" s="27">
        <f t="shared" si="6"/>
        <v>73990</v>
      </c>
      <c r="FQ5" s="28">
        <v>0</v>
      </c>
      <c r="FR5" s="29">
        <v>0</v>
      </c>
      <c r="FS5" s="29">
        <v>0</v>
      </c>
      <c r="FT5" s="34">
        <v>12806</v>
      </c>
      <c r="FU5" s="34">
        <v>15694</v>
      </c>
      <c r="FV5" s="31" t="s">
        <v>32</v>
      </c>
      <c r="FW5" s="34" t="s">
        <v>32</v>
      </c>
      <c r="FX5" s="32">
        <v>340</v>
      </c>
      <c r="FY5" s="32"/>
      <c r="FZ5" s="34">
        <v>30100</v>
      </c>
      <c r="GA5" s="28" t="s">
        <v>32</v>
      </c>
      <c r="GB5" s="28">
        <v>500</v>
      </c>
      <c r="GC5" s="34">
        <v>2350</v>
      </c>
      <c r="GD5" s="34" t="s">
        <v>32</v>
      </c>
      <c r="GE5" s="32" t="s">
        <v>32</v>
      </c>
      <c r="GF5" s="32" t="s">
        <v>32</v>
      </c>
      <c r="GG5" s="29" t="s">
        <v>32</v>
      </c>
      <c r="GH5" s="28" t="s">
        <v>32</v>
      </c>
      <c r="GI5" s="26">
        <v>12200</v>
      </c>
      <c r="GJ5" s="34" t="s">
        <v>40</v>
      </c>
      <c r="GK5" s="34" t="s">
        <v>32</v>
      </c>
      <c r="GL5" s="34" t="s">
        <v>32</v>
      </c>
      <c r="GM5" s="33">
        <f>SUM(FT5:GK5)</f>
        <v>73990</v>
      </c>
      <c r="GN5" s="24"/>
      <c r="GO5" s="25">
        <v>45598</v>
      </c>
      <c r="GP5" s="26">
        <v>0</v>
      </c>
      <c r="GQ5" s="26">
        <v>0</v>
      </c>
      <c r="GR5" s="27">
        <f t="shared" si="7"/>
        <v>0</v>
      </c>
      <c r="GS5" s="28">
        <v>1606</v>
      </c>
      <c r="GT5" s="29">
        <v>0</v>
      </c>
      <c r="GU5" s="29">
        <v>2</v>
      </c>
      <c r="GV5" s="34" t="s">
        <v>32</v>
      </c>
      <c r="GW5" s="34"/>
      <c r="GX5" s="31" t="s">
        <v>32</v>
      </c>
      <c r="GY5" s="34" t="s">
        <v>32</v>
      </c>
      <c r="GZ5" s="32" t="s">
        <v>32</v>
      </c>
      <c r="HA5" s="32"/>
      <c r="HB5" s="34" t="s">
        <v>32</v>
      </c>
      <c r="HC5" s="28" t="s">
        <v>32</v>
      </c>
      <c r="HD5" s="28" t="s">
        <v>32</v>
      </c>
      <c r="HE5" s="34" t="s">
        <v>32</v>
      </c>
      <c r="HF5" s="34" t="s">
        <v>32</v>
      </c>
      <c r="HG5" s="32" t="s">
        <v>32</v>
      </c>
      <c r="HH5" s="32" t="s">
        <v>32</v>
      </c>
      <c r="HI5" s="29" t="s">
        <v>32</v>
      </c>
      <c r="HJ5" s="28"/>
      <c r="HK5" s="26" t="s">
        <v>32</v>
      </c>
      <c r="HL5" s="34" t="s">
        <v>32</v>
      </c>
      <c r="HM5" s="34" t="s">
        <v>32</v>
      </c>
      <c r="HN5" s="34" t="s">
        <v>32</v>
      </c>
      <c r="HO5" s="33">
        <f>SUM(GV5:HM5)</f>
        <v>0</v>
      </c>
      <c r="HP5" s="24"/>
      <c r="HQ5" s="25">
        <v>45628</v>
      </c>
      <c r="HR5" s="26">
        <v>0</v>
      </c>
      <c r="HS5" s="26">
        <v>0</v>
      </c>
      <c r="HT5" s="27">
        <f t="shared" si="8"/>
        <v>33975</v>
      </c>
      <c r="HU5" s="28">
        <v>3396</v>
      </c>
      <c r="HV5" s="29">
        <v>0</v>
      </c>
      <c r="HW5" s="29">
        <v>6.75</v>
      </c>
      <c r="HX5" s="34" t="s">
        <v>32</v>
      </c>
      <c r="HY5" s="34"/>
      <c r="HZ5" s="31" t="s">
        <v>32</v>
      </c>
      <c r="IA5" s="34" t="s">
        <v>32</v>
      </c>
      <c r="IB5" s="32" t="s">
        <v>32</v>
      </c>
      <c r="IC5" s="32"/>
      <c r="ID5" s="34">
        <v>32000</v>
      </c>
      <c r="IE5" s="28" t="s">
        <v>32</v>
      </c>
      <c r="IF5" s="28" t="s">
        <v>32</v>
      </c>
      <c r="IG5" s="34">
        <v>1975</v>
      </c>
      <c r="IH5" s="34" t="s">
        <v>32</v>
      </c>
      <c r="II5" s="32" t="s">
        <v>32</v>
      </c>
      <c r="IJ5" s="32" t="s">
        <v>32</v>
      </c>
      <c r="IK5" s="29" t="s">
        <v>32</v>
      </c>
      <c r="IL5" s="28"/>
      <c r="IM5" s="26" t="s">
        <v>32</v>
      </c>
      <c r="IN5" s="34" t="s">
        <v>32</v>
      </c>
      <c r="IO5" s="34" t="s">
        <v>32</v>
      </c>
      <c r="IP5" s="34" t="s">
        <v>32</v>
      </c>
      <c r="IQ5" s="33">
        <f>SUM(HX5:IO5)</f>
        <v>33975</v>
      </c>
      <c r="IR5" s="24"/>
      <c r="IS5" s="25">
        <v>45659</v>
      </c>
      <c r="IT5" s="26">
        <v>0</v>
      </c>
      <c r="IU5" s="26">
        <v>0</v>
      </c>
      <c r="IV5" s="27">
        <f t="shared" si="9"/>
        <v>360370</v>
      </c>
      <c r="IW5" s="28">
        <v>3608</v>
      </c>
      <c r="IX5" s="29">
        <v>1282</v>
      </c>
      <c r="IY5" s="29">
        <v>1.1499999999999999</v>
      </c>
      <c r="IZ5" s="34" t="s">
        <v>32</v>
      </c>
      <c r="JA5" s="34"/>
      <c r="JB5" s="31">
        <v>139000</v>
      </c>
      <c r="JC5" s="34">
        <v>170000</v>
      </c>
      <c r="JD5" s="32" t="s">
        <v>32</v>
      </c>
      <c r="JE5" s="32"/>
      <c r="JF5" s="34">
        <v>50000</v>
      </c>
      <c r="JG5" s="28" t="s">
        <v>32</v>
      </c>
      <c r="JH5" s="28" t="s">
        <v>32</v>
      </c>
      <c r="JI5" s="34">
        <v>1370</v>
      </c>
      <c r="JJ5" s="34" t="s">
        <v>32</v>
      </c>
      <c r="JK5" s="32" t="s">
        <v>32</v>
      </c>
      <c r="JL5" s="32" t="s">
        <v>32</v>
      </c>
      <c r="JM5" s="29" t="s">
        <v>32</v>
      </c>
      <c r="JN5" s="28"/>
      <c r="JO5" s="26" t="s">
        <v>32</v>
      </c>
      <c r="JP5" s="34" t="s">
        <v>32</v>
      </c>
      <c r="JQ5" s="34" t="s">
        <v>32</v>
      </c>
      <c r="JR5" s="34" t="s">
        <v>32</v>
      </c>
      <c r="JS5" s="33">
        <f>SUM(IZ5:JQ5)</f>
        <v>360370</v>
      </c>
      <c r="JT5" s="24"/>
      <c r="JU5" s="25">
        <v>45690</v>
      </c>
      <c r="JV5" s="26">
        <v>8582</v>
      </c>
      <c r="JW5" s="26">
        <v>615817</v>
      </c>
      <c r="JX5" s="27">
        <f t="shared" si="10"/>
        <v>92000</v>
      </c>
      <c r="JY5" s="28">
        <v>2130</v>
      </c>
      <c r="JZ5" s="29">
        <v>1216</v>
      </c>
      <c r="KA5" s="29">
        <v>8</v>
      </c>
      <c r="KB5" s="34">
        <v>24000</v>
      </c>
      <c r="KC5" s="34"/>
      <c r="KD5" s="31">
        <v>66000</v>
      </c>
      <c r="KE5" s="34" t="s">
        <v>32</v>
      </c>
      <c r="KF5" s="32">
        <v>570</v>
      </c>
      <c r="KG5" s="32"/>
      <c r="KH5" s="34" t="s">
        <v>32</v>
      </c>
      <c r="KI5" s="28" t="s">
        <v>32</v>
      </c>
      <c r="KJ5" s="28" t="s">
        <v>32</v>
      </c>
      <c r="KK5" s="34">
        <v>1140</v>
      </c>
      <c r="KL5" s="34" t="s">
        <v>32</v>
      </c>
      <c r="KM5" s="32">
        <v>290</v>
      </c>
      <c r="KN5" s="32" t="s">
        <v>51</v>
      </c>
      <c r="KO5" s="29" t="s">
        <v>32</v>
      </c>
      <c r="KP5" s="28"/>
      <c r="KQ5" s="26" t="s">
        <v>32</v>
      </c>
      <c r="KR5" s="34" t="s">
        <v>32</v>
      </c>
      <c r="KS5" s="34" t="s">
        <v>32</v>
      </c>
      <c r="KT5" s="34" t="s">
        <v>32</v>
      </c>
      <c r="KU5" s="33">
        <f>SUM(KB5:KS5)</f>
        <v>92000</v>
      </c>
      <c r="KV5" s="24"/>
      <c r="KW5" s="25">
        <v>45718</v>
      </c>
      <c r="KX5" s="26">
        <v>9767</v>
      </c>
      <c r="KY5" s="26">
        <v>355438</v>
      </c>
      <c r="KZ5" s="27">
        <f t="shared" si="11"/>
        <v>1630</v>
      </c>
      <c r="LA5" s="28">
        <v>2168</v>
      </c>
      <c r="LB5" s="29">
        <v>2121</v>
      </c>
      <c r="LC5" s="29">
        <v>7.25</v>
      </c>
      <c r="LD5" s="34" t="s">
        <v>32</v>
      </c>
      <c r="LE5" s="34"/>
      <c r="LF5" s="31" t="s">
        <v>32</v>
      </c>
      <c r="LG5" s="34" t="s">
        <v>32</v>
      </c>
      <c r="LH5" s="32" t="s">
        <v>32</v>
      </c>
      <c r="LI5" s="32"/>
      <c r="LJ5" s="34" t="s">
        <v>32</v>
      </c>
      <c r="LK5" s="28" t="s">
        <v>32</v>
      </c>
      <c r="LL5" s="28" t="s">
        <v>32</v>
      </c>
      <c r="LM5" s="34">
        <v>1630</v>
      </c>
      <c r="LN5" s="34" t="s">
        <v>32</v>
      </c>
      <c r="LO5" s="32" t="s">
        <v>32</v>
      </c>
      <c r="LP5" s="32" t="s">
        <v>32</v>
      </c>
      <c r="LQ5" s="29" t="s">
        <v>32</v>
      </c>
      <c r="LR5" s="28"/>
      <c r="LS5" s="26" t="s">
        <v>32</v>
      </c>
      <c r="LT5" s="34" t="s">
        <v>32</v>
      </c>
      <c r="LU5" s="34" t="s">
        <v>32</v>
      </c>
      <c r="LV5" s="34" t="s">
        <v>32</v>
      </c>
      <c r="LW5" s="33">
        <f>SUM(LD5:LU5)</f>
        <v>1630</v>
      </c>
      <c r="LX5" s="24"/>
    </row>
    <row r="6" spans="1:336" x14ac:dyDescent="0.3">
      <c r="A6" s="25">
        <v>45385</v>
      </c>
      <c r="B6" s="26">
        <v>0</v>
      </c>
      <c r="C6" s="26">
        <v>0</v>
      </c>
      <c r="D6" s="27">
        <f t="shared" si="0"/>
        <v>0</v>
      </c>
      <c r="E6" s="28">
        <v>0</v>
      </c>
      <c r="F6" s="29">
        <v>0</v>
      </c>
      <c r="G6" s="29">
        <v>0</v>
      </c>
      <c r="H6" s="34" t="s">
        <v>32</v>
      </c>
      <c r="I6" s="34"/>
      <c r="J6" s="31" t="s">
        <v>32</v>
      </c>
      <c r="K6" s="34" t="s">
        <v>32</v>
      </c>
      <c r="L6" s="32" t="s">
        <v>32</v>
      </c>
      <c r="M6" s="32"/>
      <c r="N6" s="34" t="s">
        <v>32</v>
      </c>
      <c r="O6" s="28" t="s">
        <v>32</v>
      </c>
      <c r="P6" s="28" t="s">
        <v>32</v>
      </c>
      <c r="Q6" s="34" t="s">
        <v>32</v>
      </c>
      <c r="R6" s="34" t="s">
        <v>32</v>
      </c>
      <c r="S6" s="32" t="s">
        <v>32</v>
      </c>
      <c r="T6" s="32" t="s">
        <v>32</v>
      </c>
      <c r="U6" s="29" t="s">
        <v>32</v>
      </c>
      <c r="V6" s="28" t="s">
        <v>32</v>
      </c>
      <c r="W6" s="26" t="s">
        <v>32</v>
      </c>
      <c r="X6" s="34" t="s">
        <v>32</v>
      </c>
      <c r="Y6" s="34" t="s">
        <v>32</v>
      </c>
      <c r="Z6" s="34" t="s">
        <v>32</v>
      </c>
      <c r="AA6" s="33">
        <f>SUM(H6:Z6)</f>
        <v>0</v>
      </c>
      <c r="AB6" s="24"/>
      <c r="AC6" s="25">
        <v>45415</v>
      </c>
      <c r="AD6" s="26">
        <v>0</v>
      </c>
      <c r="AE6" s="26">
        <v>0</v>
      </c>
      <c r="AF6" s="27">
        <f t="shared" si="1"/>
        <v>0</v>
      </c>
      <c r="AG6" s="28">
        <v>3665</v>
      </c>
      <c r="AH6" s="29">
        <v>2186</v>
      </c>
      <c r="AI6" s="29">
        <v>6.15</v>
      </c>
      <c r="AJ6" s="34" t="s">
        <v>32</v>
      </c>
      <c r="AK6" s="34"/>
      <c r="AL6" s="31" t="s">
        <v>32</v>
      </c>
      <c r="AM6" s="34" t="s">
        <v>32</v>
      </c>
      <c r="AN6" s="32" t="s">
        <v>32</v>
      </c>
      <c r="AO6" s="32"/>
      <c r="AP6" s="34" t="s">
        <v>32</v>
      </c>
      <c r="AQ6" s="28" t="s">
        <v>32</v>
      </c>
      <c r="AR6" s="28" t="s">
        <v>32</v>
      </c>
      <c r="AS6" s="34" t="s">
        <v>32</v>
      </c>
      <c r="AT6" s="34" t="s">
        <v>32</v>
      </c>
      <c r="AU6" s="32" t="s">
        <v>32</v>
      </c>
      <c r="AV6" s="32" t="s">
        <v>32</v>
      </c>
      <c r="AW6" s="29" t="s">
        <v>32</v>
      </c>
      <c r="AX6" s="28" t="s">
        <v>32</v>
      </c>
      <c r="AY6" s="26" t="s">
        <v>32</v>
      </c>
      <c r="AZ6" s="34" t="s">
        <v>32</v>
      </c>
      <c r="BA6" s="34" t="s">
        <v>32</v>
      </c>
      <c r="BB6" s="34" t="s">
        <v>32</v>
      </c>
      <c r="BC6" s="33">
        <f>SUM(AJ6:BB6)</f>
        <v>0</v>
      </c>
      <c r="BD6" s="24"/>
      <c r="BE6" s="25">
        <v>45446</v>
      </c>
      <c r="BF6" s="26">
        <v>0</v>
      </c>
      <c r="BG6" s="26">
        <v>0</v>
      </c>
      <c r="BH6" s="27">
        <f t="shared" si="2"/>
        <v>0</v>
      </c>
      <c r="BI6" s="28">
        <v>3012</v>
      </c>
      <c r="BJ6" s="29">
        <v>3244</v>
      </c>
      <c r="BK6" s="29">
        <v>8.75</v>
      </c>
      <c r="BL6" s="34" t="s">
        <v>32</v>
      </c>
      <c r="BM6" s="34"/>
      <c r="BN6" s="31" t="s">
        <v>32</v>
      </c>
      <c r="BO6" s="34" t="s">
        <v>32</v>
      </c>
      <c r="BP6" s="32" t="s">
        <v>32</v>
      </c>
      <c r="BQ6" s="32"/>
      <c r="BR6" s="34" t="s">
        <v>32</v>
      </c>
      <c r="BS6" s="28" t="s">
        <v>32</v>
      </c>
      <c r="BT6" s="28" t="s">
        <v>32</v>
      </c>
      <c r="BU6" s="34" t="s">
        <v>32</v>
      </c>
      <c r="BV6" s="34" t="s">
        <v>32</v>
      </c>
      <c r="BW6" s="32" t="s">
        <v>32</v>
      </c>
      <c r="BX6" s="32" t="s">
        <v>32</v>
      </c>
      <c r="BY6" s="29" t="s">
        <v>32</v>
      </c>
      <c r="BZ6" s="28" t="s">
        <v>32</v>
      </c>
      <c r="CA6" s="26" t="s">
        <v>32</v>
      </c>
      <c r="CB6" s="34" t="s">
        <v>32</v>
      </c>
      <c r="CC6" s="34" t="s">
        <v>32</v>
      </c>
      <c r="CD6" s="34" t="s">
        <v>32</v>
      </c>
      <c r="CE6" s="33">
        <f>SUM(BL6:CD6)</f>
        <v>0</v>
      </c>
      <c r="CF6" s="24"/>
      <c r="CG6" s="25">
        <v>45476</v>
      </c>
      <c r="CH6" s="26">
        <v>0</v>
      </c>
      <c r="CI6" s="26">
        <v>0</v>
      </c>
      <c r="CJ6" s="27">
        <f t="shared" si="3"/>
        <v>0</v>
      </c>
      <c r="CK6" s="28">
        <v>3298</v>
      </c>
      <c r="CL6" s="29">
        <v>540</v>
      </c>
      <c r="CM6" s="29">
        <v>7.25</v>
      </c>
      <c r="CN6" s="34" t="s">
        <v>32</v>
      </c>
      <c r="CO6" s="34"/>
      <c r="CP6" s="31" t="s">
        <v>32</v>
      </c>
      <c r="CQ6" s="34" t="s">
        <v>32</v>
      </c>
      <c r="CR6" s="32" t="s">
        <v>32</v>
      </c>
      <c r="CS6" s="32"/>
      <c r="CT6" s="34" t="s">
        <v>32</v>
      </c>
      <c r="CU6" s="28" t="s">
        <v>32</v>
      </c>
      <c r="CV6" s="28" t="s">
        <v>32</v>
      </c>
      <c r="CW6" s="34" t="s">
        <v>32</v>
      </c>
      <c r="CX6" s="34" t="s">
        <v>32</v>
      </c>
      <c r="CY6" s="32" t="s">
        <v>32</v>
      </c>
      <c r="CZ6" s="32" t="s">
        <v>32</v>
      </c>
      <c r="DA6" s="29" t="s">
        <v>32</v>
      </c>
      <c r="DB6" s="28" t="s">
        <v>32</v>
      </c>
      <c r="DC6" s="26" t="s">
        <v>32</v>
      </c>
      <c r="DD6" s="34" t="s">
        <v>32</v>
      </c>
      <c r="DE6" s="34" t="s">
        <v>32</v>
      </c>
      <c r="DF6" s="34" t="s">
        <v>32</v>
      </c>
      <c r="DG6" s="33">
        <f>SUM(CN6:DF6)</f>
        <v>0</v>
      </c>
      <c r="DH6" s="24"/>
      <c r="DI6" s="25">
        <v>45507</v>
      </c>
      <c r="DJ6" s="26">
        <v>0</v>
      </c>
      <c r="DK6" s="26">
        <v>0</v>
      </c>
      <c r="DL6" s="27">
        <f t="shared" si="4"/>
        <v>0</v>
      </c>
      <c r="DM6" s="28">
        <v>1827</v>
      </c>
      <c r="DN6" s="29">
        <v>1470</v>
      </c>
      <c r="DO6" s="29">
        <v>7</v>
      </c>
      <c r="DP6" s="34" t="s">
        <v>32</v>
      </c>
      <c r="DQ6" s="34"/>
      <c r="DR6" s="31" t="s">
        <v>32</v>
      </c>
      <c r="DS6" s="34" t="s">
        <v>32</v>
      </c>
      <c r="DT6" s="32" t="s">
        <v>32</v>
      </c>
      <c r="DU6" s="32"/>
      <c r="DV6" s="34" t="s">
        <v>32</v>
      </c>
      <c r="DW6" s="28" t="s">
        <v>32</v>
      </c>
      <c r="DX6" s="28" t="s">
        <v>32</v>
      </c>
      <c r="DY6" s="34" t="s">
        <v>32</v>
      </c>
      <c r="DZ6" s="34" t="s">
        <v>32</v>
      </c>
      <c r="EA6" s="32" t="s">
        <v>32</v>
      </c>
      <c r="EB6" s="32" t="s">
        <v>32</v>
      </c>
      <c r="EC6" s="29" t="s">
        <v>32</v>
      </c>
      <c r="ED6" s="28" t="s">
        <v>32</v>
      </c>
      <c r="EE6" s="26" t="s">
        <v>32</v>
      </c>
      <c r="EF6" s="34" t="s">
        <v>32</v>
      </c>
      <c r="EG6" s="34" t="s">
        <v>32</v>
      </c>
      <c r="EH6" s="34" t="s">
        <v>32</v>
      </c>
      <c r="EI6" s="33">
        <f>SUM(DP6:EH6)</f>
        <v>0</v>
      </c>
      <c r="EJ6" s="24"/>
      <c r="EK6" s="25">
        <v>45538</v>
      </c>
      <c r="EL6" s="26">
        <v>0</v>
      </c>
      <c r="EM6" s="26">
        <v>0</v>
      </c>
      <c r="EN6" s="27">
        <f t="shared" si="5"/>
        <v>13290</v>
      </c>
      <c r="EO6" s="28">
        <v>0</v>
      </c>
      <c r="EP6" s="29">
        <v>0</v>
      </c>
      <c r="EQ6" s="29">
        <v>0</v>
      </c>
      <c r="ER6" s="34" t="s">
        <v>32</v>
      </c>
      <c r="ES6" s="34"/>
      <c r="ET6" s="31" t="s">
        <v>32</v>
      </c>
      <c r="EU6" s="34" t="s">
        <v>32</v>
      </c>
      <c r="EV6" s="32">
        <v>1050</v>
      </c>
      <c r="EW6" s="32">
        <v>7200</v>
      </c>
      <c r="EX6" s="34" t="s">
        <v>32</v>
      </c>
      <c r="EY6" s="28" t="s">
        <v>32</v>
      </c>
      <c r="EZ6" s="28" t="s">
        <v>32</v>
      </c>
      <c r="FA6" s="34">
        <v>540</v>
      </c>
      <c r="FB6" s="34" t="s">
        <v>32</v>
      </c>
      <c r="FC6" s="32" t="s">
        <v>32</v>
      </c>
      <c r="FD6" s="32" t="s">
        <v>32</v>
      </c>
      <c r="FE6" s="29">
        <v>1000</v>
      </c>
      <c r="FF6" s="28" t="s">
        <v>32</v>
      </c>
      <c r="FG6" s="26">
        <v>3500</v>
      </c>
      <c r="FH6" s="34" t="s">
        <v>94</v>
      </c>
      <c r="FI6" s="34" t="s">
        <v>32</v>
      </c>
      <c r="FJ6" s="34" t="s">
        <v>32</v>
      </c>
      <c r="FK6" s="33">
        <f>SUM(ER6:FJ6)</f>
        <v>13290</v>
      </c>
      <c r="FL6" s="24"/>
      <c r="FM6" s="25">
        <v>45568</v>
      </c>
      <c r="FN6" s="26">
        <v>0</v>
      </c>
      <c r="FO6" s="26">
        <v>0</v>
      </c>
      <c r="FP6" s="27">
        <f t="shared" si="6"/>
        <v>0</v>
      </c>
      <c r="FQ6" s="28">
        <v>1633</v>
      </c>
      <c r="FR6" s="29">
        <v>2514</v>
      </c>
      <c r="FS6" s="29">
        <v>4.5</v>
      </c>
      <c r="FT6" s="34" t="s">
        <v>32</v>
      </c>
      <c r="FU6" s="34"/>
      <c r="FV6" s="31" t="s">
        <v>32</v>
      </c>
      <c r="FW6" s="34" t="s">
        <v>32</v>
      </c>
      <c r="FX6" s="32" t="s">
        <v>32</v>
      </c>
      <c r="FY6" s="32"/>
      <c r="FZ6" s="34" t="s">
        <v>32</v>
      </c>
      <c r="GA6" s="28" t="s">
        <v>32</v>
      </c>
      <c r="GB6" s="28" t="s">
        <v>32</v>
      </c>
      <c r="GC6" s="34" t="s">
        <v>32</v>
      </c>
      <c r="GD6" s="34" t="s">
        <v>32</v>
      </c>
      <c r="GE6" s="32" t="s">
        <v>32</v>
      </c>
      <c r="GF6" s="32" t="s">
        <v>32</v>
      </c>
      <c r="GG6" s="29" t="s">
        <v>32</v>
      </c>
      <c r="GH6" s="28" t="s">
        <v>32</v>
      </c>
      <c r="GI6" s="26" t="s">
        <v>32</v>
      </c>
      <c r="GJ6" s="34" t="s">
        <v>32</v>
      </c>
      <c r="GK6" s="34" t="s">
        <v>32</v>
      </c>
      <c r="GL6" s="34" t="s">
        <v>32</v>
      </c>
      <c r="GM6" s="33">
        <f>SUM(FT6:GL6)</f>
        <v>0</v>
      </c>
      <c r="GN6" s="24"/>
      <c r="GO6" s="25">
        <v>45599</v>
      </c>
      <c r="GP6" s="26">
        <v>0</v>
      </c>
      <c r="GQ6" s="26">
        <v>0</v>
      </c>
      <c r="GR6" s="27">
        <f t="shared" si="7"/>
        <v>0</v>
      </c>
      <c r="GS6" s="28">
        <v>2210</v>
      </c>
      <c r="GT6" s="29">
        <v>0</v>
      </c>
      <c r="GU6" s="29">
        <v>7</v>
      </c>
      <c r="GV6" s="34" t="s">
        <v>32</v>
      </c>
      <c r="GW6" s="34"/>
      <c r="GX6" s="31" t="s">
        <v>32</v>
      </c>
      <c r="GY6" s="34" t="s">
        <v>32</v>
      </c>
      <c r="GZ6" s="32" t="s">
        <v>32</v>
      </c>
      <c r="HA6" s="32"/>
      <c r="HB6" s="34" t="s">
        <v>32</v>
      </c>
      <c r="HC6" s="28" t="s">
        <v>32</v>
      </c>
      <c r="HD6" s="28" t="s">
        <v>32</v>
      </c>
      <c r="HE6" s="34" t="s">
        <v>32</v>
      </c>
      <c r="HF6" s="34" t="s">
        <v>32</v>
      </c>
      <c r="HG6" s="32" t="s">
        <v>32</v>
      </c>
      <c r="HH6" s="32" t="s">
        <v>32</v>
      </c>
      <c r="HI6" s="29" t="s">
        <v>32</v>
      </c>
      <c r="HJ6" s="28" t="s">
        <v>32</v>
      </c>
      <c r="HK6" s="26" t="s">
        <v>32</v>
      </c>
      <c r="HL6" s="34" t="s">
        <v>32</v>
      </c>
      <c r="HM6" s="34" t="s">
        <v>32</v>
      </c>
      <c r="HN6" s="34" t="s">
        <v>32</v>
      </c>
      <c r="HO6" s="33">
        <f>SUM(GV6:HN6)</f>
        <v>0</v>
      </c>
      <c r="HP6" s="24"/>
      <c r="HQ6" s="25">
        <v>45629</v>
      </c>
      <c r="HR6" s="26">
        <v>0</v>
      </c>
      <c r="HS6" s="26">
        <v>0</v>
      </c>
      <c r="HT6" s="27">
        <f t="shared" si="8"/>
        <v>0</v>
      </c>
      <c r="HU6" s="28">
        <v>1859</v>
      </c>
      <c r="HV6" s="29">
        <v>1122</v>
      </c>
      <c r="HW6" s="29">
        <v>6.5</v>
      </c>
      <c r="HX6" s="34" t="s">
        <v>32</v>
      </c>
      <c r="HY6" s="34"/>
      <c r="HZ6" s="31" t="s">
        <v>32</v>
      </c>
      <c r="IA6" s="34" t="s">
        <v>32</v>
      </c>
      <c r="IB6" s="32" t="s">
        <v>32</v>
      </c>
      <c r="IC6" s="32"/>
      <c r="ID6" s="34" t="s">
        <v>32</v>
      </c>
      <c r="IE6" s="28" t="s">
        <v>32</v>
      </c>
      <c r="IF6" s="28" t="s">
        <v>32</v>
      </c>
      <c r="IG6" s="34" t="s">
        <v>32</v>
      </c>
      <c r="IH6" s="34" t="s">
        <v>32</v>
      </c>
      <c r="II6" s="32" t="s">
        <v>32</v>
      </c>
      <c r="IJ6" s="32" t="s">
        <v>32</v>
      </c>
      <c r="IK6" s="29" t="s">
        <v>32</v>
      </c>
      <c r="IL6" s="28" t="s">
        <v>32</v>
      </c>
      <c r="IM6" s="26" t="s">
        <v>32</v>
      </c>
      <c r="IN6" s="34" t="s">
        <v>32</v>
      </c>
      <c r="IO6" s="34" t="s">
        <v>32</v>
      </c>
      <c r="IP6" s="34" t="s">
        <v>32</v>
      </c>
      <c r="IQ6" s="33">
        <f>SUM(HX6:IP6)</f>
        <v>0</v>
      </c>
      <c r="IR6" s="24"/>
      <c r="IS6" s="25">
        <v>45660</v>
      </c>
      <c r="IT6" s="26">
        <v>0</v>
      </c>
      <c r="IU6" s="26">
        <v>0</v>
      </c>
      <c r="IV6" s="27">
        <f t="shared" si="9"/>
        <v>0</v>
      </c>
      <c r="IW6" s="28">
        <v>1276</v>
      </c>
      <c r="IX6" s="29">
        <v>3685</v>
      </c>
      <c r="IY6" s="29">
        <v>6.25</v>
      </c>
      <c r="IZ6" s="34" t="s">
        <v>32</v>
      </c>
      <c r="JA6" s="34"/>
      <c r="JB6" s="31" t="s">
        <v>32</v>
      </c>
      <c r="JC6" s="34" t="s">
        <v>32</v>
      </c>
      <c r="JD6" s="32" t="s">
        <v>32</v>
      </c>
      <c r="JE6" s="32"/>
      <c r="JF6" s="34" t="s">
        <v>32</v>
      </c>
      <c r="JG6" s="28" t="s">
        <v>32</v>
      </c>
      <c r="JH6" s="28" t="s">
        <v>32</v>
      </c>
      <c r="JI6" s="34" t="s">
        <v>32</v>
      </c>
      <c r="JJ6" s="34" t="s">
        <v>32</v>
      </c>
      <c r="JK6" s="32" t="s">
        <v>32</v>
      </c>
      <c r="JL6" s="32" t="s">
        <v>32</v>
      </c>
      <c r="JM6" s="29" t="s">
        <v>32</v>
      </c>
      <c r="JN6" s="28" t="s">
        <v>32</v>
      </c>
      <c r="JO6" s="26" t="s">
        <v>32</v>
      </c>
      <c r="JP6" s="34" t="s">
        <v>32</v>
      </c>
      <c r="JQ6" s="34" t="s">
        <v>32</v>
      </c>
      <c r="JR6" s="34" t="s">
        <v>32</v>
      </c>
      <c r="JS6" s="33">
        <f>SUM(IZ6:JR6)</f>
        <v>0</v>
      </c>
      <c r="JT6" s="24"/>
      <c r="JU6" s="25">
        <v>45691</v>
      </c>
      <c r="JV6" s="26">
        <v>55</v>
      </c>
      <c r="JW6" s="26">
        <v>2500</v>
      </c>
      <c r="JX6" s="27">
        <f t="shared" si="10"/>
        <v>24276</v>
      </c>
      <c r="JY6" s="28">
        <v>1652</v>
      </c>
      <c r="JZ6" s="29">
        <v>1312</v>
      </c>
      <c r="KA6" s="29">
        <v>6.2</v>
      </c>
      <c r="KB6" s="34" t="s">
        <v>32</v>
      </c>
      <c r="KC6" s="34"/>
      <c r="KD6" s="31" t="s">
        <v>32</v>
      </c>
      <c r="KE6" s="34" t="s">
        <v>32</v>
      </c>
      <c r="KF6" s="32">
        <v>10000</v>
      </c>
      <c r="KG6" s="32"/>
      <c r="KH6" s="34" t="s">
        <v>32</v>
      </c>
      <c r="KI6" s="28" t="s">
        <v>32</v>
      </c>
      <c r="KJ6" s="28" t="s">
        <v>32</v>
      </c>
      <c r="KK6" s="34">
        <v>216</v>
      </c>
      <c r="KL6" s="34" t="s">
        <v>32</v>
      </c>
      <c r="KM6" s="32" t="s">
        <v>32</v>
      </c>
      <c r="KN6" s="32" t="s">
        <v>32</v>
      </c>
      <c r="KO6" s="29" t="s">
        <v>32</v>
      </c>
      <c r="KP6" s="28" t="s">
        <v>32</v>
      </c>
      <c r="KQ6" s="26">
        <v>14060</v>
      </c>
      <c r="KR6" s="34" t="s">
        <v>40</v>
      </c>
      <c r="KS6" s="34" t="s">
        <v>32</v>
      </c>
      <c r="KT6" s="34" t="s">
        <v>32</v>
      </c>
      <c r="KU6" s="33">
        <f>SUM(KB6:KT6)</f>
        <v>24276</v>
      </c>
      <c r="KV6" s="24"/>
      <c r="KW6" s="25">
        <v>45719</v>
      </c>
      <c r="KX6" s="26">
        <v>0</v>
      </c>
      <c r="KY6" s="26">
        <v>0</v>
      </c>
      <c r="KZ6" s="27">
        <f t="shared" si="11"/>
        <v>573411</v>
      </c>
      <c r="LA6" s="28">
        <v>2585</v>
      </c>
      <c r="LB6" s="29">
        <v>1647</v>
      </c>
      <c r="LC6" s="29">
        <v>2.5</v>
      </c>
      <c r="LD6" s="34" t="s">
        <v>32</v>
      </c>
      <c r="LE6" s="34"/>
      <c r="LF6" s="31" t="s">
        <v>32</v>
      </c>
      <c r="LG6" s="34">
        <v>2700</v>
      </c>
      <c r="LH6" s="32">
        <v>900</v>
      </c>
      <c r="LI6" s="32">
        <v>5000</v>
      </c>
      <c r="LJ6" s="34">
        <v>17500</v>
      </c>
      <c r="LK6" s="28" t="s">
        <v>32</v>
      </c>
      <c r="LL6" s="28" t="s">
        <v>32</v>
      </c>
      <c r="LM6" s="34">
        <v>700</v>
      </c>
      <c r="LN6" s="34" t="s">
        <v>32</v>
      </c>
      <c r="LO6" s="32">
        <v>545311</v>
      </c>
      <c r="LP6" s="32" t="s">
        <v>43</v>
      </c>
      <c r="LQ6" s="29" t="s">
        <v>32</v>
      </c>
      <c r="LR6" s="28" t="s">
        <v>32</v>
      </c>
      <c r="LS6" s="26">
        <v>1300</v>
      </c>
      <c r="LT6" s="34" t="s">
        <v>32</v>
      </c>
      <c r="LU6" s="34" t="s">
        <v>32</v>
      </c>
      <c r="LV6" s="34" t="s">
        <v>32</v>
      </c>
      <c r="LW6" s="33">
        <f>SUM(LD6:LV6)</f>
        <v>573411</v>
      </c>
      <c r="LX6" s="24"/>
    </row>
    <row r="7" spans="1:336" x14ac:dyDescent="0.3">
      <c r="A7" s="25">
        <v>45386</v>
      </c>
      <c r="B7" s="26">
        <v>7367</v>
      </c>
      <c r="C7" s="26">
        <v>436778</v>
      </c>
      <c r="D7" s="27">
        <f t="shared" si="0"/>
        <v>0</v>
      </c>
      <c r="E7" s="28">
        <v>0</v>
      </c>
      <c r="F7" s="29">
        <v>0</v>
      </c>
      <c r="G7" s="29">
        <v>0</v>
      </c>
      <c r="H7" s="34" t="s">
        <v>32</v>
      </c>
      <c r="I7" s="34"/>
      <c r="J7" s="31" t="s">
        <v>32</v>
      </c>
      <c r="K7" s="34" t="s">
        <v>32</v>
      </c>
      <c r="L7" s="32" t="s">
        <v>32</v>
      </c>
      <c r="M7" s="32"/>
      <c r="N7" s="34"/>
      <c r="O7" s="28"/>
      <c r="P7" s="28" t="s">
        <v>32</v>
      </c>
      <c r="Q7" s="34" t="s">
        <v>32</v>
      </c>
      <c r="R7" s="34" t="s">
        <v>32</v>
      </c>
      <c r="S7" s="32" t="s">
        <v>32</v>
      </c>
      <c r="T7" s="32" t="s">
        <v>32</v>
      </c>
      <c r="U7" s="21" t="s">
        <v>32</v>
      </c>
      <c r="V7" s="28" t="s">
        <v>32</v>
      </c>
      <c r="W7" s="26" t="s">
        <v>32</v>
      </c>
      <c r="X7" s="34" t="s">
        <v>32</v>
      </c>
      <c r="Y7" s="34" t="s">
        <v>32</v>
      </c>
      <c r="Z7" s="34"/>
      <c r="AA7" s="33">
        <f>SUM(H7:Y7)</f>
        <v>0</v>
      </c>
      <c r="AB7" s="24"/>
      <c r="AC7" s="25">
        <v>45416</v>
      </c>
      <c r="AD7" s="26">
        <v>765</v>
      </c>
      <c r="AE7" s="26">
        <v>38650</v>
      </c>
      <c r="AF7" s="27">
        <f t="shared" si="1"/>
        <v>42110</v>
      </c>
      <c r="AG7" s="28">
        <v>4312</v>
      </c>
      <c r="AH7" s="29">
        <v>0</v>
      </c>
      <c r="AI7" s="29">
        <v>3.5</v>
      </c>
      <c r="AJ7" s="34">
        <v>14800</v>
      </c>
      <c r="AK7" s="34">
        <v>14800</v>
      </c>
      <c r="AL7" s="31" t="s">
        <v>32</v>
      </c>
      <c r="AM7" s="34" t="s">
        <v>32</v>
      </c>
      <c r="AN7" s="32">
        <v>12310</v>
      </c>
      <c r="AO7" s="32"/>
      <c r="AP7" s="34"/>
      <c r="AQ7" s="28"/>
      <c r="AR7" s="28">
        <v>200</v>
      </c>
      <c r="AS7" s="34" t="s">
        <v>32</v>
      </c>
      <c r="AT7" s="34" t="s">
        <v>32</v>
      </c>
      <c r="AU7" s="32" t="s">
        <v>32</v>
      </c>
      <c r="AV7" s="32" t="s">
        <v>32</v>
      </c>
      <c r="AW7" s="21" t="s">
        <v>32</v>
      </c>
      <c r="AX7" s="28" t="s">
        <v>32</v>
      </c>
      <c r="AY7" s="26" t="s">
        <v>32</v>
      </c>
      <c r="AZ7" s="34" t="s">
        <v>32</v>
      </c>
      <c r="BA7" s="34" t="s">
        <v>32</v>
      </c>
      <c r="BB7" s="34"/>
      <c r="BC7" s="33">
        <f>SUM(AJ7:BA7)</f>
        <v>42110</v>
      </c>
      <c r="BD7" s="24"/>
      <c r="BE7" s="25">
        <v>45447</v>
      </c>
      <c r="BF7" s="26">
        <v>242</v>
      </c>
      <c r="BG7" s="26">
        <v>60894</v>
      </c>
      <c r="BH7" s="27">
        <f t="shared" si="2"/>
        <v>152968</v>
      </c>
      <c r="BI7" s="28">
        <v>724</v>
      </c>
      <c r="BJ7" s="29">
        <v>3607</v>
      </c>
      <c r="BK7" s="29">
        <v>7.5</v>
      </c>
      <c r="BL7" s="34" t="s">
        <v>32</v>
      </c>
      <c r="BM7" s="34"/>
      <c r="BN7" s="31" t="s">
        <v>32</v>
      </c>
      <c r="BO7" s="34">
        <v>120000</v>
      </c>
      <c r="BP7" s="32" t="s">
        <v>32</v>
      </c>
      <c r="BQ7" s="32"/>
      <c r="BR7" s="34"/>
      <c r="BS7" s="28">
        <v>32968</v>
      </c>
      <c r="BT7" s="28" t="s">
        <v>32</v>
      </c>
      <c r="BU7" s="34" t="s">
        <v>32</v>
      </c>
      <c r="BV7" s="34" t="s">
        <v>32</v>
      </c>
      <c r="BW7" s="32" t="s">
        <v>32</v>
      </c>
      <c r="BX7" s="32" t="s">
        <v>32</v>
      </c>
      <c r="BY7" s="21" t="s">
        <v>32</v>
      </c>
      <c r="BZ7" s="28" t="s">
        <v>32</v>
      </c>
      <c r="CA7" s="26" t="s">
        <v>32</v>
      </c>
      <c r="CB7" s="34" t="s">
        <v>32</v>
      </c>
      <c r="CC7" s="34" t="s">
        <v>32</v>
      </c>
      <c r="CD7" s="34"/>
      <c r="CE7" s="33">
        <f>SUM(BL7:CC7)</f>
        <v>152968</v>
      </c>
      <c r="CF7" s="24"/>
      <c r="CG7" s="25">
        <v>45477</v>
      </c>
      <c r="CH7" s="26">
        <v>0</v>
      </c>
      <c r="CI7" s="26">
        <v>0</v>
      </c>
      <c r="CJ7" s="27">
        <f t="shared" si="3"/>
        <v>163191</v>
      </c>
      <c r="CK7" s="28">
        <v>4077</v>
      </c>
      <c r="CL7" s="29">
        <v>3890</v>
      </c>
      <c r="CM7" s="29">
        <v>6.5</v>
      </c>
      <c r="CN7" s="34" t="s">
        <v>32</v>
      </c>
      <c r="CO7" s="34"/>
      <c r="CP7" s="31">
        <v>50000</v>
      </c>
      <c r="CQ7" s="34">
        <v>100000</v>
      </c>
      <c r="CR7" s="32" t="s">
        <v>32</v>
      </c>
      <c r="CS7" s="32"/>
      <c r="CT7" s="34"/>
      <c r="CU7" s="28"/>
      <c r="CV7" s="28" t="s">
        <v>32</v>
      </c>
      <c r="CW7" s="34" t="s">
        <v>32</v>
      </c>
      <c r="CX7" s="34" t="s">
        <v>32</v>
      </c>
      <c r="CY7" s="32">
        <v>12391</v>
      </c>
      <c r="CZ7" s="32" t="s">
        <v>85</v>
      </c>
      <c r="DA7" s="21">
        <v>800</v>
      </c>
      <c r="DB7" s="28" t="s">
        <v>32</v>
      </c>
      <c r="DC7" s="26" t="s">
        <v>32</v>
      </c>
      <c r="DD7" s="34" t="s">
        <v>32</v>
      </c>
      <c r="DE7" s="34" t="s">
        <v>32</v>
      </c>
      <c r="DF7" s="34"/>
      <c r="DG7" s="33">
        <f>SUM(CN7:DE7)</f>
        <v>163191</v>
      </c>
      <c r="DH7" s="24"/>
      <c r="DI7" s="25">
        <v>45508</v>
      </c>
      <c r="DJ7" s="26">
        <v>0</v>
      </c>
      <c r="DK7" s="26">
        <v>0</v>
      </c>
      <c r="DL7" s="27">
        <f t="shared" si="4"/>
        <v>40455</v>
      </c>
      <c r="DM7" s="28">
        <v>0</v>
      </c>
      <c r="DN7" s="29">
        <v>0</v>
      </c>
      <c r="DO7" s="29">
        <v>0</v>
      </c>
      <c r="DP7" s="34" t="s">
        <v>32</v>
      </c>
      <c r="DQ7" s="34"/>
      <c r="DR7" s="31">
        <v>10000</v>
      </c>
      <c r="DS7" s="34" t="s">
        <v>32</v>
      </c>
      <c r="DT7" s="32" t="s">
        <v>32</v>
      </c>
      <c r="DU7" s="32">
        <v>6100</v>
      </c>
      <c r="DV7" s="34">
        <v>20000</v>
      </c>
      <c r="DW7" s="28"/>
      <c r="DX7" s="28" t="s">
        <v>32</v>
      </c>
      <c r="DY7" s="34">
        <v>3355</v>
      </c>
      <c r="DZ7" s="34" t="s">
        <v>32</v>
      </c>
      <c r="EA7" s="32" t="s">
        <v>32</v>
      </c>
      <c r="EB7" s="32" t="s">
        <v>32</v>
      </c>
      <c r="EC7" s="21">
        <v>1000</v>
      </c>
      <c r="ED7" s="28" t="s">
        <v>40</v>
      </c>
      <c r="EE7" s="26" t="s">
        <v>32</v>
      </c>
      <c r="EF7" s="34" t="s">
        <v>32</v>
      </c>
      <c r="EG7" s="34" t="s">
        <v>32</v>
      </c>
      <c r="EH7" s="34"/>
      <c r="EI7" s="33">
        <f>SUM(DP7:EG7)</f>
        <v>40455</v>
      </c>
      <c r="EJ7" s="24"/>
      <c r="EK7" s="25">
        <v>45539</v>
      </c>
      <c r="EL7" s="26">
        <v>45</v>
      </c>
      <c r="EM7" s="26">
        <v>2700</v>
      </c>
      <c r="EN7" s="27">
        <f t="shared" si="5"/>
        <v>9561</v>
      </c>
      <c r="EO7" s="28">
        <v>0</v>
      </c>
      <c r="EP7" s="29">
        <v>0</v>
      </c>
      <c r="EQ7" s="29">
        <v>6.5</v>
      </c>
      <c r="ER7" s="34" t="s">
        <v>32</v>
      </c>
      <c r="ES7" s="34"/>
      <c r="ET7" s="31" t="s">
        <v>32</v>
      </c>
      <c r="EU7" s="34" t="s">
        <v>32</v>
      </c>
      <c r="EV7" s="32" t="s">
        <v>32</v>
      </c>
      <c r="EW7" s="32"/>
      <c r="EX7" s="34"/>
      <c r="EY7" s="28"/>
      <c r="EZ7" s="28" t="s">
        <v>32</v>
      </c>
      <c r="FA7" s="34">
        <v>1460</v>
      </c>
      <c r="FB7" s="34" t="s">
        <v>32</v>
      </c>
      <c r="FC7" s="32">
        <v>8101</v>
      </c>
      <c r="FD7" s="32" t="s">
        <v>85</v>
      </c>
      <c r="FE7" s="21" t="s">
        <v>32</v>
      </c>
      <c r="FF7" s="28" t="s">
        <v>32</v>
      </c>
      <c r="FG7" s="26" t="s">
        <v>32</v>
      </c>
      <c r="FH7" s="34" t="s">
        <v>32</v>
      </c>
      <c r="FI7" s="34" t="s">
        <v>32</v>
      </c>
      <c r="FJ7" s="34"/>
      <c r="FK7" s="33">
        <f>SUM(ER7:FI7)</f>
        <v>9561</v>
      </c>
      <c r="FL7" s="24"/>
      <c r="FM7" s="25">
        <v>45569</v>
      </c>
      <c r="FN7" s="26">
        <v>564</v>
      </c>
      <c r="FO7" s="26">
        <v>35140</v>
      </c>
      <c r="FP7" s="27">
        <f t="shared" si="6"/>
        <v>275802</v>
      </c>
      <c r="FQ7" s="28">
        <v>2319</v>
      </c>
      <c r="FR7" s="29">
        <v>0</v>
      </c>
      <c r="FS7" s="29">
        <v>6</v>
      </c>
      <c r="FT7" s="34" t="s">
        <v>32</v>
      </c>
      <c r="FU7" s="34"/>
      <c r="FV7" s="31">
        <v>33600</v>
      </c>
      <c r="FW7" s="34">
        <v>50000</v>
      </c>
      <c r="FX7" s="32">
        <v>900</v>
      </c>
      <c r="FY7" s="32">
        <v>6500</v>
      </c>
      <c r="FZ7" s="34">
        <v>170000</v>
      </c>
      <c r="GA7" s="28"/>
      <c r="GB7" s="28" t="s">
        <v>32</v>
      </c>
      <c r="GC7" s="34">
        <v>1660</v>
      </c>
      <c r="GD7" s="34" t="s">
        <v>32</v>
      </c>
      <c r="GE7" s="32">
        <v>11642</v>
      </c>
      <c r="GF7" s="32" t="s">
        <v>100</v>
      </c>
      <c r="GG7" s="21" t="s">
        <v>32</v>
      </c>
      <c r="GH7" s="28" t="s">
        <v>32</v>
      </c>
      <c r="GI7" s="26">
        <v>1500</v>
      </c>
      <c r="GJ7" s="34" t="s">
        <v>40</v>
      </c>
      <c r="GK7" s="34" t="s">
        <v>32</v>
      </c>
      <c r="GL7" s="34"/>
      <c r="GM7" s="33">
        <f>SUM(FT7:GK7)</f>
        <v>275802</v>
      </c>
      <c r="GN7" s="24"/>
      <c r="GO7" s="25">
        <v>45600</v>
      </c>
      <c r="GP7" s="26">
        <v>8613</v>
      </c>
      <c r="GQ7" s="26">
        <v>64572</v>
      </c>
      <c r="GR7" s="27">
        <f t="shared" si="7"/>
        <v>5500</v>
      </c>
      <c r="GS7" s="28">
        <v>2080</v>
      </c>
      <c r="GT7" s="29">
        <v>3763</v>
      </c>
      <c r="GU7" s="29">
        <v>7</v>
      </c>
      <c r="GV7" s="34" t="s">
        <v>32</v>
      </c>
      <c r="GW7" s="34"/>
      <c r="GX7" s="31" t="s">
        <v>32</v>
      </c>
      <c r="GY7" s="34" t="s">
        <v>32</v>
      </c>
      <c r="GZ7" s="32">
        <v>5000</v>
      </c>
      <c r="HA7" s="32"/>
      <c r="HB7" s="34"/>
      <c r="HC7" s="28"/>
      <c r="HD7" s="28" t="s">
        <v>32</v>
      </c>
      <c r="HE7" s="34">
        <v>500</v>
      </c>
      <c r="HF7" s="34" t="s">
        <v>32</v>
      </c>
      <c r="HG7" s="32" t="s">
        <v>32</v>
      </c>
      <c r="HH7" s="32" t="s">
        <v>32</v>
      </c>
      <c r="HI7" s="21" t="s">
        <v>32</v>
      </c>
      <c r="HJ7" s="28" t="s">
        <v>32</v>
      </c>
      <c r="HK7" s="26" t="s">
        <v>32</v>
      </c>
      <c r="HL7" s="34" t="s">
        <v>32</v>
      </c>
      <c r="HM7" s="34" t="s">
        <v>32</v>
      </c>
      <c r="HN7" s="34"/>
      <c r="HO7" s="33">
        <f>SUM(GV7:HM7)</f>
        <v>5500</v>
      </c>
      <c r="HP7" s="24"/>
      <c r="HQ7" s="25">
        <v>45630</v>
      </c>
      <c r="HR7" s="26">
        <v>7545</v>
      </c>
      <c r="HS7" s="26">
        <v>453502</v>
      </c>
      <c r="HT7" s="27">
        <f t="shared" si="8"/>
        <v>166935</v>
      </c>
      <c r="HU7" s="28">
        <v>393</v>
      </c>
      <c r="HV7" s="29">
        <v>3729</v>
      </c>
      <c r="HW7" s="29">
        <v>7.75</v>
      </c>
      <c r="HX7" s="34" t="s">
        <v>32</v>
      </c>
      <c r="HY7" s="34"/>
      <c r="HZ7" s="31" t="s">
        <v>32</v>
      </c>
      <c r="IA7" s="34">
        <v>165000</v>
      </c>
      <c r="IB7" s="32" t="s">
        <v>32</v>
      </c>
      <c r="IC7" s="32"/>
      <c r="ID7" s="34"/>
      <c r="IE7" s="28"/>
      <c r="IF7" s="28" t="s">
        <v>32</v>
      </c>
      <c r="IG7" s="34">
        <v>1935</v>
      </c>
      <c r="IH7" s="34" t="s">
        <v>32</v>
      </c>
      <c r="II7" s="32" t="s">
        <v>32</v>
      </c>
      <c r="IJ7" s="32" t="s">
        <v>32</v>
      </c>
      <c r="IK7" s="21" t="s">
        <v>32</v>
      </c>
      <c r="IL7" s="28" t="s">
        <v>32</v>
      </c>
      <c r="IM7" s="26" t="s">
        <v>32</v>
      </c>
      <c r="IN7" s="34" t="s">
        <v>32</v>
      </c>
      <c r="IO7" s="34" t="s">
        <v>32</v>
      </c>
      <c r="IP7" s="34"/>
      <c r="IQ7" s="33">
        <f>SUM(HX7:IO7)</f>
        <v>166935</v>
      </c>
      <c r="IR7" s="24"/>
      <c r="IS7" s="25">
        <v>45661</v>
      </c>
      <c r="IT7" s="26">
        <v>7892</v>
      </c>
      <c r="IU7" s="26">
        <v>578657</v>
      </c>
      <c r="IV7" s="27">
        <f t="shared" si="9"/>
        <v>6280</v>
      </c>
      <c r="IW7" s="28">
        <v>1257</v>
      </c>
      <c r="IX7" s="29">
        <v>986</v>
      </c>
      <c r="IY7" s="29">
        <v>3.25</v>
      </c>
      <c r="IZ7" s="34" t="s">
        <v>32</v>
      </c>
      <c r="JA7" s="34"/>
      <c r="JB7" s="31" t="s">
        <v>32</v>
      </c>
      <c r="JC7" s="34" t="s">
        <v>32</v>
      </c>
      <c r="JD7" s="32" t="s">
        <v>32</v>
      </c>
      <c r="JE7" s="32"/>
      <c r="JF7" s="34">
        <v>4600</v>
      </c>
      <c r="JG7" s="28"/>
      <c r="JH7" s="28">
        <v>500</v>
      </c>
      <c r="JI7" s="34">
        <v>1180</v>
      </c>
      <c r="JJ7" s="34" t="s">
        <v>32</v>
      </c>
      <c r="JK7" s="32" t="s">
        <v>32</v>
      </c>
      <c r="JL7" s="32" t="s">
        <v>32</v>
      </c>
      <c r="JM7" s="21" t="s">
        <v>32</v>
      </c>
      <c r="JN7" s="28" t="s">
        <v>32</v>
      </c>
      <c r="JO7" s="26" t="s">
        <v>32</v>
      </c>
      <c r="JP7" s="34" t="s">
        <v>32</v>
      </c>
      <c r="JQ7" s="34" t="s">
        <v>32</v>
      </c>
      <c r="JR7" s="34"/>
      <c r="JS7" s="33">
        <f>SUM(IZ7:JQ7)</f>
        <v>6280</v>
      </c>
      <c r="JT7" s="24"/>
      <c r="JU7" s="25">
        <v>45692</v>
      </c>
      <c r="JV7" s="26">
        <v>0</v>
      </c>
      <c r="JW7" s="26">
        <v>0</v>
      </c>
      <c r="JX7" s="27">
        <f t="shared" si="10"/>
        <v>0</v>
      </c>
      <c r="JY7" s="28">
        <v>1650</v>
      </c>
      <c r="JZ7" s="29">
        <v>270</v>
      </c>
      <c r="KA7" s="29">
        <v>6.5</v>
      </c>
      <c r="KB7" s="34" t="s">
        <v>32</v>
      </c>
      <c r="KC7" s="34"/>
      <c r="KD7" s="31" t="s">
        <v>32</v>
      </c>
      <c r="KE7" s="34" t="s">
        <v>32</v>
      </c>
      <c r="KF7" s="32" t="s">
        <v>32</v>
      </c>
      <c r="KG7" s="32"/>
      <c r="KH7" s="34"/>
      <c r="KI7" s="28"/>
      <c r="KJ7" s="28" t="s">
        <v>32</v>
      </c>
      <c r="KK7" s="34" t="s">
        <v>32</v>
      </c>
      <c r="KL7" s="34" t="s">
        <v>32</v>
      </c>
      <c r="KM7" s="32" t="s">
        <v>32</v>
      </c>
      <c r="KN7" s="32" t="s">
        <v>32</v>
      </c>
      <c r="KO7" s="21" t="s">
        <v>32</v>
      </c>
      <c r="KP7" s="28" t="s">
        <v>32</v>
      </c>
      <c r="KQ7" s="26" t="s">
        <v>32</v>
      </c>
      <c r="KR7" s="34" t="s">
        <v>32</v>
      </c>
      <c r="KS7" s="34" t="s">
        <v>32</v>
      </c>
      <c r="KT7" s="34"/>
      <c r="KU7" s="33">
        <f>SUM(KB7:KS7)</f>
        <v>0</v>
      </c>
      <c r="KV7" s="24"/>
      <c r="KW7" s="25">
        <v>45720</v>
      </c>
      <c r="KX7" s="26">
        <v>0</v>
      </c>
      <c r="KY7" s="26">
        <v>0</v>
      </c>
      <c r="KZ7" s="27">
        <f t="shared" si="11"/>
        <v>0</v>
      </c>
      <c r="LA7" s="28">
        <v>2827</v>
      </c>
      <c r="LB7" s="29">
        <v>840</v>
      </c>
      <c r="LC7" s="29">
        <v>5</v>
      </c>
      <c r="LD7" s="34" t="s">
        <v>32</v>
      </c>
      <c r="LE7" s="34"/>
      <c r="LF7" s="31" t="s">
        <v>32</v>
      </c>
      <c r="LG7" s="34" t="s">
        <v>32</v>
      </c>
      <c r="LH7" s="32" t="s">
        <v>32</v>
      </c>
      <c r="LI7" s="32"/>
      <c r="LJ7" s="34"/>
      <c r="LK7" s="28"/>
      <c r="LL7" s="28" t="s">
        <v>32</v>
      </c>
      <c r="LM7" s="34" t="s">
        <v>32</v>
      </c>
      <c r="LN7" s="34" t="s">
        <v>32</v>
      </c>
      <c r="LO7" s="32" t="s">
        <v>32</v>
      </c>
      <c r="LP7" s="32" t="s">
        <v>32</v>
      </c>
      <c r="LQ7" s="21" t="s">
        <v>32</v>
      </c>
      <c r="LR7" s="28" t="s">
        <v>32</v>
      </c>
      <c r="LS7" s="26" t="s">
        <v>32</v>
      </c>
      <c r="LT7" s="34" t="s">
        <v>32</v>
      </c>
      <c r="LU7" s="34" t="s">
        <v>32</v>
      </c>
      <c r="LV7" s="34"/>
      <c r="LW7" s="33">
        <f>SUM(LD7:LU7)</f>
        <v>0</v>
      </c>
      <c r="LX7" s="24"/>
    </row>
    <row r="8" spans="1:336" x14ac:dyDescent="0.3">
      <c r="A8" s="25">
        <v>45387</v>
      </c>
      <c r="B8" s="26">
        <v>488</v>
      </c>
      <c r="C8" s="26">
        <v>29800</v>
      </c>
      <c r="D8" s="27">
        <f t="shared" si="0"/>
        <v>21250</v>
      </c>
      <c r="E8" s="28">
        <v>0</v>
      </c>
      <c r="F8" s="29">
        <v>0</v>
      </c>
      <c r="G8" s="29">
        <v>0</v>
      </c>
      <c r="H8" s="34">
        <v>10152</v>
      </c>
      <c r="I8" s="34">
        <v>10998</v>
      </c>
      <c r="J8" s="31" t="s">
        <v>32</v>
      </c>
      <c r="K8" s="34" t="s">
        <v>32</v>
      </c>
      <c r="L8" s="32" t="s">
        <v>32</v>
      </c>
      <c r="M8" s="32" t="s">
        <v>32</v>
      </c>
      <c r="N8" s="34" t="s">
        <v>32</v>
      </c>
      <c r="O8" s="28" t="s">
        <v>32</v>
      </c>
      <c r="P8" s="28" t="s">
        <v>32</v>
      </c>
      <c r="Q8" s="34" t="s">
        <v>32</v>
      </c>
      <c r="R8" s="34" t="s">
        <v>32</v>
      </c>
      <c r="S8" s="32" t="s">
        <v>32</v>
      </c>
      <c r="T8" s="32" t="s">
        <v>33</v>
      </c>
      <c r="U8" s="29" t="s">
        <v>32</v>
      </c>
      <c r="V8" s="28" t="s">
        <v>32</v>
      </c>
      <c r="W8" s="26">
        <v>100</v>
      </c>
      <c r="X8" s="34" t="s">
        <v>40</v>
      </c>
      <c r="Y8" s="34" t="s">
        <v>32</v>
      </c>
      <c r="Z8" s="34" t="s">
        <v>32</v>
      </c>
      <c r="AA8" s="33">
        <f>SUM(H8:Z8)</f>
        <v>21250</v>
      </c>
      <c r="AB8" s="24"/>
      <c r="AC8" s="25">
        <v>45417</v>
      </c>
      <c r="AD8" s="26">
        <v>13487</v>
      </c>
      <c r="AE8" s="26">
        <v>676202</v>
      </c>
      <c r="AF8" s="27">
        <f t="shared" si="1"/>
        <v>20000</v>
      </c>
      <c r="AG8" s="28">
        <v>4636</v>
      </c>
      <c r="AH8" s="29">
        <v>0</v>
      </c>
      <c r="AI8" s="29">
        <v>4.75</v>
      </c>
      <c r="AJ8" s="34" t="s">
        <v>32</v>
      </c>
      <c r="AK8" s="34"/>
      <c r="AL8" s="31" t="s">
        <v>32</v>
      </c>
      <c r="AM8" s="34" t="s">
        <v>32</v>
      </c>
      <c r="AN8" s="32" t="s">
        <v>32</v>
      </c>
      <c r="AO8" s="32" t="s">
        <v>32</v>
      </c>
      <c r="AP8" s="34">
        <v>20000</v>
      </c>
      <c r="AQ8" s="28" t="s">
        <v>32</v>
      </c>
      <c r="AR8" s="28" t="s">
        <v>32</v>
      </c>
      <c r="AS8" s="34" t="s">
        <v>32</v>
      </c>
      <c r="AT8" s="34" t="s">
        <v>32</v>
      </c>
      <c r="AU8" s="32" t="s">
        <v>32</v>
      </c>
      <c r="AV8" s="32" t="s">
        <v>33</v>
      </c>
      <c r="AW8" s="29" t="s">
        <v>32</v>
      </c>
      <c r="AX8" s="28" t="s">
        <v>32</v>
      </c>
      <c r="AY8" s="26" t="s">
        <v>32</v>
      </c>
      <c r="AZ8" s="34" t="s">
        <v>32</v>
      </c>
      <c r="BA8" s="34" t="s">
        <v>32</v>
      </c>
      <c r="BB8" s="34" t="s">
        <v>32</v>
      </c>
      <c r="BC8" s="33">
        <f>SUM(AJ8:BB8)</f>
        <v>20000</v>
      </c>
      <c r="BD8" s="24"/>
      <c r="BE8" s="25">
        <v>45448</v>
      </c>
      <c r="BF8" s="26">
        <v>6150</v>
      </c>
      <c r="BG8" s="26">
        <v>181257</v>
      </c>
      <c r="BH8" s="27">
        <f t="shared" si="2"/>
        <v>148654</v>
      </c>
      <c r="BI8" s="28">
        <v>2047</v>
      </c>
      <c r="BJ8" s="29">
        <v>3334</v>
      </c>
      <c r="BK8" s="29">
        <v>6</v>
      </c>
      <c r="BL8" s="34" t="s">
        <v>32</v>
      </c>
      <c r="BM8" s="34"/>
      <c r="BN8" s="31">
        <v>85120</v>
      </c>
      <c r="BO8" s="34" t="s">
        <v>32</v>
      </c>
      <c r="BP8" s="32">
        <v>57284</v>
      </c>
      <c r="BQ8" s="32" t="s">
        <v>32</v>
      </c>
      <c r="BR8" s="34" t="s">
        <v>32</v>
      </c>
      <c r="BS8" s="28" t="s">
        <v>32</v>
      </c>
      <c r="BT8" s="28" t="s">
        <v>32</v>
      </c>
      <c r="BU8" s="34">
        <v>150</v>
      </c>
      <c r="BV8" s="34" t="s">
        <v>32</v>
      </c>
      <c r="BW8" s="32">
        <v>6100</v>
      </c>
      <c r="BX8" s="32" t="s">
        <v>33</v>
      </c>
      <c r="BY8" s="29" t="s">
        <v>32</v>
      </c>
      <c r="BZ8" s="28" t="s">
        <v>32</v>
      </c>
      <c r="CA8" s="26" t="s">
        <v>32</v>
      </c>
      <c r="CB8" s="34" t="s">
        <v>32</v>
      </c>
      <c r="CC8" s="34" t="s">
        <v>32</v>
      </c>
      <c r="CD8" s="34" t="s">
        <v>32</v>
      </c>
      <c r="CE8" s="33">
        <f>SUM(BL8:CD8)</f>
        <v>148654</v>
      </c>
      <c r="CF8" s="24"/>
      <c r="CG8" s="25">
        <v>45478</v>
      </c>
      <c r="CH8" s="26">
        <v>0</v>
      </c>
      <c r="CI8" s="26">
        <v>0</v>
      </c>
      <c r="CJ8" s="27">
        <f t="shared" si="3"/>
        <v>0</v>
      </c>
      <c r="CK8" s="28">
        <v>0</v>
      </c>
      <c r="CL8" s="29">
        <v>0</v>
      </c>
      <c r="CM8" s="29">
        <v>0</v>
      </c>
      <c r="CN8" s="34" t="s">
        <v>32</v>
      </c>
      <c r="CO8" s="34"/>
      <c r="CP8" s="31" t="s">
        <v>32</v>
      </c>
      <c r="CQ8" s="34" t="s">
        <v>32</v>
      </c>
      <c r="CR8" s="32" t="s">
        <v>32</v>
      </c>
      <c r="CS8" s="32" t="s">
        <v>32</v>
      </c>
      <c r="CT8" s="34" t="s">
        <v>32</v>
      </c>
      <c r="CU8" s="28" t="s">
        <v>32</v>
      </c>
      <c r="CV8" s="28" t="s">
        <v>32</v>
      </c>
      <c r="CW8" s="34" t="s">
        <v>32</v>
      </c>
      <c r="CX8" s="34" t="s">
        <v>32</v>
      </c>
      <c r="CY8" s="32" t="s">
        <v>32</v>
      </c>
      <c r="CZ8" s="32" t="s">
        <v>33</v>
      </c>
      <c r="DA8" s="29" t="s">
        <v>32</v>
      </c>
      <c r="DB8" s="28" t="s">
        <v>32</v>
      </c>
      <c r="DC8" s="26" t="s">
        <v>32</v>
      </c>
      <c r="DD8" s="34" t="s">
        <v>32</v>
      </c>
      <c r="DE8" s="34" t="s">
        <v>32</v>
      </c>
      <c r="DF8" s="34" t="s">
        <v>32</v>
      </c>
      <c r="DG8" s="33">
        <f>SUM(CN8:DF8)</f>
        <v>0</v>
      </c>
      <c r="DH8" s="24"/>
      <c r="DI8" s="25">
        <v>45509</v>
      </c>
      <c r="DJ8" s="26">
        <v>0</v>
      </c>
      <c r="DK8" s="26">
        <v>0</v>
      </c>
      <c r="DL8" s="27">
        <f t="shared" si="4"/>
        <v>3550</v>
      </c>
      <c r="DM8" s="28">
        <v>0</v>
      </c>
      <c r="DN8" s="29">
        <v>0</v>
      </c>
      <c r="DO8" s="29">
        <v>0</v>
      </c>
      <c r="DP8" s="34" t="s">
        <v>32</v>
      </c>
      <c r="DQ8" s="34"/>
      <c r="DR8" s="31" t="s">
        <v>32</v>
      </c>
      <c r="DS8" s="34" t="s">
        <v>32</v>
      </c>
      <c r="DT8" s="32">
        <v>950</v>
      </c>
      <c r="DU8" s="32">
        <v>1300</v>
      </c>
      <c r="DV8" s="34" t="s">
        <v>32</v>
      </c>
      <c r="DW8" s="28">
        <v>100</v>
      </c>
      <c r="DX8" s="28" t="s">
        <v>32</v>
      </c>
      <c r="DY8" s="34">
        <v>1200</v>
      </c>
      <c r="DZ8" s="34" t="s">
        <v>32</v>
      </c>
      <c r="EA8" s="32" t="s">
        <v>32</v>
      </c>
      <c r="EB8" s="32" t="s">
        <v>33</v>
      </c>
      <c r="EC8" s="29" t="s">
        <v>32</v>
      </c>
      <c r="ED8" s="28" t="s">
        <v>32</v>
      </c>
      <c r="EE8" s="26" t="s">
        <v>32</v>
      </c>
      <c r="EF8" s="34" t="s">
        <v>32</v>
      </c>
      <c r="EG8" s="34" t="s">
        <v>32</v>
      </c>
      <c r="EH8" s="34" t="s">
        <v>32</v>
      </c>
      <c r="EI8" s="33">
        <f>SUM(DP8:EH8)</f>
        <v>3550</v>
      </c>
      <c r="EJ8" s="24"/>
      <c r="EK8" s="25">
        <v>45540</v>
      </c>
      <c r="EL8" s="26">
        <v>0</v>
      </c>
      <c r="EM8" s="26">
        <v>0</v>
      </c>
      <c r="EN8" s="27">
        <f t="shared" si="5"/>
        <v>64570</v>
      </c>
      <c r="EO8" s="28">
        <v>767</v>
      </c>
      <c r="EP8" s="29">
        <v>0</v>
      </c>
      <c r="EQ8" s="29">
        <v>0</v>
      </c>
      <c r="ER8" s="34" t="s">
        <v>32</v>
      </c>
      <c r="ES8" s="34"/>
      <c r="ET8" s="31" t="s">
        <v>32</v>
      </c>
      <c r="EU8" s="34" t="s">
        <v>32</v>
      </c>
      <c r="EV8" s="32">
        <v>200</v>
      </c>
      <c r="EW8" s="32">
        <v>16850</v>
      </c>
      <c r="EX8" s="34">
        <v>46600</v>
      </c>
      <c r="EY8" s="28" t="s">
        <v>32</v>
      </c>
      <c r="EZ8" s="28" t="s">
        <v>32</v>
      </c>
      <c r="FA8" s="34">
        <v>920</v>
      </c>
      <c r="FB8" s="34" t="s">
        <v>32</v>
      </c>
      <c r="FC8" s="32" t="s">
        <v>32</v>
      </c>
      <c r="FD8" s="32" t="s">
        <v>33</v>
      </c>
      <c r="FE8" s="29" t="s">
        <v>32</v>
      </c>
      <c r="FF8" s="28" t="s">
        <v>32</v>
      </c>
      <c r="FG8" s="26" t="s">
        <v>32</v>
      </c>
      <c r="FH8" s="34" t="s">
        <v>32</v>
      </c>
      <c r="FI8" s="34" t="s">
        <v>32</v>
      </c>
      <c r="FJ8" s="34" t="s">
        <v>32</v>
      </c>
      <c r="FK8" s="33">
        <f>SUM(ER8:FJ8)</f>
        <v>64570</v>
      </c>
      <c r="FL8" s="24"/>
      <c r="FM8" s="25">
        <v>45570</v>
      </c>
      <c r="FN8" s="26">
        <v>0</v>
      </c>
      <c r="FO8" s="26">
        <v>0</v>
      </c>
      <c r="FP8" s="27">
        <f t="shared" si="6"/>
        <v>1440</v>
      </c>
      <c r="FQ8" s="28">
        <v>3012</v>
      </c>
      <c r="FR8" s="29">
        <v>3539</v>
      </c>
      <c r="FS8" s="29">
        <v>7</v>
      </c>
      <c r="FT8" s="34" t="s">
        <v>32</v>
      </c>
      <c r="FU8" s="34"/>
      <c r="FV8" s="31" t="s">
        <v>32</v>
      </c>
      <c r="FW8" s="34" t="s">
        <v>32</v>
      </c>
      <c r="FX8" s="32" t="s">
        <v>32</v>
      </c>
      <c r="FY8" s="32" t="s">
        <v>32</v>
      </c>
      <c r="FZ8" s="34" t="s">
        <v>32</v>
      </c>
      <c r="GA8" s="28" t="s">
        <v>32</v>
      </c>
      <c r="GB8" s="28" t="s">
        <v>32</v>
      </c>
      <c r="GC8" s="34">
        <v>1440</v>
      </c>
      <c r="GD8" s="34" t="s">
        <v>32</v>
      </c>
      <c r="GE8" s="32" t="s">
        <v>32</v>
      </c>
      <c r="GF8" s="32" t="s">
        <v>33</v>
      </c>
      <c r="GG8" s="29" t="s">
        <v>32</v>
      </c>
      <c r="GH8" s="28" t="s">
        <v>32</v>
      </c>
      <c r="GI8" s="26" t="s">
        <v>32</v>
      </c>
      <c r="GJ8" s="34" t="s">
        <v>32</v>
      </c>
      <c r="GK8" s="34" t="s">
        <v>32</v>
      </c>
      <c r="GL8" s="34" t="s">
        <v>32</v>
      </c>
      <c r="GM8" s="33">
        <f>SUM(FT8:GL8)</f>
        <v>1440</v>
      </c>
      <c r="GN8" s="24"/>
      <c r="GO8" s="25">
        <v>45601</v>
      </c>
      <c r="GP8" s="26">
        <v>0</v>
      </c>
      <c r="GQ8" s="26">
        <v>0</v>
      </c>
      <c r="GR8" s="27">
        <f t="shared" si="7"/>
        <v>0</v>
      </c>
      <c r="GS8" s="28">
        <v>680</v>
      </c>
      <c r="GT8" s="29">
        <v>663</v>
      </c>
      <c r="GU8" s="29">
        <v>1.25</v>
      </c>
      <c r="GV8" s="34" t="s">
        <v>32</v>
      </c>
      <c r="GW8" s="34"/>
      <c r="GX8" s="31" t="s">
        <v>32</v>
      </c>
      <c r="GY8" s="34" t="s">
        <v>32</v>
      </c>
      <c r="GZ8" s="32" t="s">
        <v>32</v>
      </c>
      <c r="HA8" s="32" t="s">
        <v>32</v>
      </c>
      <c r="HB8" s="34" t="s">
        <v>32</v>
      </c>
      <c r="HC8" s="28" t="s">
        <v>32</v>
      </c>
      <c r="HD8" s="28" t="s">
        <v>32</v>
      </c>
      <c r="HE8" s="34" t="s">
        <v>32</v>
      </c>
      <c r="HF8" s="34" t="s">
        <v>32</v>
      </c>
      <c r="HG8" s="32" t="s">
        <v>32</v>
      </c>
      <c r="HH8" s="32" t="s">
        <v>33</v>
      </c>
      <c r="HI8" s="29" t="s">
        <v>32</v>
      </c>
      <c r="HJ8" s="28" t="s">
        <v>32</v>
      </c>
      <c r="HK8" s="26" t="s">
        <v>32</v>
      </c>
      <c r="HL8" s="34" t="s">
        <v>32</v>
      </c>
      <c r="HM8" s="34" t="s">
        <v>32</v>
      </c>
      <c r="HN8" s="34" t="s">
        <v>32</v>
      </c>
      <c r="HO8" s="33">
        <f>SUM(GV8:HN8)</f>
        <v>0</v>
      </c>
      <c r="HP8" s="24"/>
      <c r="HQ8" s="25">
        <v>45631</v>
      </c>
      <c r="HR8" s="26">
        <v>0</v>
      </c>
      <c r="HS8" s="26">
        <v>0</v>
      </c>
      <c r="HT8" s="27">
        <f t="shared" si="8"/>
        <v>0</v>
      </c>
      <c r="HU8" s="28">
        <v>2007</v>
      </c>
      <c r="HV8" s="29">
        <v>0</v>
      </c>
      <c r="HW8" s="29">
        <v>4.1500000000000004</v>
      </c>
      <c r="HX8" s="34" t="s">
        <v>32</v>
      </c>
      <c r="HY8" s="34"/>
      <c r="HZ8" s="31" t="s">
        <v>32</v>
      </c>
      <c r="IA8" s="34" t="s">
        <v>32</v>
      </c>
      <c r="IB8" s="32" t="s">
        <v>32</v>
      </c>
      <c r="IC8" s="32" t="s">
        <v>32</v>
      </c>
      <c r="ID8" s="34" t="s">
        <v>32</v>
      </c>
      <c r="IE8" s="28" t="s">
        <v>32</v>
      </c>
      <c r="IF8" s="28" t="s">
        <v>32</v>
      </c>
      <c r="IG8" s="34" t="s">
        <v>32</v>
      </c>
      <c r="IH8" s="34" t="s">
        <v>32</v>
      </c>
      <c r="II8" s="32" t="s">
        <v>32</v>
      </c>
      <c r="IJ8" s="32" t="s">
        <v>33</v>
      </c>
      <c r="IK8" s="29" t="s">
        <v>32</v>
      </c>
      <c r="IL8" s="28" t="s">
        <v>32</v>
      </c>
      <c r="IM8" s="26" t="s">
        <v>32</v>
      </c>
      <c r="IN8" s="34" t="s">
        <v>32</v>
      </c>
      <c r="IO8" s="34" t="s">
        <v>32</v>
      </c>
      <c r="IP8" s="34" t="s">
        <v>32</v>
      </c>
      <c r="IQ8" s="33">
        <f>SUM(HX8:IP8)</f>
        <v>0</v>
      </c>
      <c r="IR8" s="24"/>
      <c r="IS8" s="25">
        <v>45662</v>
      </c>
      <c r="IT8" s="26">
        <v>0</v>
      </c>
      <c r="IU8" s="26">
        <v>0</v>
      </c>
      <c r="IV8" s="27">
        <f t="shared" si="9"/>
        <v>0</v>
      </c>
      <c r="IW8" s="28">
        <v>2061</v>
      </c>
      <c r="IX8" s="29">
        <v>1962</v>
      </c>
      <c r="IY8" s="29">
        <v>6.5</v>
      </c>
      <c r="IZ8" s="34" t="s">
        <v>32</v>
      </c>
      <c r="JA8" s="34"/>
      <c r="JB8" s="31" t="s">
        <v>32</v>
      </c>
      <c r="JC8" s="34" t="s">
        <v>32</v>
      </c>
      <c r="JD8" s="32" t="s">
        <v>32</v>
      </c>
      <c r="JE8" s="32" t="s">
        <v>32</v>
      </c>
      <c r="JF8" s="34" t="s">
        <v>32</v>
      </c>
      <c r="JG8" s="28" t="s">
        <v>32</v>
      </c>
      <c r="JH8" s="28" t="s">
        <v>32</v>
      </c>
      <c r="JI8" s="34" t="s">
        <v>32</v>
      </c>
      <c r="JJ8" s="34" t="s">
        <v>32</v>
      </c>
      <c r="JK8" s="32" t="s">
        <v>32</v>
      </c>
      <c r="JL8" s="32" t="s">
        <v>33</v>
      </c>
      <c r="JM8" s="29" t="s">
        <v>32</v>
      </c>
      <c r="JN8" s="28" t="s">
        <v>32</v>
      </c>
      <c r="JO8" s="26" t="s">
        <v>32</v>
      </c>
      <c r="JP8" s="34" t="s">
        <v>32</v>
      </c>
      <c r="JQ8" s="34" t="s">
        <v>32</v>
      </c>
      <c r="JR8" s="34" t="s">
        <v>32</v>
      </c>
      <c r="JS8" s="33">
        <f>SUM(IZ8:JR8)</f>
        <v>0</v>
      </c>
      <c r="JT8" s="24"/>
      <c r="JU8" s="25">
        <v>45693</v>
      </c>
      <c r="JV8" s="26">
        <v>0</v>
      </c>
      <c r="JW8" s="26">
        <v>0</v>
      </c>
      <c r="JX8" s="27">
        <f t="shared" si="10"/>
        <v>66840</v>
      </c>
      <c r="JY8" s="28">
        <v>1525</v>
      </c>
      <c r="JZ8" s="29">
        <v>0</v>
      </c>
      <c r="KA8" s="29">
        <v>3.5</v>
      </c>
      <c r="KB8" s="34" t="s">
        <v>32</v>
      </c>
      <c r="KC8" s="34">
        <v>20000</v>
      </c>
      <c r="KD8" s="31">
        <v>45700</v>
      </c>
      <c r="KE8" s="34" t="s">
        <v>32</v>
      </c>
      <c r="KF8" s="32" t="s">
        <v>32</v>
      </c>
      <c r="KG8" s="32" t="s">
        <v>32</v>
      </c>
      <c r="KH8" s="34" t="s">
        <v>32</v>
      </c>
      <c r="KI8" s="28" t="s">
        <v>32</v>
      </c>
      <c r="KJ8" s="28" t="s">
        <v>32</v>
      </c>
      <c r="KK8" s="34">
        <v>1140</v>
      </c>
      <c r="KL8" s="34" t="s">
        <v>32</v>
      </c>
      <c r="KM8" s="32" t="s">
        <v>32</v>
      </c>
      <c r="KN8" s="32" t="s">
        <v>33</v>
      </c>
      <c r="KO8" s="29" t="s">
        <v>32</v>
      </c>
      <c r="KP8" s="28" t="s">
        <v>32</v>
      </c>
      <c r="KQ8" s="26" t="s">
        <v>32</v>
      </c>
      <c r="KR8" s="34" t="s">
        <v>32</v>
      </c>
      <c r="KS8" s="34" t="s">
        <v>32</v>
      </c>
      <c r="KT8" s="34" t="s">
        <v>32</v>
      </c>
      <c r="KU8" s="33">
        <f>SUM(KB8:KT8)</f>
        <v>66840</v>
      </c>
      <c r="KV8" s="24"/>
      <c r="KW8" s="25">
        <v>45721</v>
      </c>
      <c r="KX8" s="26">
        <v>601</v>
      </c>
      <c r="KY8" s="26">
        <v>3500</v>
      </c>
      <c r="KZ8" s="27">
        <f t="shared" si="11"/>
        <v>209106</v>
      </c>
      <c r="LA8" s="28">
        <v>2829</v>
      </c>
      <c r="LB8" s="29">
        <v>529</v>
      </c>
      <c r="LC8" s="29">
        <v>5</v>
      </c>
      <c r="LD8" s="34" t="s">
        <v>32</v>
      </c>
      <c r="LE8" s="34"/>
      <c r="LF8" s="31">
        <v>100000</v>
      </c>
      <c r="LG8" s="34">
        <v>70000</v>
      </c>
      <c r="LH8" s="32" t="s">
        <v>32</v>
      </c>
      <c r="LI8" s="32">
        <v>4000</v>
      </c>
      <c r="LJ8" s="34" t="s">
        <v>32</v>
      </c>
      <c r="LK8" s="28" t="s">
        <v>32</v>
      </c>
      <c r="LL8" s="28" t="s">
        <v>32</v>
      </c>
      <c r="LM8" s="34">
        <v>1480</v>
      </c>
      <c r="LN8" s="34" t="s">
        <v>32</v>
      </c>
      <c r="LO8" s="32">
        <v>32126</v>
      </c>
      <c r="LP8" s="32" t="s">
        <v>85</v>
      </c>
      <c r="LQ8" s="29" t="s">
        <v>32</v>
      </c>
      <c r="LR8" s="28" t="s">
        <v>32</v>
      </c>
      <c r="LS8" s="26">
        <v>1500</v>
      </c>
      <c r="LT8" s="34" t="s">
        <v>40</v>
      </c>
      <c r="LU8" s="34" t="s">
        <v>32</v>
      </c>
      <c r="LV8" s="34" t="s">
        <v>32</v>
      </c>
      <c r="LW8" s="33">
        <f>SUM(LD8:LV8)</f>
        <v>209106</v>
      </c>
      <c r="LX8" s="24"/>
    </row>
    <row r="9" spans="1:336" x14ac:dyDescent="0.3">
      <c r="A9" s="25">
        <v>45388</v>
      </c>
      <c r="B9" s="26">
        <v>7450</v>
      </c>
      <c r="C9" s="26">
        <v>507328</v>
      </c>
      <c r="D9" s="27">
        <f t="shared" si="0"/>
        <v>10500</v>
      </c>
      <c r="E9" s="28">
        <v>2598</v>
      </c>
      <c r="F9" s="29">
        <v>0</v>
      </c>
      <c r="G9" s="29">
        <v>0</v>
      </c>
      <c r="H9" s="34" t="s">
        <v>32</v>
      </c>
      <c r="I9" s="34"/>
      <c r="J9" s="31" t="s">
        <v>32</v>
      </c>
      <c r="K9" s="34" t="s">
        <v>32</v>
      </c>
      <c r="L9" s="32" t="s">
        <v>32</v>
      </c>
      <c r="M9" s="32"/>
      <c r="N9" s="34" t="s">
        <v>32</v>
      </c>
      <c r="O9" s="28" t="s">
        <v>32</v>
      </c>
      <c r="P9" s="28">
        <v>500</v>
      </c>
      <c r="Q9" s="34" t="s">
        <v>32</v>
      </c>
      <c r="R9" s="34" t="s">
        <v>32</v>
      </c>
      <c r="S9" s="32" t="s">
        <v>32</v>
      </c>
      <c r="T9" s="32" t="s">
        <v>32</v>
      </c>
      <c r="U9" s="29" t="s">
        <v>32</v>
      </c>
      <c r="V9" s="28"/>
      <c r="W9" s="26">
        <v>10000</v>
      </c>
      <c r="X9" s="34" t="s">
        <v>47</v>
      </c>
      <c r="Y9" s="34" t="s">
        <v>32</v>
      </c>
      <c r="Z9" s="34"/>
      <c r="AA9" s="33">
        <f t="shared" ref="AA9:AA16" si="12">SUM(H9:Y9)</f>
        <v>10500</v>
      </c>
      <c r="AB9" s="24"/>
      <c r="AC9" s="25">
        <v>45418</v>
      </c>
      <c r="AD9" s="26">
        <v>5909</v>
      </c>
      <c r="AE9" s="26">
        <v>168825</v>
      </c>
      <c r="AF9" s="27">
        <f t="shared" si="1"/>
        <v>250</v>
      </c>
      <c r="AG9" s="28">
        <v>4709</v>
      </c>
      <c r="AH9" s="29">
        <v>3042</v>
      </c>
      <c r="AI9" s="29">
        <v>4.75</v>
      </c>
      <c r="AJ9" s="34" t="s">
        <v>32</v>
      </c>
      <c r="AK9" s="34"/>
      <c r="AL9" s="31" t="s">
        <v>32</v>
      </c>
      <c r="AM9" s="34" t="s">
        <v>32</v>
      </c>
      <c r="AN9" s="32">
        <v>250</v>
      </c>
      <c r="AO9" s="32"/>
      <c r="AP9" s="34" t="s">
        <v>32</v>
      </c>
      <c r="AQ9" s="28" t="s">
        <v>32</v>
      </c>
      <c r="AR9" s="28" t="s">
        <v>32</v>
      </c>
      <c r="AS9" s="34" t="s">
        <v>32</v>
      </c>
      <c r="AT9" s="34" t="s">
        <v>32</v>
      </c>
      <c r="AU9" s="32" t="s">
        <v>32</v>
      </c>
      <c r="AV9" s="32" t="s">
        <v>32</v>
      </c>
      <c r="AW9" s="29" t="s">
        <v>32</v>
      </c>
      <c r="AX9" s="28"/>
      <c r="AY9" s="26" t="s">
        <v>32</v>
      </c>
      <c r="AZ9" s="34" t="s">
        <v>32</v>
      </c>
      <c r="BA9" s="34" t="s">
        <v>32</v>
      </c>
      <c r="BB9" s="34"/>
      <c r="BC9" s="33">
        <f t="shared" ref="BC9:BC16" si="13">SUM(AJ9:BA9)</f>
        <v>250</v>
      </c>
      <c r="BD9" s="24"/>
      <c r="BE9" s="25">
        <v>45449</v>
      </c>
      <c r="BF9" s="26">
        <v>0</v>
      </c>
      <c r="BG9" s="26">
        <v>0</v>
      </c>
      <c r="BH9" s="27">
        <f t="shared" si="2"/>
        <v>0</v>
      </c>
      <c r="BI9" s="28">
        <v>0</v>
      </c>
      <c r="BJ9" s="29">
        <v>0</v>
      </c>
      <c r="BK9" s="29">
        <v>0</v>
      </c>
      <c r="BL9" s="34" t="s">
        <v>32</v>
      </c>
      <c r="BM9" s="34"/>
      <c r="BN9" s="31" t="s">
        <v>32</v>
      </c>
      <c r="BO9" s="34" t="s">
        <v>32</v>
      </c>
      <c r="BP9" s="32" t="s">
        <v>32</v>
      </c>
      <c r="BQ9" s="32"/>
      <c r="BR9" s="34" t="s">
        <v>32</v>
      </c>
      <c r="BS9" s="28" t="s">
        <v>32</v>
      </c>
      <c r="BT9" s="28" t="s">
        <v>32</v>
      </c>
      <c r="BU9" s="34" t="s">
        <v>32</v>
      </c>
      <c r="BV9" s="34" t="s">
        <v>32</v>
      </c>
      <c r="BW9" s="32" t="s">
        <v>32</v>
      </c>
      <c r="BX9" s="32" t="s">
        <v>32</v>
      </c>
      <c r="BY9" s="29" t="s">
        <v>32</v>
      </c>
      <c r="BZ9" s="28"/>
      <c r="CA9" s="26" t="s">
        <v>32</v>
      </c>
      <c r="CB9" s="34" t="s">
        <v>32</v>
      </c>
      <c r="CC9" s="34" t="s">
        <v>32</v>
      </c>
      <c r="CD9" s="34"/>
      <c r="CE9" s="33">
        <f t="shared" ref="CE9:CE16" si="14">SUM(BL9:CC9)</f>
        <v>0</v>
      </c>
      <c r="CF9" s="24"/>
      <c r="CG9" s="25">
        <v>45479</v>
      </c>
      <c r="CH9" s="26">
        <v>8116</v>
      </c>
      <c r="CI9" s="26">
        <v>181340</v>
      </c>
      <c r="CJ9" s="27">
        <f t="shared" si="3"/>
        <v>379225</v>
      </c>
      <c r="CK9" s="28">
        <v>1632</v>
      </c>
      <c r="CL9" s="29">
        <v>0</v>
      </c>
      <c r="CM9" s="29">
        <v>0</v>
      </c>
      <c r="CN9" s="34">
        <v>24005</v>
      </c>
      <c r="CO9" s="34">
        <v>28895</v>
      </c>
      <c r="CP9" s="31">
        <v>285000</v>
      </c>
      <c r="CQ9" s="34" t="s">
        <v>32</v>
      </c>
      <c r="CR9" s="32">
        <v>8120</v>
      </c>
      <c r="CS9" s="32">
        <v>30000</v>
      </c>
      <c r="CT9" s="34" t="s">
        <v>32</v>
      </c>
      <c r="CU9" s="28" t="s">
        <v>32</v>
      </c>
      <c r="CV9" s="28">
        <v>500</v>
      </c>
      <c r="CW9" s="34">
        <v>1280</v>
      </c>
      <c r="CX9" s="34" t="s">
        <v>32</v>
      </c>
      <c r="CY9" s="32" t="s">
        <v>32</v>
      </c>
      <c r="CZ9" s="32" t="s">
        <v>32</v>
      </c>
      <c r="DA9" s="29" t="s">
        <v>32</v>
      </c>
      <c r="DB9" s="28">
        <v>425</v>
      </c>
      <c r="DC9" s="26">
        <v>1000</v>
      </c>
      <c r="DD9" s="34" t="s">
        <v>40</v>
      </c>
      <c r="DE9" s="34" t="s">
        <v>32</v>
      </c>
      <c r="DF9" s="34"/>
      <c r="DG9" s="33">
        <f t="shared" ref="DG9:DG16" si="15">SUM(CN9:DE9)</f>
        <v>379225</v>
      </c>
      <c r="DH9" s="24"/>
      <c r="DI9" s="25">
        <v>45510</v>
      </c>
      <c r="DJ9" s="26">
        <v>0</v>
      </c>
      <c r="DK9" s="26">
        <v>0</v>
      </c>
      <c r="DL9" s="27">
        <f t="shared" si="4"/>
        <v>531</v>
      </c>
      <c r="DM9" s="28">
        <v>0</v>
      </c>
      <c r="DN9" s="29">
        <v>0</v>
      </c>
      <c r="DO9" s="29">
        <v>0</v>
      </c>
      <c r="DP9" s="34" t="s">
        <v>32</v>
      </c>
      <c r="DQ9" s="34"/>
      <c r="DR9" s="31" t="s">
        <v>32</v>
      </c>
      <c r="DS9" s="34" t="s">
        <v>32</v>
      </c>
      <c r="DT9" s="32">
        <v>90</v>
      </c>
      <c r="DU9" s="32"/>
      <c r="DV9" s="34" t="s">
        <v>32</v>
      </c>
      <c r="DW9" s="28" t="s">
        <v>32</v>
      </c>
      <c r="DX9" s="28" t="s">
        <v>32</v>
      </c>
      <c r="DY9" s="34">
        <v>439</v>
      </c>
      <c r="DZ9" s="34">
        <v>2</v>
      </c>
      <c r="EA9" s="32" t="s">
        <v>32</v>
      </c>
      <c r="EB9" s="32" t="s">
        <v>32</v>
      </c>
      <c r="EC9" s="29" t="s">
        <v>32</v>
      </c>
      <c r="ED9" s="28"/>
      <c r="EE9" s="26" t="s">
        <v>32</v>
      </c>
      <c r="EF9" s="34" t="s">
        <v>32</v>
      </c>
      <c r="EG9" s="34" t="s">
        <v>32</v>
      </c>
      <c r="EH9" s="34"/>
      <c r="EI9" s="33">
        <f t="shared" ref="EI9:EI16" si="16">SUM(DP9:EG9)</f>
        <v>531</v>
      </c>
      <c r="EJ9" s="24"/>
      <c r="EK9" s="25">
        <v>45541</v>
      </c>
      <c r="EL9" s="26">
        <v>0</v>
      </c>
      <c r="EM9" s="26">
        <v>0</v>
      </c>
      <c r="EN9" s="27">
        <f t="shared" si="5"/>
        <v>50745</v>
      </c>
      <c r="EO9" s="28">
        <v>0</v>
      </c>
      <c r="EP9" s="29">
        <v>0</v>
      </c>
      <c r="EQ9" s="29">
        <v>0</v>
      </c>
      <c r="ER9" s="34" t="s">
        <v>32</v>
      </c>
      <c r="ES9" s="34"/>
      <c r="ET9" s="31" t="s">
        <v>32</v>
      </c>
      <c r="EU9" s="34" t="s">
        <v>32</v>
      </c>
      <c r="EV9" s="32" t="s">
        <v>32</v>
      </c>
      <c r="EW9" s="32"/>
      <c r="EX9" s="34">
        <v>50000</v>
      </c>
      <c r="EY9" s="28" t="s">
        <v>32</v>
      </c>
      <c r="EZ9" s="28" t="s">
        <v>32</v>
      </c>
      <c r="FA9" s="34">
        <v>745</v>
      </c>
      <c r="FB9" s="34" t="s">
        <v>32</v>
      </c>
      <c r="FC9" s="32" t="s">
        <v>32</v>
      </c>
      <c r="FD9" s="32" t="s">
        <v>32</v>
      </c>
      <c r="FE9" s="29" t="s">
        <v>32</v>
      </c>
      <c r="FF9" s="28"/>
      <c r="FG9" s="26" t="s">
        <v>32</v>
      </c>
      <c r="FH9" s="34" t="s">
        <v>32</v>
      </c>
      <c r="FI9" s="34" t="s">
        <v>32</v>
      </c>
      <c r="FJ9" s="34"/>
      <c r="FK9" s="33">
        <f t="shared" ref="FK9:FK16" si="17">SUM(ER9:FI9)</f>
        <v>50745</v>
      </c>
      <c r="FL9" s="24"/>
      <c r="FM9" s="25">
        <v>45571</v>
      </c>
      <c r="FN9" s="26">
        <v>0</v>
      </c>
      <c r="FO9" s="26">
        <v>0</v>
      </c>
      <c r="FP9" s="27">
        <f t="shared" si="6"/>
        <v>47110</v>
      </c>
      <c r="FQ9" s="28">
        <v>3289</v>
      </c>
      <c r="FR9" s="29">
        <v>1193</v>
      </c>
      <c r="FS9" s="29">
        <v>7.25</v>
      </c>
      <c r="FT9" s="34" t="s">
        <v>32</v>
      </c>
      <c r="FU9" s="34">
        <v>24228</v>
      </c>
      <c r="FV9" s="31">
        <v>20072</v>
      </c>
      <c r="FW9" s="34" t="s">
        <v>32</v>
      </c>
      <c r="FX9" s="32">
        <v>1650</v>
      </c>
      <c r="FY9" s="32"/>
      <c r="FZ9" s="34" t="s">
        <v>32</v>
      </c>
      <c r="GA9" s="28" t="s">
        <v>32</v>
      </c>
      <c r="GB9" s="28">
        <v>500</v>
      </c>
      <c r="GC9" s="34">
        <v>660</v>
      </c>
      <c r="GD9" s="34" t="s">
        <v>32</v>
      </c>
      <c r="GE9" s="32" t="s">
        <v>32</v>
      </c>
      <c r="GF9" s="32" t="s">
        <v>32</v>
      </c>
      <c r="GG9" s="29" t="s">
        <v>32</v>
      </c>
      <c r="GH9" s="28"/>
      <c r="GI9" s="26" t="s">
        <v>32</v>
      </c>
      <c r="GJ9" s="34" t="s">
        <v>32</v>
      </c>
      <c r="GK9" s="34" t="s">
        <v>32</v>
      </c>
      <c r="GL9" s="34"/>
      <c r="GM9" s="33">
        <f t="shared" ref="GM9:GM16" si="18">SUM(FT9:GK9)</f>
        <v>47110</v>
      </c>
      <c r="GN9" s="24"/>
      <c r="GO9" s="25">
        <v>45602</v>
      </c>
      <c r="GP9" s="26">
        <v>0</v>
      </c>
      <c r="GQ9" s="26">
        <v>0</v>
      </c>
      <c r="GR9" s="27">
        <f t="shared" si="7"/>
        <v>0</v>
      </c>
      <c r="GS9" s="28">
        <v>0</v>
      </c>
      <c r="GT9" s="29">
        <v>2871</v>
      </c>
      <c r="GU9" s="29">
        <v>4.25</v>
      </c>
      <c r="GV9" s="34" t="s">
        <v>32</v>
      </c>
      <c r="GW9" s="34"/>
      <c r="GX9" s="31" t="s">
        <v>32</v>
      </c>
      <c r="GY9" s="34" t="s">
        <v>32</v>
      </c>
      <c r="GZ9" s="32" t="s">
        <v>32</v>
      </c>
      <c r="HA9" s="32"/>
      <c r="HB9" s="34" t="s">
        <v>32</v>
      </c>
      <c r="HC9" s="28" t="s">
        <v>32</v>
      </c>
      <c r="HD9" s="28" t="s">
        <v>32</v>
      </c>
      <c r="HE9" s="34" t="s">
        <v>32</v>
      </c>
      <c r="HF9" s="34" t="s">
        <v>32</v>
      </c>
      <c r="HG9" s="32" t="s">
        <v>32</v>
      </c>
      <c r="HH9" s="32" t="s">
        <v>32</v>
      </c>
      <c r="HI9" s="29" t="s">
        <v>32</v>
      </c>
      <c r="HJ9" s="28"/>
      <c r="HK9" s="26" t="s">
        <v>32</v>
      </c>
      <c r="HL9" s="34" t="s">
        <v>32</v>
      </c>
      <c r="HM9" s="34" t="s">
        <v>32</v>
      </c>
      <c r="HN9" s="34"/>
      <c r="HO9" s="33">
        <f t="shared" ref="HO9:HO16" si="19">SUM(GV9:HM9)</f>
        <v>0</v>
      </c>
      <c r="HP9" s="24"/>
      <c r="HQ9" s="25">
        <v>45632</v>
      </c>
      <c r="HR9" s="26">
        <v>5824</v>
      </c>
      <c r="HS9" s="26">
        <v>330271</v>
      </c>
      <c r="HT9" s="27">
        <f t="shared" si="8"/>
        <v>684323</v>
      </c>
      <c r="HU9" s="28">
        <v>3885</v>
      </c>
      <c r="HV9" s="29">
        <v>0</v>
      </c>
      <c r="HW9" s="29">
        <v>7</v>
      </c>
      <c r="HX9" s="34">
        <v>9500</v>
      </c>
      <c r="HY9" s="34">
        <v>11500</v>
      </c>
      <c r="HZ9" s="31">
        <v>69200</v>
      </c>
      <c r="IA9" s="34" t="s">
        <v>32</v>
      </c>
      <c r="IB9" s="32" t="s">
        <v>32</v>
      </c>
      <c r="IC9" s="32">
        <v>10000</v>
      </c>
      <c r="ID9" s="34" t="s">
        <v>32</v>
      </c>
      <c r="IE9" s="28" t="s">
        <v>32</v>
      </c>
      <c r="IF9" s="28" t="s">
        <v>32</v>
      </c>
      <c r="IG9" s="34">
        <v>950</v>
      </c>
      <c r="IH9" s="34" t="s">
        <v>32</v>
      </c>
      <c r="II9" s="32">
        <v>583173</v>
      </c>
      <c r="IJ9" s="32" t="s">
        <v>43</v>
      </c>
      <c r="IK9" s="29" t="s">
        <v>32</v>
      </c>
      <c r="IL9" s="28"/>
      <c r="IM9" s="26" t="s">
        <v>32</v>
      </c>
      <c r="IN9" s="34" t="s">
        <v>32</v>
      </c>
      <c r="IO9" s="34" t="s">
        <v>32</v>
      </c>
      <c r="IP9" s="34"/>
      <c r="IQ9" s="33">
        <f t="shared" ref="IQ9:IQ16" si="20">SUM(HX9:IO9)</f>
        <v>684323</v>
      </c>
      <c r="IR9" s="24"/>
      <c r="IS9" s="25">
        <v>45663</v>
      </c>
      <c r="IT9" s="26">
        <v>17464</v>
      </c>
      <c r="IU9" s="26">
        <v>713057</v>
      </c>
      <c r="IV9" s="27">
        <f t="shared" si="9"/>
        <v>16468</v>
      </c>
      <c r="IW9" s="28">
        <v>2971</v>
      </c>
      <c r="IX9" s="29">
        <v>3183</v>
      </c>
      <c r="IY9" s="29">
        <v>5.25</v>
      </c>
      <c r="IZ9" s="34" t="s">
        <v>32</v>
      </c>
      <c r="JA9" s="34"/>
      <c r="JB9" s="31" t="s">
        <v>32</v>
      </c>
      <c r="JC9" s="34" t="s">
        <v>32</v>
      </c>
      <c r="JD9" s="32" t="s">
        <v>32</v>
      </c>
      <c r="JE9" s="32">
        <v>12050</v>
      </c>
      <c r="JF9" s="34">
        <v>500</v>
      </c>
      <c r="JG9" s="28">
        <v>500</v>
      </c>
      <c r="JH9" s="28" t="s">
        <v>32</v>
      </c>
      <c r="JI9" s="34">
        <v>1495</v>
      </c>
      <c r="JJ9" s="34">
        <v>1923</v>
      </c>
      <c r="JK9" s="32" t="s">
        <v>32</v>
      </c>
      <c r="JL9" s="32" t="s">
        <v>32</v>
      </c>
      <c r="JM9" s="29" t="s">
        <v>32</v>
      </c>
      <c r="JN9" s="28"/>
      <c r="JO9" s="26" t="s">
        <v>32</v>
      </c>
      <c r="JP9" s="34" t="s">
        <v>32</v>
      </c>
      <c r="JQ9" s="34" t="s">
        <v>32</v>
      </c>
      <c r="JR9" s="34"/>
      <c r="JS9" s="33">
        <f t="shared" ref="JS9:JS16" si="21">SUM(IZ9:JQ9)</f>
        <v>16468</v>
      </c>
      <c r="JT9" s="24"/>
      <c r="JU9" s="25">
        <v>45694</v>
      </c>
      <c r="JV9" s="26">
        <v>0</v>
      </c>
      <c r="JW9" s="26">
        <v>0</v>
      </c>
      <c r="JX9" s="27">
        <f t="shared" si="10"/>
        <v>0</v>
      </c>
      <c r="JY9" s="28">
        <v>1680</v>
      </c>
      <c r="JZ9" s="29">
        <v>0</v>
      </c>
      <c r="KA9" s="29">
        <v>3</v>
      </c>
      <c r="KB9" s="34" t="s">
        <v>32</v>
      </c>
      <c r="KC9" s="34"/>
      <c r="KD9" s="31" t="s">
        <v>32</v>
      </c>
      <c r="KE9" s="34" t="s">
        <v>32</v>
      </c>
      <c r="KF9" s="32" t="s">
        <v>32</v>
      </c>
      <c r="KG9" s="32"/>
      <c r="KH9" s="34" t="s">
        <v>32</v>
      </c>
      <c r="KI9" s="28" t="s">
        <v>32</v>
      </c>
      <c r="KJ9" s="28" t="s">
        <v>32</v>
      </c>
      <c r="KK9" s="34" t="s">
        <v>32</v>
      </c>
      <c r="KL9" s="34" t="s">
        <v>32</v>
      </c>
      <c r="KM9" s="32" t="s">
        <v>32</v>
      </c>
      <c r="KN9" s="32" t="s">
        <v>32</v>
      </c>
      <c r="KO9" s="29" t="s">
        <v>32</v>
      </c>
      <c r="KP9" s="28"/>
      <c r="KQ9" s="26" t="s">
        <v>32</v>
      </c>
      <c r="KR9" s="34" t="s">
        <v>32</v>
      </c>
      <c r="KS9" s="34" t="s">
        <v>32</v>
      </c>
      <c r="KT9" s="34"/>
      <c r="KU9" s="33">
        <f t="shared" ref="KU9:KU16" si="22">SUM(KB9:KS9)</f>
        <v>0</v>
      </c>
      <c r="KV9" s="24"/>
      <c r="KW9" s="25">
        <v>45722</v>
      </c>
      <c r="KX9" s="26">
        <v>0</v>
      </c>
      <c r="KY9" s="26">
        <v>0</v>
      </c>
      <c r="KZ9" s="27">
        <f t="shared" si="11"/>
        <v>0</v>
      </c>
      <c r="LA9" s="28">
        <v>1856</v>
      </c>
      <c r="LB9" s="29">
        <v>4507</v>
      </c>
      <c r="LC9" s="29">
        <v>8.5</v>
      </c>
      <c r="LD9" s="34" t="s">
        <v>32</v>
      </c>
      <c r="LE9" s="34"/>
      <c r="LF9" s="31" t="s">
        <v>32</v>
      </c>
      <c r="LG9" s="34" t="s">
        <v>32</v>
      </c>
      <c r="LH9" s="32" t="s">
        <v>32</v>
      </c>
      <c r="LI9" s="32"/>
      <c r="LJ9" s="34" t="s">
        <v>32</v>
      </c>
      <c r="LK9" s="28" t="s">
        <v>32</v>
      </c>
      <c r="LL9" s="28" t="s">
        <v>32</v>
      </c>
      <c r="LM9" s="34" t="s">
        <v>32</v>
      </c>
      <c r="LN9" s="34" t="s">
        <v>32</v>
      </c>
      <c r="LO9" s="32" t="s">
        <v>32</v>
      </c>
      <c r="LP9" s="32" t="s">
        <v>32</v>
      </c>
      <c r="LQ9" s="29" t="s">
        <v>32</v>
      </c>
      <c r="LR9" s="28"/>
      <c r="LS9" s="26" t="s">
        <v>32</v>
      </c>
      <c r="LT9" s="34" t="s">
        <v>32</v>
      </c>
      <c r="LU9" s="34" t="s">
        <v>32</v>
      </c>
      <c r="LV9" s="34"/>
      <c r="LW9" s="33">
        <f t="shared" ref="LW9:LW16" si="23">SUM(LD9:LU9)</f>
        <v>0</v>
      </c>
      <c r="LX9" s="24"/>
    </row>
    <row r="10" spans="1:336" x14ac:dyDescent="0.3">
      <c r="A10" s="25">
        <v>45389</v>
      </c>
      <c r="B10" s="26">
        <v>0</v>
      </c>
      <c r="C10" s="26">
        <v>0</v>
      </c>
      <c r="D10" s="27">
        <f t="shared" si="0"/>
        <v>0</v>
      </c>
      <c r="E10" s="28">
        <v>1707</v>
      </c>
      <c r="F10" s="29">
        <v>877</v>
      </c>
      <c r="G10" s="29">
        <v>7.1</v>
      </c>
      <c r="H10" s="34" t="s">
        <v>32</v>
      </c>
      <c r="I10" s="34"/>
      <c r="J10" s="31" t="s">
        <v>32</v>
      </c>
      <c r="K10" s="34" t="s">
        <v>32</v>
      </c>
      <c r="L10" s="32" t="s">
        <v>32</v>
      </c>
      <c r="M10" s="32" t="s">
        <v>32</v>
      </c>
      <c r="N10" s="34" t="s">
        <v>32</v>
      </c>
      <c r="O10" s="28" t="s">
        <v>32</v>
      </c>
      <c r="P10" s="28" t="s">
        <v>32</v>
      </c>
      <c r="Q10" s="34" t="s">
        <v>32</v>
      </c>
      <c r="R10" s="34" t="s">
        <v>32</v>
      </c>
      <c r="S10" s="32" t="s">
        <v>32</v>
      </c>
      <c r="T10" s="32" t="s">
        <v>32</v>
      </c>
      <c r="U10" s="29" t="s">
        <v>32</v>
      </c>
      <c r="V10" s="28" t="s">
        <v>32</v>
      </c>
      <c r="W10" s="26" t="s">
        <v>32</v>
      </c>
      <c r="X10" s="34" t="s">
        <v>32</v>
      </c>
      <c r="Y10" s="34" t="s">
        <v>32</v>
      </c>
      <c r="Z10" s="34" t="s">
        <v>32</v>
      </c>
      <c r="AA10" s="33">
        <f t="shared" si="12"/>
        <v>0</v>
      </c>
      <c r="AB10" s="24"/>
      <c r="AC10" s="25">
        <v>45419</v>
      </c>
      <c r="AD10" s="26">
        <v>0</v>
      </c>
      <c r="AE10" s="26">
        <v>0</v>
      </c>
      <c r="AF10" s="27">
        <f t="shared" si="1"/>
        <v>0</v>
      </c>
      <c r="AG10" s="28">
        <v>4909</v>
      </c>
      <c r="AH10" s="29">
        <v>1401</v>
      </c>
      <c r="AI10" s="29">
        <v>7</v>
      </c>
      <c r="AJ10" s="34" t="s">
        <v>32</v>
      </c>
      <c r="AK10" s="34"/>
      <c r="AL10" s="31" t="s">
        <v>32</v>
      </c>
      <c r="AM10" s="34" t="s">
        <v>32</v>
      </c>
      <c r="AN10" s="32" t="s">
        <v>32</v>
      </c>
      <c r="AO10" s="32" t="s">
        <v>32</v>
      </c>
      <c r="AP10" s="34" t="s">
        <v>32</v>
      </c>
      <c r="AQ10" s="28" t="s">
        <v>32</v>
      </c>
      <c r="AR10" s="28" t="s">
        <v>32</v>
      </c>
      <c r="AS10" s="34" t="s">
        <v>32</v>
      </c>
      <c r="AT10" s="34" t="s">
        <v>32</v>
      </c>
      <c r="AU10" s="32" t="s">
        <v>32</v>
      </c>
      <c r="AV10" s="32" t="s">
        <v>32</v>
      </c>
      <c r="AW10" s="29" t="s">
        <v>32</v>
      </c>
      <c r="AX10" s="28" t="s">
        <v>32</v>
      </c>
      <c r="AY10" s="26" t="s">
        <v>32</v>
      </c>
      <c r="AZ10" s="34" t="s">
        <v>32</v>
      </c>
      <c r="BA10" s="34" t="s">
        <v>32</v>
      </c>
      <c r="BB10" s="34" t="s">
        <v>32</v>
      </c>
      <c r="BC10" s="33">
        <f t="shared" si="13"/>
        <v>0</v>
      </c>
      <c r="BD10" s="24"/>
      <c r="BE10" s="25">
        <v>45450</v>
      </c>
      <c r="BF10" s="26">
        <v>0</v>
      </c>
      <c r="BG10" s="26">
        <v>0</v>
      </c>
      <c r="BH10" s="27">
        <f t="shared" si="2"/>
        <v>273690</v>
      </c>
      <c r="BI10" s="28">
        <v>3636</v>
      </c>
      <c r="BJ10" s="29">
        <v>0</v>
      </c>
      <c r="BK10" s="29">
        <v>0</v>
      </c>
      <c r="BL10" s="34" t="s">
        <v>32</v>
      </c>
      <c r="BM10" s="34"/>
      <c r="BN10" s="31" t="s">
        <v>32</v>
      </c>
      <c r="BO10" s="34">
        <v>46000</v>
      </c>
      <c r="BP10" s="32">
        <v>4600</v>
      </c>
      <c r="BQ10" s="32" t="s">
        <v>32</v>
      </c>
      <c r="BR10" s="34">
        <v>43900</v>
      </c>
      <c r="BS10" s="28">
        <v>1420</v>
      </c>
      <c r="BT10" s="28" t="s">
        <v>32</v>
      </c>
      <c r="BU10" s="34">
        <v>549</v>
      </c>
      <c r="BV10" s="34" t="s">
        <v>32</v>
      </c>
      <c r="BW10" s="32" t="s">
        <v>32</v>
      </c>
      <c r="BX10" s="32" t="s">
        <v>32</v>
      </c>
      <c r="BY10" s="29" t="s">
        <v>32</v>
      </c>
      <c r="BZ10" s="28" t="s">
        <v>32</v>
      </c>
      <c r="CA10" s="26">
        <v>177221</v>
      </c>
      <c r="CB10" s="34" t="s">
        <v>79</v>
      </c>
      <c r="CC10" s="34" t="s">
        <v>32</v>
      </c>
      <c r="CD10" s="34" t="s">
        <v>32</v>
      </c>
      <c r="CE10" s="33">
        <f t="shared" si="14"/>
        <v>273690</v>
      </c>
      <c r="CF10" s="24"/>
      <c r="CG10" s="25">
        <v>45480</v>
      </c>
      <c r="CH10" s="26">
        <v>0</v>
      </c>
      <c r="CI10" s="26">
        <v>0</v>
      </c>
      <c r="CJ10" s="27">
        <f t="shared" si="3"/>
        <v>0</v>
      </c>
      <c r="CK10" s="28">
        <v>4893</v>
      </c>
      <c r="CL10" s="29">
        <v>0</v>
      </c>
      <c r="CM10" s="29">
        <v>0</v>
      </c>
      <c r="CN10" s="34" t="s">
        <v>32</v>
      </c>
      <c r="CO10" s="34"/>
      <c r="CP10" s="31" t="s">
        <v>32</v>
      </c>
      <c r="CQ10" s="34" t="s">
        <v>32</v>
      </c>
      <c r="CR10" s="32" t="s">
        <v>32</v>
      </c>
      <c r="CS10" s="32" t="s">
        <v>32</v>
      </c>
      <c r="CT10" s="34" t="s">
        <v>32</v>
      </c>
      <c r="CU10" s="28" t="s">
        <v>32</v>
      </c>
      <c r="CV10" s="28" t="s">
        <v>32</v>
      </c>
      <c r="CW10" s="34" t="s">
        <v>32</v>
      </c>
      <c r="CX10" s="34" t="s">
        <v>32</v>
      </c>
      <c r="CY10" s="32" t="s">
        <v>32</v>
      </c>
      <c r="CZ10" s="32" t="s">
        <v>32</v>
      </c>
      <c r="DA10" s="29" t="s">
        <v>32</v>
      </c>
      <c r="DB10" s="28" t="s">
        <v>32</v>
      </c>
      <c r="DC10" s="26" t="s">
        <v>32</v>
      </c>
      <c r="DD10" s="34" t="s">
        <v>32</v>
      </c>
      <c r="DE10" s="34" t="s">
        <v>32</v>
      </c>
      <c r="DF10" s="34" t="s">
        <v>32</v>
      </c>
      <c r="DG10" s="33">
        <f t="shared" si="15"/>
        <v>0</v>
      </c>
      <c r="DH10" s="24"/>
      <c r="DI10" s="25">
        <v>45511</v>
      </c>
      <c r="DJ10" s="26">
        <v>20</v>
      </c>
      <c r="DK10" s="26">
        <v>990</v>
      </c>
      <c r="DL10" s="27">
        <f t="shared" si="4"/>
        <v>1511</v>
      </c>
      <c r="DM10" s="28">
        <v>2470</v>
      </c>
      <c r="DN10" s="29">
        <v>2926</v>
      </c>
      <c r="DO10" s="29">
        <v>5</v>
      </c>
      <c r="DP10" s="34" t="s">
        <v>32</v>
      </c>
      <c r="DQ10" s="34"/>
      <c r="DR10" s="31" t="s">
        <v>32</v>
      </c>
      <c r="DS10" s="34" t="s">
        <v>32</v>
      </c>
      <c r="DT10" s="32" t="s">
        <v>32</v>
      </c>
      <c r="DU10" s="32" t="s">
        <v>32</v>
      </c>
      <c r="DV10" s="34" t="s">
        <v>32</v>
      </c>
      <c r="DW10" s="28" t="s">
        <v>32</v>
      </c>
      <c r="DX10" s="28" t="s">
        <v>32</v>
      </c>
      <c r="DY10" s="34">
        <v>1511</v>
      </c>
      <c r="DZ10" s="34" t="s">
        <v>32</v>
      </c>
      <c r="EA10" s="32" t="s">
        <v>32</v>
      </c>
      <c r="EB10" s="32" t="s">
        <v>32</v>
      </c>
      <c r="EC10" s="29" t="s">
        <v>32</v>
      </c>
      <c r="ED10" s="28" t="s">
        <v>32</v>
      </c>
      <c r="EE10" s="26" t="s">
        <v>32</v>
      </c>
      <c r="EF10" s="34" t="s">
        <v>32</v>
      </c>
      <c r="EG10" s="34" t="s">
        <v>32</v>
      </c>
      <c r="EH10" s="34" t="s">
        <v>32</v>
      </c>
      <c r="EI10" s="33">
        <f t="shared" si="16"/>
        <v>1511</v>
      </c>
      <c r="EJ10" s="24"/>
      <c r="EK10" s="25">
        <v>45542</v>
      </c>
      <c r="EL10" s="26">
        <v>0</v>
      </c>
      <c r="EM10" s="26">
        <v>0</v>
      </c>
      <c r="EN10" s="27">
        <f t="shared" si="5"/>
        <v>0</v>
      </c>
      <c r="EO10" s="28">
        <v>1656</v>
      </c>
      <c r="EP10" s="29">
        <v>2484</v>
      </c>
      <c r="EQ10" s="29">
        <v>5.25</v>
      </c>
      <c r="ER10" s="34" t="s">
        <v>32</v>
      </c>
      <c r="ES10" s="34"/>
      <c r="ET10" s="31" t="s">
        <v>32</v>
      </c>
      <c r="EU10" s="34" t="s">
        <v>32</v>
      </c>
      <c r="EV10" s="32" t="s">
        <v>32</v>
      </c>
      <c r="EW10" s="32" t="s">
        <v>32</v>
      </c>
      <c r="EX10" s="34" t="s">
        <v>32</v>
      </c>
      <c r="EY10" s="28" t="s">
        <v>32</v>
      </c>
      <c r="EZ10" s="28" t="s">
        <v>32</v>
      </c>
      <c r="FA10" s="34" t="s">
        <v>32</v>
      </c>
      <c r="FB10" s="34" t="s">
        <v>32</v>
      </c>
      <c r="FC10" s="32" t="s">
        <v>32</v>
      </c>
      <c r="FD10" s="32" t="s">
        <v>32</v>
      </c>
      <c r="FE10" s="29" t="s">
        <v>32</v>
      </c>
      <c r="FF10" s="28" t="s">
        <v>32</v>
      </c>
      <c r="FG10" s="26" t="s">
        <v>32</v>
      </c>
      <c r="FH10" s="34" t="s">
        <v>32</v>
      </c>
      <c r="FI10" s="34" t="s">
        <v>32</v>
      </c>
      <c r="FJ10" s="34" t="s">
        <v>32</v>
      </c>
      <c r="FK10" s="33">
        <f t="shared" si="17"/>
        <v>0</v>
      </c>
      <c r="FL10" s="24"/>
      <c r="FM10" s="25">
        <v>45572</v>
      </c>
      <c r="FN10" s="26">
        <v>0</v>
      </c>
      <c r="FO10" s="26">
        <v>0</v>
      </c>
      <c r="FP10" s="27">
        <f t="shared" si="6"/>
        <v>0</v>
      </c>
      <c r="FQ10" s="28">
        <v>1126</v>
      </c>
      <c r="FR10" s="29">
        <v>2025</v>
      </c>
      <c r="FS10" s="29">
        <v>9</v>
      </c>
      <c r="FT10" s="34" t="s">
        <v>32</v>
      </c>
      <c r="FU10" s="34"/>
      <c r="FV10" s="31" t="s">
        <v>32</v>
      </c>
      <c r="FW10" s="34" t="s">
        <v>32</v>
      </c>
      <c r="FX10" s="32" t="s">
        <v>32</v>
      </c>
      <c r="FY10" s="32" t="s">
        <v>32</v>
      </c>
      <c r="FZ10" s="34" t="s">
        <v>32</v>
      </c>
      <c r="GA10" s="28" t="s">
        <v>32</v>
      </c>
      <c r="GB10" s="28" t="s">
        <v>32</v>
      </c>
      <c r="GC10" s="34" t="s">
        <v>32</v>
      </c>
      <c r="GD10" s="34" t="s">
        <v>32</v>
      </c>
      <c r="GE10" s="32" t="s">
        <v>32</v>
      </c>
      <c r="GF10" s="32" t="s">
        <v>32</v>
      </c>
      <c r="GG10" s="29" t="s">
        <v>32</v>
      </c>
      <c r="GH10" s="28" t="s">
        <v>32</v>
      </c>
      <c r="GI10" s="26" t="s">
        <v>32</v>
      </c>
      <c r="GJ10" s="34" t="s">
        <v>32</v>
      </c>
      <c r="GK10" s="34" t="s">
        <v>32</v>
      </c>
      <c r="GL10" s="34" t="s">
        <v>32</v>
      </c>
      <c r="GM10" s="33">
        <f t="shared" si="18"/>
        <v>0</v>
      </c>
      <c r="GN10" s="24"/>
      <c r="GO10" s="25">
        <v>45603</v>
      </c>
      <c r="GP10" s="26">
        <v>0</v>
      </c>
      <c r="GQ10" s="26">
        <v>0</v>
      </c>
      <c r="GR10" s="27">
        <f t="shared" si="7"/>
        <v>0</v>
      </c>
      <c r="GS10" s="28">
        <v>0</v>
      </c>
      <c r="GT10" s="29">
        <v>1320</v>
      </c>
      <c r="GU10" s="29">
        <v>1.25</v>
      </c>
      <c r="GV10" s="34" t="s">
        <v>32</v>
      </c>
      <c r="GW10" s="34"/>
      <c r="GX10" s="31" t="s">
        <v>32</v>
      </c>
      <c r="GY10" s="34" t="s">
        <v>32</v>
      </c>
      <c r="GZ10" s="32" t="s">
        <v>32</v>
      </c>
      <c r="HA10" s="32" t="s">
        <v>32</v>
      </c>
      <c r="HB10" s="34" t="s">
        <v>32</v>
      </c>
      <c r="HC10" s="28" t="s">
        <v>32</v>
      </c>
      <c r="HD10" s="28" t="s">
        <v>32</v>
      </c>
      <c r="HE10" s="34" t="s">
        <v>32</v>
      </c>
      <c r="HF10" s="34" t="s">
        <v>32</v>
      </c>
      <c r="HG10" s="32" t="s">
        <v>32</v>
      </c>
      <c r="HH10" s="32" t="s">
        <v>32</v>
      </c>
      <c r="HI10" s="29" t="s">
        <v>32</v>
      </c>
      <c r="HJ10" s="28" t="s">
        <v>32</v>
      </c>
      <c r="HK10" s="26" t="s">
        <v>32</v>
      </c>
      <c r="HL10" s="34" t="s">
        <v>32</v>
      </c>
      <c r="HM10" s="34" t="s">
        <v>32</v>
      </c>
      <c r="HN10" s="34" t="s">
        <v>32</v>
      </c>
      <c r="HO10" s="33">
        <f t="shared" si="19"/>
        <v>0</v>
      </c>
      <c r="HP10" s="24"/>
      <c r="HQ10" s="25">
        <v>45633</v>
      </c>
      <c r="HR10" s="26">
        <v>142</v>
      </c>
      <c r="HS10" s="26">
        <v>6800</v>
      </c>
      <c r="HT10" s="27">
        <f t="shared" si="8"/>
        <v>84526</v>
      </c>
      <c r="HU10" s="28">
        <v>4979</v>
      </c>
      <c r="HV10" s="29">
        <v>4266</v>
      </c>
      <c r="HW10" s="29">
        <v>7.5</v>
      </c>
      <c r="HX10" s="34" t="s">
        <v>32</v>
      </c>
      <c r="HY10" s="34"/>
      <c r="HZ10" s="31">
        <v>25000</v>
      </c>
      <c r="IA10" s="34" t="s">
        <v>32</v>
      </c>
      <c r="IB10" s="32" t="s">
        <v>32</v>
      </c>
      <c r="IC10" s="32" t="s">
        <v>32</v>
      </c>
      <c r="ID10" s="34">
        <v>50000</v>
      </c>
      <c r="IE10" s="28" t="s">
        <v>32</v>
      </c>
      <c r="IF10" s="28" t="s">
        <v>32</v>
      </c>
      <c r="IG10" s="34">
        <v>276</v>
      </c>
      <c r="IH10" s="34" t="s">
        <v>32</v>
      </c>
      <c r="II10" s="32">
        <v>5000</v>
      </c>
      <c r="IJ10" s="32" t="s">
        <v>111</v>
      </c>
      <c r="IK10" s="29" t="s">
        <v>32</v>
      </c>
      <c r="IL10" s="28" t="s">
        <v>32</v>
      </c>
      <c r="IM10" s="26" t="s">
        <v>32</v>
      </c>
      <c r="IN10" s="34" t="s">
        <v>32</v>
      </c>
      <c r="IO10" s="34">
        <v>4250</v>
      </c>
      <c r="IP10" s="34"/>
      <c r="IQ10" s="33">
        <f t="shared" si="20"/>
        <v>84526</v>
      </c>
      <c r="IR10" s="24"/>
      <c r="IS10" s="25">
        <v>45664</v>
      </c>
      <c r="IT10" s="26">
        <v>0</v>
      </c>
      <c r="IU10" s="26">
        <v>0</v>
      </c>
      <c r="IV10" s="27">
        <f t="shared" si="9"/>
        <v>0</v>
      </c>
      <c r="IW10" s="28">
        <v>737</v>
      </c>
      <c r="IX10" s="29">
        <v>374</v>
      </c>
      <c r="IY10" s="29">
        <v>7.75</v>
      </c>
      <c r="IZ10" s="34" t="s">
        <v>32</v>
      </c>
      <c r="JA10" s="34"/>
      <c r="JB10" s="31" t="s">
        <v>32</v>
      </c>
      <c r="JC10" s="34" t="s">
        <v>32</v>
      </c>
      <c r="JD10" s="32" t="s">
        <v>32</v>
      </c>
      <c r="JE10" s="32" t="s">
        <v>32</v>
      </c>
      <c r="JF10" s="34" t="s">
        <v>32</v>
      </c>
      <c r="JG10" s="28" t="s">
        <v>32</v>
      </c>
      <c r="JH10" s="28" t="s">
        <v>32</v>
      </c>
      <c r="JI10" s="34" t="s">
        <v>32</v>
      </c>
      <c r="JJ10" s="34" t="s">
        <v>32</v>
      </c>
      <c r="JK10" s="32" t="s">
        <v>32</v>
      </c>
      <c r="JL10" s="32" t="s">
        <v>32</v>
      </c>
      <c r="JM10" s="29" t="s">
        <v>32</v>
      </c>
      <c r="JN10" s="28" t="s">
        <v>32</v>
      </c>
      <c r="JO10" s="26" t="s">
        <v>32</v>
      </c>
      <c r="JP10" s="34" t="s">
        <v>32</v>
      </c>
      <c r="JQ10" s="34" t="s">
        <v>32</v>
      </c>
      <c r="JR10" s="34" t="s">
        <v>32</v>
      </c>
      <c r="JS10" s="33">
        <f t="shared" si="21"/>
        <v>0</v>
      </c>
      <c r="JT10" s="24"/>
      <c r="JU10" s="25">
        <v>45695</v>
      </c>
      <c r="JV10" s="26">
        <v>0</v>
      </c>
      <c r="JW10" s="26">
        <v>0</v>
      </c>
      <c r="JX10" s="27">
        <f t="shared" si="10"/>
        <v>300287</v>
      </c>
      <c r="JY10" s="28">
        <v>1852</v>
      </c>
      <c r="JZ10" s="29">
        <v>1497</v>
      </c>
      <c r="KA10" s="29">
        <v>2.5</v>
      </c>
      <c r="KB10" s="34">
        <v>11660</v>
      </c>
      <c r="KC10" s="34">
        <v>14040</v>
      </c>
      <c r="KD10" s="31">
        <v>5000</v>
      </c>
      <c r="KE10" s="34">
        <v>215952</v>
      </c>
      <c r="KF10" s="32">
        <v>485</v>
      </c>
      <c r="KG10" s="32">
        <v>32000</v>
      </c>
      <c r="KH10" s="34" t="s">
        <v>32</v>
      </c>
      <c r="KI10" s="28" t="s">
        <v>32</v>
      </c>
      <c r="KJ10" s="28" t="s">
        <v>32</v>
      </c>
      <c r="KK10" s="34">
        <v>1150</v>
      </c>
      <c r="KL10" s="34" t="s">
        <v>32</v>
      </c>
      <c r="KM10" s="32" t="s">
        <v>32</v>
      </c>
      <c r="KN10" s="32" t="s">
        <v>32</v>
      </c>
      <c r="KQ10" s="29">
        <v>20000</v>
      </c>
      <c r="KR10" s="28" t="s">
        <v>47</v>
      </c>
      <c r="KS10" s="34" t="s">
        <v>32</v>
      </c>
      <c r="KT10" s="34" t="s">
        <v>32</v>
      </c>
      <c r="KU10" s="33">
        <f t="shared" si="22"/>
        <v>300287</v>
      </c>
      <c r="KV10" s="24"/>
      <c r="KW10" s="25">
        <v>45723</v>
      </c>
      <c r="KX10" s="26">
        <v>8084</v>
      </c>
      <c r="KY10" s="26">
        <v>600010</v>
      </c>
      <c r="KZ10" s="27">
        <f t="shared" si="11"/>
        <v>13920</v>
      </c>
      <c r="LA10" s="28">
        <v>3043</v>
      </c>
      <c r="LB10" s="29">
        <v>0</v>
      </c>
      <c r="LC10" s="29">
        <v>6</v>
      </c>
      <c r="LD10" s="34" t="s">
        <v>32</v>
      </c>
      <c r="LE10" s="34"/>
      <c r="LF10" s="31" t="s">
        <v>32</v>
      </c>
      <c r="LG10" s="34" t="s">
        <v>32</v>
      </c>
      <c r="LH10" s="32" t="s">
        <v>32</v>
      </c>
      <c r="LI10" s="32">
        <v>11300</v>
      </c>
      <c r="LJ10" s="34" t="s">
        <v>32</v>
      </c>
      <c r="LK10" s="28" t="s">
        <v>32</v>
      </c>
      <c r="LL10" s="28">
        <v>500</v>
      </c>
      <c r="LM10" s="34">
        <v>2120</v>
      </c>
      <c r="LN10" s="34" t="s">
        <v>32</v>
      </c>
      <c r="LO10" s="32" t="s">
        <v>32</v>
      </c>
      <c r="LP10" s="32" t="s">
        <v>32</v>
      </c>
      <c r="LQ10" s="29" t="s">
        <v>32</v>
      </c>
      <c r="LR10" s="28" t="s">
        <v>32</v>
      </c>
      <c r="LS10" s="26" t="s">
        <v>32</v>
      </c>
      <c r="LT10" s="34" t="s">
        <v>32</v>
      </c>
      <c r="LU10" s="34" t="s">
        <v>32</v>
      </c>
      <c r="LV10" s="34" t="s">
        <v>32</v>
      </c>
      <c r="LW10" s="33">
        <f t="shared" si="23"/>
        <v>13920</v>
      </c>
      <c r="LX10" s="24"/>
    </row>
    <row r="11" spans="1:336" x14ac:dyDescent="0.3">
      <c r="A11" s="25">
        <v>45390</v>
      </c>
      <c r="B11" s="26">
        <v>2685</v>
      </c>
      <c r="C11" s="26">
        <v>182608</v>
      </c>
      <c r="D11" s="27">
        <f t="shared" si="0"/>
        <v>157946</v>
      </c>
      <c r="E11" s="28">
        <v>0</v>
      </c>
      <c r="F11" s="29">
        <v>0</v>
      </c>
      <c r="G11" s="29">
        <v>0</v>
      </c>
      <c r="H11" s="34">
        <v>27094</v>
      </c>
      <c r="I11" s="34">
        <v>27651</v>
      </c>
      <c r="J11" s="31">
        <v>64601</v>
      </c>
      <c r="K11" s="34" t="s">
        <v>32</v>
      </c>
      <c r="L11" s="32" t="s">
        <v>32</v>
      </c>
      <c r="M11" s="32" t="s">
        <v>32</v>
      </c>
      <c r="N11" s="34">
        <v>36000</v>
      </c>
      <c r="O11" s="28"/>
      <c r="P11" s="28" t="s">
        <v>32</v>
      </c>
      <c r="Q11" s="34" t="s">
        <v>32</v>
      </c>
      <c r="R11" s="34" t="s">
        <v>32</v>
      </c>
      <c r="S11" s="32">
        <v>2600</v>
      </c>
      <c r="T11" s="32" t="s">
        <v>71</v>
      </c>
      <c r="U11" s="29" t="s">
        <v>32</v>
      </c>
      <c r="V11" s="28" t="s">
        <v>32</v>
      </c>
      <c r="W11" s="26" t="s">
        <v>32</v>
      </c>
      <c r="X11" s="34" t="s">
        <v>32</v>
      </c>
      <c r="Y11" s="34" t="s">
        <v>32</v>
      </c>
      <c r="Z11" s="34"/>
      <c r="AA11" s="33">
        <f t="shared" si="12"/>
        <v>157946</v>
      </c>
      <c r="AB11" s="24"/>
      <c r="AC11" s="25">
        <v>45420</v>
      </c>
      <c r="AD11" s="26">
        <v>0</v>
      </c>
      <c r="AE11" s="26">
        <v>0</v>
      </c>
      <c r="AF11" s="27">
        <f t="shared" si="1"/>
        <v>623145</v>
      </c>
      <c r="AG11" s="28">
        <v>0</v>
      </c>
      <c r="AH11" s="29">
        <v>0</v>
      </c>
      <c r="AI11" s="29">
        <v>0</v>
      </c>
      <c r="AJ11" s="34">
        <v>21920</v>
      </c>
      <c r="AK11" s="34">
        <v>26390</v>
      </c>
      <c r="AL11" s="31">
        <v>167000</v>
      </c>
      <c r="AM11" s="34">
        <v>46700</v>
      </c>
      <c r="AN11" s="32" t="s">
        <v>32</v>
      </c>
      <c r="AO11" s="32" t="s">
        <v>32</v>
      </c>
      <c r="AP11" s="34">
        <v>10000</v>
      </c>
      <c r="AQ11" s="28"/>
      <c r="AR11" s="28" t="s">
        <v>32</v>
      </c>
      <c r="AS11" s="34" t="s">
        <v>32</v>
      </c>
      <c r="AT11" s="34" t="s">
        <v>32</v>
      </c>
      <c r="AU11" s="32">
        <v>351135</v>
      </c>
      <c r="AV11" s="32" t="s">
        <v>32</v>
      </c>
      <c r="AW11" s="29" t="s">
        <v>32</v>
      </c>
      <c r="AX11" s="28" t="s">
        <v>32</v>
      </c>
      <c r="AY11" s="26" t="s">
        <v>32</v>
      </c>
      <c r="AZ11" s="34" t="s">
        <v>32</v>
      </c>
      <c r="BA11" s="34" t="s">
        <v>32</v>
      </c>
      <c r="BB11" s="34"/>
      <c r="BC11" s="33">
        <f t="shared" si="13"/>
        <v>623145</v>
      </c>
      <c r="BD11" s="24"/>
      <c r="BE11" s="25">
        <v>45451</v>
      </c>
      <c r="BF11" s="26">
        <v>0</v>
      </c>
      <c r="BG11" s="26">
        <v>0</v>
      </c>
      <c r="BH11" s="27">
        <f t="shared" si="2"/>
        <v>0</v>
      </c>
      <c r="BI11" s="28">
        <v>3779</v>
      </c>
      <c r="BJ11" s="29">
        <v>0</v>
      </c>
      <c r="BK11" s="29">
        <v>0</v>
      </c>
      <c r="BL11" s="34" t="s">
        <v>32</v>
      </c>
      <c r="BM11" s="34"/>
      <c r="BN11" s="31" t="s">
        <v>32</v>
      </c>
      <c r="BO11" s="34" t="s">
        <v>32</v>
      </c>
      <c r="BP11" s="32" t="s">
        <v>32</v>
      </c>
      <c r="BQ11" s="32" t="s">
        <v>32</v>
      </c>
      <c r="BR11" s="34" t="s">
        <v>32</v>
      </c>
      <c r="BS11" s="28"/>
      <c r="BT11" s="28" t="s">
        <v>32</v>
      </c>
      <c r="BU11" s="34" t="s">
        <v>32</v>
      </c>
      <c r="BV11" s="34" t="s">
        <v>32</v>
      </c>
      <c r="BW11" s="32" t="s">
        <v>32</v>
      </c>
      <c r="BX11" s="32" t="s">
        <v>32</v>
      </c>
      <c r="BY11" s="29" t="s">
        <v>32</v>
      </c>
      <c r="BZ11" s="28" t="s">
        <v>32</v>
      </c>
      <c r="CA11" s="26" t="s">
        <v>32</v>
      </c>
      <c r="CB11" s="34" t="s">
        <v>32</v>
      </c>
      <c r="CC11" s="34" t="s">
        <v>32</v>
      </c>
      <c r="CD11" s="34"/>
      <c r="CE11" s="33">
        <f t="shared" si="14"/>
        <v>0</v>
      </c>
      <c r="CF11" s="24"/>
      <c r="CG11" s="25">
        <v>45481</v>
      </c>
      <c r="CH11" s="26">
        <v>0</v>
      </c>
      <c r="CI11" s="26">
        <v>0</v>
      </c>
      <c r="CJ11" s="27">
        <f t="shared" si="3"/>
        <v>95980</v>
      </c>
      <c r="CK11" s="28">
        <v>4943</v>
      </c>
      <c r="CL11" s="29">
        <v>0</v>
      </c>
      <c r="CM11" s="29">
        <v>0</v>
      </c>
      <c r="CN11" s="34" t="s">
        <v>32</v>
      </c>
      <c r="CO11" s="34"/>
      <c r="CP11" s="31">
        <v>66000</v>
      </c>
      <c r="CQ11" s="34" t="s">
        <v>32</v>
      </c>
      <c r="CR11" s="32">
        <v>170</v>
      </c>
      <c r="CS11" s="32" t="s">
        <v>32</v>
      </c>
      <c r="CT11" s="34" t="s">
        <v>32</v>
      </c>
      <c r="CU11" s="28"/>
      <c r="CV11" s="28" t="s">
        <v>32</v>
      </c>
      <c r="CW11" s="34">
        <v>29810</v>
      </c>
      <c r="CX11" s="34" t="s">
        <v>32</v>
      </c>
      <c r="CY11" s="32" t="s">
        <v>32</v>
      </c>
      <c r="CZ11" s="32" t="s">
        <v>32</v>
      </c>
      <c r="DA11" s="29" t="s">
        <v>32</v>
      </c>
      <c r="DB11" s="28" t="s">
        <v>32</v>
      </c>
      <c r="DC11" s="26" t="s">
        <v>32</v>
      </c>
      <c r="DD11" s="34" t="s">
        <v>32</v>
      </c>
      <c r="DE11" s="34" t="s">
        <v>32</v>
      </c>
      <c r="DF11" s="34"/>
      <c r="DG11" s="33">
        <f t="shared" si="15"/>
        <v>95980</v>
      </c>
      <c r="DH11" s="24"/>
      <c r="DI11" s="25">
        <v>45512</v>
      </c>
      <c r="DJ11" s="26">
        <v>0</v>
      </c>
      <c r="DK11" s="26">
        <v>0</v>
      </c>
      <c r="DL11" s="27">
        <f t="shared" si="4"/>
        <v>0</v>
      </c>
      <c r="DM11" s="28">
        <v>3135</v>
      </c>
      <c r="DN11" s="29">
        <v>4892</v>
      </c>
      <c r="DO11" s="29">
        <v>9</v>
      </c>
      <c r="DP11" s="34" t="s">
        <v>32</v>
      </c>
      <c r="DQ11" s="34"/>
      <c r="DR11" s="31" t="s">
        <v>32</v>
      </c>
      <c r="DS11" s="34" t="s">
        <v>32</v>
      </c>
      <c r="DT11" s="32" t="s">
        <v>32</v>
      </c>
      <c r="DU11" s="32" t="s">
        <v>32</v>
      </c>
      <c r="DV11" s="34" t="s">
        <v>32</v>
      </c>
      <c r="DW11" s="28"/>
      <c r="DX11" s="28" t="s">
        <v>32</v>
      </c>
      <c r="DY11" s="34" t="s">
        <v>32</v>
      </c>
      <c r="DZ11" s="34" t="s">
        <v>32</v>
      </c>
      <c r="EA11" s="32" t="s">
        <v>32</v>
      </c>
      <c r="EB11" s="32" t="s">
        <v>32</v>
      </c>
      <c r="EC11" s="29" t="s">
        <v>32</v>
      </c>
      <c r="ED11" s="28" t="s">
        <v>32</v>
      </c>
      <c r="EE11" s="26" t="s">
        <v>32</v>
      </c>
      <c r="EF11" s="34" t="s">
        <v>32</v>
      </c>
      <c r="EG11" s="34" t="s">
        <v>32</v>
      </c>
      <c r="EH11" s="34"/>
      <c r="EI11" s="33">
        <f t="shared" si="16"/>
        <v>0</v>
      </c>
      <c r="EJ11" s="24"/>
      <c r="EK11" s="25">
        <v>45543</v>
      </c>
      <c r="EL11" s="26">
        <v>7479</v>
      </c>
      <c r="EM11" s="26">
        <v>419190</v>
      </c>
      <c r="EN11" s="27">
        <f t="shared" si="5"/>
        <v>18275</v>
      </c>
      <c r="EO11" s="28">
        <v>3834</v>
      </c>
      <c r="EP11" s="29">
        <v>1145</v>
      </c>
      <c r="EQ11" s="29">
        <v>5</v>
      </c>
      <c r="ER11" s="34" t="s">
        <v>32</v>
      </c>
      <c r="ES11" s="34"/>
      <c r="ET11" s="31" t="s">
        <v>32</v>
      </c>
      <c r="EU11" s="34" t="s">
        <v>32</v>
      </c>
      <c r="EV11" s="32" t="s">
        <v>32</v>
      </c>
      <c r="EW11" s="32">
        <v>6300</v>
      </c>
      <c r="EX11" s="34">
        <v>10000</v>
      </c>
      <c r="EY11" s="28"/>
      <c r="EZ11" s="28">
        <v>500</v>
      </c>
      <c r="FA11" s="34">
        <v>1475</v>
      </c>
      <c r="FB11" s="34" t="s">
        <v>32</v>
      </c>
      <c r="FC11" s="32" t="s">
        <v>32</v>
      </c>
      <c r="FD11" s="32" t="s">
        <v>32</v>
      </c>
      <c r="FE11" s="29" t="s">
        <v>32</v>
      </c>
      <c r="FF11" s="28" t="s">
        <v>32</v>
      </c>
      <c r="FG11" s="26" t="s">
        <v>32</v>
      </c>
      <c r="FH11" s="34" t="s">
        <v>32</v>
      </c>
      <c r="FI11" s="34" t="s">
        <v>32</v>
      </c>
      <c r="FJ11" s="34"/>
      <c r="FK11" s="33">
        <f t="shared" si="17"/>
        <v>18275</v>
      </c>
      <c r="FL11" s="24"/>
      <c r="FM11" s="25">
        <v>45573</v>
      </c>
      <c r="FN11" s="26">
        <v>451</v>
      </c>
      <c r="FO11" s="26">
        <v>34300</v>
      </c>
      <c r="FP11" s="27">
        <f t="shared" si="6"/>
        <v>247833</v>
      </c>
      <c r="FQ11" s="28">
        <v>3277</v>
      </c>
      <c r="FR11" s="29">
        <v>3656</v>
      </c>
      <c r="FS11" s="29">
        <v>7.2</v>
      </c>
      <c r="FT11" s="34" t="s">
        <v>32</v>
      </c>
      <c r="FU11" s="34"/>
      <c r="FV11" s="31">
        <v>100000</v>
      </c>
      <c r="FW11" s="34">
        <v>90000</v>
      </c>
      <c r="FX11" s="32">
        <v>2250</v>
      </c>
      <c r="FY11" s="32">
        <v>19500</v>
      </c>
      <c r="FZ11" s="34" t="s">
        <v>32</v>
      </c>
      <c r="GA11" s="28">
        <v>32968</v>
      </c>
      <c r="GB11" s="28" t="s">
        <v>32</v>
      </c>
      <c r="GC11" s="34">
        <v>2370</v>
      </c>
      <c r="GD11" s="34" t="s">
        <v>32</v>
      </c>
      <c r="GE11" s="32" t="s">
        <v>32</v>
      </c>
      <c r="GF11" s="32" t="s">
        <v>32</v>
      </c>
      <c r="GG11" s="29">
        <v>745</v>
      </c>
      <c r="GH11" s="28" t="s">
        <v>32</v>
      </c>
      <c r="GI11" s="26" t="s">
        <v>32</v>
      </c>
      <c r="GJ11" s="34" t="s">
        <v>32</v>
      </c>
      <c r="GK11" s="34" t="s">
        <v>32</v>
      </c>
      <c r="GL11" s="34"/>
      <c r="GM11" s="33">
        <f t="shared" si="18"/>
        <v>247833</v>
      </c>
      <c r="GN11" s="24"/>
      <c r="GO11" s="25">
        <v>45604</v>
      </c>
      <c r="GP11" s="26">
        <v>27777</v>
      </c>
      <c r="GQ11" s="26">
        <v>1512475</v>
      </c>
      <c r="GR11" s="27">
        <f t="shared" si="7"/>
        <v>274259</v>
      </c>
      <c r="GS11" s="28">
        <v>240</v>
      </c>
      <c r="GT11" s="29">
        <v>0</v>
      </c>
      <c r="GU11" s="29">
        <v>0</v>
      </c>
      <c r="GV11" s="34" t="s">
        <v>32</v>
      </c>
      <c r="GW11" s="34"/>
      <c r="GX11" s="31" t="s">
        <v>32</v>
      </c>
      <c r="GY11" s="34">
        <v>208710</v>
      </c>
      <c r="GZ11" s="32" t="s">
        <v>32</v>
      </c>
      <c r="HA11" s="32" t="s">
        <v>32</v>
      </c>
      <c r="HB11" s="34">
        <v>49000</v>
      </c>
      <c r="HC11" s="28"/>
      <c r="HD11" s="28">
        <v>200</v>
      </c>
      <c r="HE11" s="34">
        <v>3100</v>
      </c>
      <c r="HF11" s="34" t="s">
        <v>32</v>
      </c>
      <c r="HG11" s="32">
        <v>13249</v>
      </c>
      <c r="HH11" s="32" t="s">
        <v>85</v>
      </c>
      <c r="HI11" s="29" t="s">
        <v>32</v>
      </c>
      <c r="HJ11" s="28" t="s">
        <v>32</v>
      </c>
      <c r="HK11" s="26" t="s">
        <v>32</v>
      </c>
      <c r="HL11" s="34" t="s">
        <v>32</v>
      </c>
      <c r="HM11" s="34" t="s">
        <v>32</v>
      </c>
      <c r="HN11" s="34"/>
      <c r="HO11" s="33">
        <f t="shared" si="19"/>
        <v>274259</v>
      </c>
      <c r="HP11" s="24"/>
      <c r="HQ11" s="25">
        <v>45634</v>
      </c>
      <c r="HR11" s="26">
        <v>10</v>
      </c>
      <c r="HS11" s="26">
        <v>500</v>
      </c>
      <c r="HT11" s="27">
        <f t="shared" si="8"/>
        <v>435925</v>
      </c>
      <c r="HU11" s="28">
        <v>4630</v>
      </c>
      <c r="HV11" s="29">
        <v>742</v>
      </c>
      <c r="HW11" s="29">
        <v>7.5</v>
      </c>
      <c r="HX11" s="34">
        <v>10805</v>
      </c>
      <c r="HY11" s="34">
        <v>13045</v>
      </c>
      <c r="HZ11" s="31">
        <v>310460</v>
      </c>
      <c r="IA11" s="34">
        <v>100000</v>
      </c>
      <c r="IB11" s="32" t="s">
        <v>32</v>
      </c>
      <c r="IC11" s="32" t="s">
        <v>32</v>
      </c>
      <c r="ID11" s="34" t="s">
        <v>32</v>
      </c>
      <c r="IE11" s="28"/>
      <c r="IF11" s="28">
        <v>500</v>
      </c>
      <c r="IG11" s="34">
        <v>915</v>
      </c>
      <c r="IH11" s="34" t="s">
        <v>32</v>
      </c>
      <c r="II11" s="32">
        <v>200</v>
      </c>
      <c r="IJ11" s="32" t="s">
        <v>51</v>
      </c>
      <c r="IK11" s="29" t="s">
        <v>32</v>
      </c>
      <c r="IL11" s="28" t="s">
        <v>32</v>
      </c>
      <c r="IM11" s="26" t="s">
        <v>32</v>
      </c>
      <c r="IN11" s="34" t="s">
        <v>32</v>
      </c>
      <c r="IO11" s="34" t="s">
        <v>32</v>
      </c>
      <c r="IP11" s="34"/>
      <c r="IQ11" s="33">
        <f t="shared" si="20"/>
        <v>435925</v>
      </c>
      <c r="IR11" s="24"/>
      <c r="IS11" s="25">
        <v>45665</v>
      </c>
      <c r="IT11" s="26">
        <v>0</v>
      </c>
      <c r="IU11" s="26">
        <v>0</v>
      </c>
      <c r="IV11" s="27">
        <f t="shared" si="9"/>
        <v>61602</v>
      </c>
      <c r="IW11" s="28">
        <v>994</v>
      </c>
      <c r="IX11" s="29">
        <v>4663</v>
      </c>
      <c r="IY11" s="29">
        <v>7.2</v>
      </c>
      <c r="IZ11" s="34">
        <v>21176</v>
      </c>
      <c r="JA11" s="34">
        <v>37205</v>
      </c>
      <c r="JB11" s="31" t="s">
        <v>32</v>
      </c>
      <c r="JC11" s="34" t="s">
        <v>32</v>
      </c>
      <c r="JD11" s="32" t="s">
        <v>32</v>
      </c>
      <c r="JE11" s="32" t="s">
        <v>32</v>
      </c>
      <c r="JF11" s="34" t="s">
        <v>32</v>
      </c>
      <c r="JG11" s="28"/>
      <c r="JH11" s="28" t="s">
        <v>32</v>
      </c>
      <c r="JI11" s="34">
        <v>3221</v>
      </c>
      <c r="JJ11" s="34" t="s">
        <v>32</v>
      </c>
      <c r="JK11" s="32" t="s">
        <v>32</v>
      </c>
      <c r="JL11" s="32" t="s">
        <v>32</v>
      </c>
      <c r="JM11" s="29" t="s">
        <v>32</v>
      </c>
      <c r="JN11" s="28" t="s">
        <v>32</v>
      </c>
      <c r="JO11" s="26" t="s">
        <v>32</v>
      </c>
      <c r="JP11" s="34" t="s">
        <v>32</v>
      </c>
      <c r="JQ11" s="34" t="s">
        <v>32</v>
      </c>
      <c r="JR11" s="34"/>
      <c r="JS11" s="33">
        <f t="shared" si="21"/>
        <v>61602</v>
      </c>
      <c r="JT11" s="24"/>
      <c r="JU11" s="25">
        <v>45696</v>
      </c>
      <c r="JV11" s="26">
        <v>0</v>
      </c>
      <c r="JW11" s="26">
        <v>0</v>
      </c>
      <c r="JX11" s="27">
        <f t="shared" si="10"/>
        <v>0</v>
      </c>
      <c r="JY11" s="28">
        <v>1290</v>
      </c>
      <c r="JZ11" s="29">
        <v>3689</v>
      </c>
      <c r="KA11" s="29">
        <v>7.25</v>
      </c>
      <c r="KB11" s="34" t="s">
        <v>32</v>
      </c>
      <c r="KC11" s="34"/>
      <c r="KD11" s="31" t="s">
        <v>32</v>
      </c>
      <c r="KE11" s="34" t="s">
        <v>32</v>
      </c>
      <c r="KF11" s="32" t="s">
        <v>32</v>
      </c>
      <c r="KG11" s="32" t="s">
        <v>32</v>
      </c>
      <c r="KH11" s="34" t="s">
        <v>32</v>
      </c>
      <c r="KI11" s="28"/>
      <c r="KJ11" s="28" t="s">
        <v>32</v>
      </c>
      <c r="KK11" s="34" t="s">
        <v>32</v>
      </c>
      <c r="KL11" s="34" t="s">
        <v>32</v>
      </c>
      <c r="KM11" s="32" t="s">
        <v>32</v>
      </c>
      <c r="KN11" s="32" t="s">
        <v>32</v>
      </c>
      <c r="KO11" s="29" t="s">
        <v>32</v>
      </c>
      <c r="KP11" s="28" t="s">
        <v>32</v>
      </c>
      <c r="KQ11" s="26" t="s">
        <v>32</v>
      </c>
      <c r="KR11" s="34" t="s">
        <v>32</v>
      </c>
      <c r="KS11" s="34" t="s">
        <v>32</v>
      </c>
      <c r="KT11" s="34"/>
      <c r="KU11" s="33">
        <f t="shared" si="22"/>
        <v>0</v>
      </c>
      <c r="KV11" s="24"/>
      <c r="KW11" s="25">
        <v>45724</v>
      </c>
      <c r="KX11" s="26">
        <v>0</v>
      </c>
      <c r="KY11" s="26">
        <v>0</v>
      </c>
      <c r="KZ11" s="27">
        <f t="shared" si="11"/>
        <v>0</v>
      </c>
      <c r="LA11" s="28">
        <v>3269</v>
      </c>
      <c r="LB11" s="29">
        <v>2149</v>
      </c>
      <c r="LC11" s="29">
        <v>5</v>
      </c>
      <c r="LD11" s="34" t="s">
        <v>32</v>
      </c>
      <c r="LE11" s="34"/>
      <c r="LF11" s="31" t="s">
        <v>32</v>
      </c>
      <c r="LG11" s="34" t="s">
        <v>32</v>
      </c>
      <c r="LH11" s="32" t="s">
        <v>32</v>
      </c>
      <c r="LI11" s="32" t="s">
        <v>32</v>
      </c>
      <c r="LJ11" s="34" t="s">
        <v>32</v>
      </c>
      <c r="LK11" s="28"/>
      <c r="LL11" s="28" t="s">
        <v>32</v>
      </c>
      <c r="LM11" s="34" t="s">
        <v>32</v>
      </c>
      <c r="LN11" s="34" t="s">
        <v>32</v>
      </c>
      <c r="LO11" s="32" t="s">
        <v>32</v>
      </c>
      <c r="LP11" s="32" t="s">
        <v>32</v>
      </c>
      <c r="LQ11" s="29" t="s">
        <v>32</v>
      </c>
      <c r="LR11" s="28" t="s">
        <v>32</v>
      </c>
      <c r="LS11" s="26" t="s">
        <v>32</v>
      </c>
      <c r="LT11" s="34" t="s">
        <v>32</v>
      </c>
      <c r="LU11" s="34" t="s">
        <v>32</v>
      </c>
      <c r="LV11" s="34"/>
      <c r="LW11" s="33">
        <f t="shared" si="23"/>
        <v>0</v>
      </c>
      <c r="LX11" s="24"/>
    </row>
    <row r="12" spans="1:336" x14ac:dyDescent="0.3">
      <c r="A12" s="25">
        <v>45391</v>
      </c>
      <c r="B12" s="26">
        <v>973</v>
      </c>
      <c r="C12" s="26">
        <v>44900</v>
      </c>
      <c r="D12" s="27">
        <f t="shared" si="0"/>
        <v>36240</v>
      </c>
      <c r="E12" s="28">
        <v>2062</v>
      </c>
      <c r="F12" s="29">
        <v>2801</v>
      </c>
      <c r="G12" s="29">
        <v>7.75</v>
      </c>
      <c r="H12" s="34" t="s">
        <v>32</v>
      </c>
      <c r="I12" s="34" t="s">
        <v>32</v>
      </c>
      <c r="J12" s="31" t="s">
        <v>32</v>
      </c>
      <c r="K12" s="34" t="s">
        <v>32</v>
      </c>
      <c r="L12" s="32" t="s">
        <v>32</v>
      </c>
      <c r="M12" s="32" t="s">
        <v>32</v>
      </c>
      <c r="N12" s="34" t="s">
        <v>32</v>
      </c>
      <c r="O12" s="28"/>
      <c r="P12" s="28" t="s">
        <v>32</v>
      </c>
      <c r="Q12" s="34">
        <v>440</v>
      </c>
      <c r="R12" s="34" t="s">
        <v>32</v>
      </c>
      <c r="S12" s="32">
        <v>33500</v>
      </c>
      <c r="T12" s="32" t="s">
        <v>72</v>
      </c>
      <c r="U12" s="29">
        <v>2300</v>
      </c>
      <c r="V12" s="28" t="s">
        <v>32</v>
      </c>
      <c r="W12" s="26" t="s">
        <v>32</v>
      </c>
      <c r="X12" s="34" t="s">
        <v>32</v>
      </c>
      <c r="Y12" s="34" t="s">
        <v>32</v>
      </c>
      <c r="Z12" s="34" t="s">
        <v>32</v>
      </c>
      <c r="AA12" s="33">
        <f t="shared" si="12"/>
        <v>36240</v>
      </c>
      <c r="AB12" s="24"/>
      <c r="AC12" s="25">
        <v>45421</v>
      </c>
      <c r="AD12" s="26">
        <v>0</v>
      </c>
      <c r="AE12" s="26">
        <v>0</v>
      </c>
      <c r="AF12" s="27">
        <f t="shared" si="1"/>
        <v>0</v>
      </c>
      <c r="AG12" s="28">
        <v>3479</v>
      </c>
      <c r="AH12" s="29">
        <v>1999</v>
      </c>
      <c r="AI12" s="29">
        <v>4.75</v>
      </c>
      <c r="AJ12" s="34" t="s">
        <v>32</v>
      </c>
      <c r="AK12" s="34" t="s">
        <v>32</v>
      </c>
      <c r="AL12" s="31" t="s">
        <v>32</v>
      </c>
      <c r="AM12" s="34" t="s">
        <v>32</v>
      </c>
      <c r="AN12" s="32" t="s">
        <v>32</v>
      </c>
      <c r="AO12" s="32" t="s">
        <v>32</v>
      </c>
      <c r="AP12" s="34" t="s">
        <v>32</v>
      </c>
      <c r="AQ12" s="28"/>
      <c r="AR12" s="28" t="s">
        <v>32</v>
      </c>
      <c r="AS12" s="34" t="s">
        <v>32</v>
      </c>
      <c r="AT12" s="34" t="s">
        <v>32</v>
      </c>
      <c r="AU12" s="32" t="s">
        <v>32</v>
      </c>
      <c r="AV12" s="32" t="s">
        <v>32</v>
      </c>
      <c r="AW12" s="29" t="s">
        <v>32</v>
      </c>
      <c r="AX12" s="28" t="s">
        <v>32</v>
      </c>
      <c r="AY12" s="26" t="s">
        <v>32</v>
      </c>
      <c r="AZ12" s="34" t="s">
        <v>32</v>
      </c>
      <c r="BA12" s="34" t="s">
        <v>32</v>
      </c>
      <c r="BB12" s="34" t="s">
        <v>32</v>
      </c>
      <c r="BC12" s="33">
        <f t="shared" si="13"/>
        <v>0</v>
      </c>
      <c r="BD12" s="24"/>
      <c r="BE12" s="25">
        <v>45452</v>
      </c>
      <c r="BF12" s="26">
        <v>6151</v>
      </c>
      <c r="BG12" s="26">
        <v>197733</v>
      </c>
      <c r="BH12" s="27">
        <f t="shared" si="2"/>
        <v>15190</v>
      </c>
      <c r="BI12" s="28">
        <v>3234</v>
      </c>
      <c r="BJ12" s="29">
        <v>0</v>
      </c>
      <c r="BK12" s="29">
        <v>8</v>
      </c>
      <c r="BL12" s="34" t="s">
        <v>32</v>
      </c>
      <c r="BM12" s="34" t="s">
        <v>32</v>
      </c>
      <c r="BN12" s="31" t="s">
        <v>32</v>
      </c>
      <c r="BO12" s="34" t="s">
        <v>32</v>
      </c>
      <c r="BP12" s="32">
        <v>13650</v>
      </c>
      <c r="BQ12" s="32" t="s">
        <v>32</v>
      </c>
      <c r="BR12" s="34" t="s">
        <v>32</v>
      </c>
      <c r="BS12" s="28"/>
      <c r="BT12" s="28">
        <v>500</v>
      </c>
      <c r="BU12" s="34">
        <v>740</v>
      </c>
      <c r="BV12" s="34" t="s">
        <v>32</v>
      </c>
      <c r="BW12" s="32" t="s">
        <v>32</v>
      </c>
      <c r="BX12" s="32" t="s">
        <v>32</v>
      </c>
      <c r="BY12" s="29" t="s">
        <v>32</v>
      </c>
      <c r="BZ12" s="28" t="s">
        <v>32</v>
      </c>
      <c r="CA12" s="26" t="s">
        <v>32</v>
      </c>
      <c r="CB12" s="34" t="s">
        <v>32</v>
      </c>
      <c r="CC12" s="34">
        <v>300</v>
      </c>
      <c r="CD12" s="34" t="s">
        <v>80</v>
      </c>
      <c r="CE12" s="33">
        <f t="shared" si="14"/>
        <v>15190</v>
      </c>
      <c r="CF12" s="24"/>
      <c r="CG12" s="25">
        <v>45482</v>
      </c>
      <c r="CH12" s="26">
        <v>0</v>
      </c>
      <c r="CI12" s="26">
        <v>0</v>
      </c>
      <c r="CJ12" s="27">
        <f t="shared" si="3"/>
        <v>0</v>
      </c>
      <c r="CK12" s="28">
        <v>397</v>
      </c>
      <c r="CL12" s="29">
        <v>0</v>
      </c>
      <c r="CM12" s="29">
        <v>0</v>
      </c>
      <c r="CN12" s="34" t="s">
        <v>32</v>
      </c>
      <c r="CO12" s="34" t="s">
        <v>32</v>
      </c>
      <c r="CP12" s="31" t="s">
        <v>32</v>
      </c>
      <c r="CQ12" s="34" t="s">
        <v>32</v>
      </c>
      <c r="CR12" s="32" t="s">
        <v>32</v>
      </c>
      <c r="CS12" s="32" t="s">
        <v>32</v>
      </c>
      <c r="CT12" s="34" t="s">
        <v>32</v>
      </c>
      <c r="CU12" s="28"/>
      <c r="CV12" s="28" t="s">
        <v>32</v>
      </c>
      <c r="CW12" s="34" t="s">
        <v>32</v>
      </c>
      <c r="CX12" s="34" t="s">
        <v>32</v>
      </c>
      <c r="CY12" s="32" t="s">
        <v>32</v>
      </c>
      <c r="CZ12" s="32" t="s">
        <v>32</v>
      </c>
      <c r="DA12" s="29" t="s">
        <v>32</v>
      </c>
      <c r="DB12" s="28" t="s">
        <v>32</v>
      </c>
      <c r="DC12" s="26" t="s">
        <v>32</v>
      </c>
      <c r="DD12" s="34" t="s">
        <v>32</v>
      </c>
      <c r="DE12" s="34" t="s">
        <v>32</v>
      </c>
      <c r="DF12" s="34" t="s">
        <v>32</v>
      </c>
      <c r="DG12" s="33">
        <f t="shared" si="15"/>
        <v>0</v>
      </c>
      <c r="DH12" s="24"/>
      <c r="DI12" s="25">
        <v>45513</v>
      </c>
      <c r="DJ12" s="26">
        <v>9647</v>
      </c>
      <c r="DK12" s="26">
        <v>346795</v>
      </c>
      <c r="DL12" s="27">
        <f t="shared" si="4"/>
        <v>106002</v>
      </c>
      <c r="DM12" s="28">
        <v>4332</v>
      </c>
      <c r="DN12" s="29">
        <v>0</v>
      </c>
      <c r="DO12" s="29">
        <v>8</v>
      </c>
      <c r="DP12" s="34" t="s">
        <v>32</v>
      </c>
      <c r="DQ12" s="34" t="s">
        <v>32</v>
      </c>
      <c r="DR12" s="31">
        <v>20000</v>
      </c>
      <c r="DS12" s="34">
        <v>50000</v>
      </c>
      <c r="DT12" s="32">
        <v>180</v>
      </c>
      <c r="DU12" s="32">
        <v>13387</v>
      </c>
      <c r="DV12" s="34">
        <v>20000</v>
      </c>
      <c r="DW12" s="28"/>
      <c r="DX12" s="28">
        <v>500</v>
      </c>
      <c r="DY12" s="34">
        <v>1735</v>
      </c>
      <c r="DZ12" s="34" t="s">
        <v>32</v>
      </c>
      <c r="EA12" s="32">
        <v>200</v>
      </c>
      <c r="EB12" s="32" t="s">
        <v>51</v>
      </c>
      <c r="EC12" s="29" t="s">
        <v>32</v>
      </c>
      <c r="ED12" s="28" t="s">
        <v>32</v>
      </c>
      <c r="EE12" s="26" t="s">
        <v>32</v>
      </c>
      <c r="EF12" s="34" t="s">
        <v>32</v>
      </c>
      <c r="EG12" s="34" t="s">
        <v>32</v>
      </c>
      <c r="EH12" s="34" t="s">
        <v>32</v>
      </c>
      <c r="EI12" s="33">
        <f t="shared" si="16"/>
        <v>106002</v>
      </c>
      <c r="EJ12" s="24"/>
      <c r="EK12" s="25">
        <v>45544</v>
      </c>
      <c r="EL12" s="26">
        <v>0</v>
      </c>
      <c r="EM12" s="26">
        <v>0</v>
      </c>
      <c r="EN12" s="27">
        <f t="shared" si="5"/>
        <v>0</v>
      </c>
      <c r="EO12" s="28">
        <v>3387</v>
      </c>
      <c r="EP12" s="29">
        <v>3464</v>
      </c>
      <c r="EQ12" s="29">
        <v>11</v>
      </c>
      <c r="ER12" s="34" t="s">
        <v>32</v>
      </c>
      <c r="ES12" s="34" t="s">
        <v>32</v>
      </c>
      <c r="ET12" s="31" t="s">
        <v>32</v>
      </c>
      <c r="EU12" s="34" t="s">
        <v>32</v>
      </c>
      <c r="EV12" s="32" t="s">
        <v>32</v>
      </c>
      <c r="EW12" s="32" t="s">
        <v>32</v>
      </c>
      <c r="EX12" s="34" t="s">
        <v>32</v>
      </c>
      <c r="EY12" s="28"/>
      <c r="EZ12" s="28" t="s">
        <v>32</v>
      </c>
      <c r="FA12" s="34" t="s">
        <v>32</v>
      </c>
      <c r="FB12" s="34" t="s">
        <v>32</v>
      </c>
      <c r="FC12" s="32" t="s">
        <v>32</v>
      </c>
      <c r="FD12" s="32" t="s">
        <v>32</v>
      </c>
      <c r="FE12" s="29" t="s">
        <v>32</v>
      </c>
      <c r="FF12" s="28" t="s">
        <v>32</v>
      </c>
      <c r="FG12" s="26" t="s">
        <v>32</v>
      </c>
      <c r="FH12" s="34" t="s">
        <v>32</v>
      </c>
      <c r="FI12" s="34" t="s">
        <v>32</v>
      </c>
      <c r="FJ12" s="34" t="s">
        <v>32</v>
      </c>
      <c r="FK12" s="33">
        <f t="shared" si="17"/>
        <v>0</v>
      </c>
      <c r="FL12" s="24"/>
      <c r="FM12" s="25">
        <v>45574</v>
      </c>
      <c r="FN12" s="26">
        <v>0</v>
      </c>
      <c r="FO12" s="26">
        <v>0</v>
      </c>
      <c r="FP12" s="27">
        <f t="shared" si="6"/>
        <v>0</v>
      </c>
      <c r="FQ12" s="28">
        <v>2685</v>
      </c>
      <c r="FR12" s="29">
        <v>1560</v>
      </c>
      <c r="FS12" s="29">
        <v>7.5</v>
      </c>
      <c r="FT12" s="34" t="s">
        <v>32</v>
      </c>
      <c r="FU12" s="34" t="s">
        <v>32</v>
      </c>
      <c r="FV12" s="31" t="s">
        <v>32</v>
      </c>
      <c r="FW12" s="34" t="s">
        <v>32</v>
      </c>
      <c r="FX12" s="32" t="s">
        <v>32</v>
      </c>
      <c r="FY12" s="32" t="s">
        <v>32</v>
      </c>
      <c r="FZ12" s="34" t="s">
        <v>32</v>
      </c>
      <c r="GA12" s="28"/>
      <c r="GB12" s="28" t="s">
        <v>32</v>
      </c>
      <c r="GC12" s="34" t="s">
        <v>32</v>
      </c>
      <c r="GD12" s="34" t="s">
        <v>32</v>
      </c>
      <c r="GE12" s="32" t="s">
        <v>32</v>
      </c>
      <c r="GF12" s="32" t="s">
        <v>32</v>
      </c>
      <c r="GG12" s="29" t="s">
        <v>32</v>
      </c>
      <c r="GH12" s="28" t="s">
        <v>32</v>
      </c>
      <c r="GI12" s="26" t="s">
        <v>32</v>
      </c>
      <c r="GJ12" s="34" t="s">
        <v>32</v>
      </c>
      <c r="GK12" s="34" t="s">
        <v>32</v>
      </c>
      <c r="GL12" s="34" t="s">
        <v>32</v>
      </c>
      <c r="GM12" s="33">
        <f t="shared" si="18"/>
        <v>0</v>
      </c>
      <c r="GN12" s="24"/>
      <c r="GO12" s="25">
        <v>45605</v>
      </c>
      <c r="GP12" s="26">
        <v>0</v>
      </c>
      <c r="GQ12" s="26">
        <v>0</v>
      </c>
      <c r="GR12" s="27">
        <f t="shared" si="7"/>
        <v>0</v>
      </c>
      <c r="GS12" s="28">
        <v>517</v>
      </c>
      <c r="GT12" s="29">
        <v>0</v>
      </c>
      <c r="GU12" s="29">
        <v>0</v>
      </c>
      <c r="GV12" s="34" t="s">
        <v>32</v>
      </c>
      <c r="GW12" s="34" t="s">
        <v>32</v>
      </c>
      <c r="GX12" s="31" t="s">
        <v>32</v>
      </c>
      <c r="GY12" s="34" t="s">
        <v>32</v>
      </c>
      <c r="GZ12" s="32" t="s">
        <v>32</v>
      </c>
      <c r="HA12" s="32" t="s">
        <v>32</v>
      </c>
      <c r="HB12" s="34" t="s">
        <v>32</v>
      </c>
      <c r="HC12" s="28"/>
      <c r="HD12" s="28" t="s">
        <v>32</v>
      </c>
      <c r="HE12" s="34" t="s">
        <v>32</v>
      </c>
      <c r="HF12" s="34" t="s">
        <v>32</v>
      </c>
      <c r="HG12" s="32" t="s">
        <v>32</v>
      </c>
      <c r="HH12" s="32" t="s">
        <v>32</v>
      </c>
      <c r="HI12" s="29" t="s">
        <v>32</v>
      </c>
      <c r="HJ12" s="28" t="s">
        <v>32</v>
      </c>
      <c r="HK12" s="26" t="s">
        <v>32</v>
      </c>
      <c r="HL12" s="34" t="s">
        <v>32</v>
      </c>
      <c r="HM12" s="34" t="s">
        <v>32</v>
      </c>
      <c r="HN12" s="34" t="s">
        <v>32</v>
      </c>
      <c r="HO12" s="33">
        <f t="shared" si="19"/>
        <v>0</v>
      </c>
      <c r="HP12" s="24"/>
      <c r="HQ12" s="25">
        <v>45635</v>
      </c>
      <c r="HR12" s="26">
        <v>0</v>
      </c>
      <c r="HS12" s="26">
        <v>0</v>
      </c>
      <c r="HT12" s="27">
        <f t="shared" si="8"/>
        <v>70665</v>
      </c>
      <c r="HU12" s="28">
        <v>2798</v>
      </c>
      <c r="HV12" s="29">
        <v>0</v>
      </c>
      <c r="HW12" s="29">
        <v>4.5</v>
      </c>
      <c r="HX12" s="34" t="s">
        <v>32</v>
      </c>
      <c r="HY12" s="34" t="s">
        <v>32</v>
      </c>
      <c r="HZ12" s="31" t="s">
        <v>32</v>
      </c>
      <c r="IA12" s="34" t="s">
        <v>32</v>
      </c>
      <c r="IB12" s="32" t="s">
        <v>32</v>
      </c>
      <c r="IC12" s="32">
        <v>20000</v>
      </c>
      <c r="ID12" s="34">
        <v>50000</v>
      </c>
      <c r="IE12" s="28"/>
      <c r="IF12" s="28" t="s">
        <v>32</v>
      </c>
      <c r="IG12" s="34">
        <v>665</v>
      </c>
      <c r="IH12" s="34" t="s">
        <v>32</v>
      </c>
      <c r="II12" s="32" t="s">
        <v>32</v>
      </c>
      <c r="IJ12" s="32" t="s">
        <v>32</v>
      </c>
      <c r="IK12" s="29" t="s">
        <v>32</v>
      </c>
      <c r="IL12" s="28" t="s">
        <v>32</v>
      </c>
      <c r="IM12" s="26" t="s">
        <v>32</v>
      </c>
      <c r="IN12" s="34" t="s">
        <v>32</v>
      </c>
      <c r="IO12" s="34" t="s">
        <v>32</v>
      </c>
      <c r="IP12" s="34" t="s">
        <v>32</v>
      </c>
      <c r="IQ12" s="33">
        <f t="shared" si="20"/>
        <v>70665</v>
      </c>
      <c r="IR12" s="24"/>
      <c r="IS12" s="25">
        <v>45666</v>
      </c>
      <c r="IT12" s="26">
        <v>0</v>
      </c>
      <c r="IU12" s="26">
        <v>0</v>
      </c>
      <c r="IV12" s="27">
        <f t="shared" si="9"/>
        <v>0</v>
      </c>
      <c r="IW12" s="28">
        <v>2240</v>
      </c>
      <c r="IX12" s="29">
        <v>962</v>
      </c>
      <c r="IY12" s="29">
        <v>8</v>
      </c>
      <c r="IZ12" s="34" t="s">
        <v>32</v>
      </c>
      <c r="JA12" s="34" t="s">
        <v>32</v>
      </c>
      <c r="JB12" s="31" t="s">
        <v>32</v>
      </c>
      <c r="JC12" s="34" t="s">
        <v>32</v>
      </c>
      <c r="JD12" s="32" t="s">
        <v>32</v>
      </c>
      <c r="JE12" s="32" t="s">
        <v>32</v>
      </c>
      <c r="JF12" s="34" t="s">
        <v>32</v>
      </c>
      <c r="JG12" s="28"/>
      <c r="JH12" s="28" t="s">
        <v>32</v>
      </c>
      <c r="JI12" s="34" t="s">
        <v>32</v>
      </c>
      <c r="JJ12" s="34" t="s">
        <v>32</v>
      </c>
      <c r="JK12" s="32" t="s">
        <v>32</v>
      </c>
      <c r="JL12" s="32" t="s">
        <v>32</v>
      </c>
      <c r="JM12" s="29" t="s">
        <v>32</v>
      </c>
      <c r="JN12" s="28" t="s">
        <v>32</v>
      </c>
      <c r="JO12" s="26" t="s">
        <v>32</v>
      </c>
      <c r="JP12" s="34" t="s">
        <v>32</v>
      </c>
      <c r="JQ12" s="34" t="s">
        <v>32</v>
      </c>
      <c r="JR12" s="34" t="s">
        <v>32</v>
      </c>
      <c r="JS12" s="33">
        <f t="shared" si="21"/>
        <v>0</v>
      </c>
      <c r="JT12" s="24"/>
      <c r="JU12" s="25">
        <v>45697</v>
      </c>
      <c r="JV12" s="26">
        <v>0</v>
      </c>
      <c r="JW12" s="26">
        <v>0</v>
      </c>
      <c r="JX12" s="27">
        <f t="shared" si="10"/>
        <v>0</v>
      </c>
      <c r="JY12" s="28">
        <v>0</v>
      </c>
      <c r="JZ12" s="29">
        <v>589</v>
      </c>
      <c r="KA12" s="29">
        <v>6.5</v>
      </c>
      <c r="KB12" s="34" t="s">
        <v>32</v>
      </c>
      <c r="KC12" s="34" t="s">
        <v>32</v>
      </c>
      <c r="KD12" s="31" t="s">
        <v>32</v>
      </c>
      <c r="KE12" s="34" t="s">
        <v>32</v>
      </c>
      <c r="KF12" s="32" t="s">
        <v>32</v>
      </c>
      <c r="KG12" s="32" t="s">
        <v>32</v>
      </c>
      <c r="KH12" s="34" t="s">
        <v>32</v>
      </c>
      <c r="KI12" s="28"/>
      <c r="KJ12" s="28" t="s">
        <v>32</v>
      </c>
      <c r="KK12" s="34" t="s">
        <v>32</v>
      </c>
      <c r="KL12" s="34" t="s">
        <v>32</v>
      </c>
      <c r="KM12" s="32" t="s">
        <v>32</v>
      </c>
      <c r="KN12" s="32" t="s">
        <v>32</v>
      </c>
      <c r="KO12" s="29" t="s">
        <v>32</v>
      </c>
      <c r="KP12" s="28" t="s">
        <v>32</v>
      </c>
      <c r="KQ12" s="26" t="s">
        <v>32</v>
      </c>
      <c r="KR12" s="34" t="s">
        <v>32</v>
      </c>
      <c r="KS12" s="34" t="s">
        <v>32</v>
      </c>
      <c r="KT12" s="34" t="s">
        <v>32</v>
      </c>
      <c r="KU12" s="33">
        <f t="shared" si="22"/>
        <v>0</v>
      </c>
      <c r="KV12" s="24"/>
      <c r="KW12" s="25">
        <v>45725</v>
      </c>
      <c r="KX12" s="26">
        <v>0</v>
      </c>
      <c r="KY12" s="26">
        <v>0</v>
      </c>
      <c r="KZ12" s="27">
        <f t="shared" si="11"/>
        <v>577979</v>
      </c>
      <c r="LA12" s="28">
        <v>2233</v>
      </c>
      <c r="LB12" s="29">
        <v>1300</v>
      </c>
      <c r="LC12" s="29">
        <v>3</v>
      </c>
      <c r="LD12" s="34">
        <v>52800</v>
      </c>
      <c r="LE12" s="34">
        <v>63680</v>
      </c>
      <c r="LF12" s="31">
        <v>206504</v>
      </c>
      <c r="LG12" s="34">
        <v>170000</v>
      </c>
      <c r="LH12" s="32">
        <v>1000</v>
      </c>
      <c r="LI12" s="32" t="s">
        <v>32</v>
      </c>
      <c r="LJ12" s="34" t="s">
        <v>32</v>
      </c>
      <c r="LK12" s="28"/>
      <c r="LL12" s="28" t="s">
        <v>32</v>
      </c>
      <c r="LM12" s="34">
        <v>3865</v>
      </c>
      <c r="LN12" s="34" t="s">
        <v>32</v>
      </c>
      <c r="LO12" s="32">
        <v>80000</v>
      </c>
      <c r="LP12" s="32" t="s">
        <v>118</v>
      </c>
      <c r="LQ12" s="29" t="s">
        <v>32</v>
      </c>
      <c r="LR12" s="28">
        <v>130</v>
      </c>
      <c r="LS12" s="26" t="s">
        <v>32</v>
      </c>
      <c r="LT12" s="34" t="s">
        <v>32</v>
      </c>
      <c r="LU12" s="34" t="s">
        <v>32</v>
      </c>
      <c r="LV12" s="34" t="s">
        <v>32</v>
      </c>
      <c r="LW12" s="33">
        <f t="shared" si="23"/>
        <v>577979</v>
      </c>
      <c r="LX12" s="24"/>
    </row>
    <row r="13" spans="1:336" x14ac:dyDescent="0.3">
      <c r="A13" s="25">
        <v>45392</v>
      </c>
      <c r="B13" s="26">
        <v>0</v>
      </c>
      <c r="C13" s="26">
        <v>0</v>
      </c>
      <c r="D13" s="27">
        <f t="shared" si="0"/>
        <v>0</v>
      </c>
      <c r="E13" s="28">
        <v>1884</v>
      </c>
      <c r="F13" s="29">
        <v>2690</v>
      </c>
      <c r="G13" s="29">
        <v>7.75</v>
      </c>
      <c r="H13" s="34" t="s">
        <v>32</v>
      </c>
      <c r="I13" s="34"/>
      <c r="J13" s="31" t="s">
        <v>32</v>
      </c>
      <c r="K13" s="34" t="s">
        <v>32</v>
      </c>
      <c r="L13" s="32" t="s">
        <v>32</v>
      </c>
      <c r="M13" s="32" t="s">
        <v>32</v>
      </c>
      <c r="N13" s="34" t="s">
        <v>32</v>
      </c>
      <c r="O13" s="28"/>
      <c r="P13" s="28" t="s">
        <v>32</v>
      </c>
      <c r="Q13" s="34" t="s">
        <v>32</v>
      </c>
      <c r="R13" s="34" t="s">
        <v>32</v>
      </c>
      <c r="S13" s="32" t="s">
        <v>32</v>
      </c>
      <c r="T13" s="32" t="s">
        <v>32</v>
      </c>
      <c r="U13" s="29" t="s">
        <v>32</v>
      </c>
      <c r="V13" s="28" t="s">
        <v>32</v>
      </c>
      <c r="W13" s="26" t="s">
        <v>32</v>
      </c>
      <c r="X13" s="34" t="s">
        <v>32</v>
      </c>
      <c r="Y13" s="34" t="s">
        <v>32</v>
      </c>
      <c r="Z13" s="34"/>
      <c r="AA13" s="33">
        <f t="shared" si="12"/>
        <v>0</v>
      </c>
      <c r="AB13" s="24"/>
      <c r="AC13" s="25">
        <v>45422</v>
      </c>
      <c r="AD13" s="26">
        <v>12</v>
      </c>
      <c r="AE13" s="26">
        <v>500</v>
      </c>
      <c r="AF13" s="27">
        <f t="shared" si="1"/>
        <v>253000</v>
      </c>
      <c r="AG13" s="28">
        <v>4242</v>
      </c>
      <c r="AH13" s="29">
        <v>1678</v>
      </c>
      <c r="AI13" s="29">
        <v>6.6</v>
      </c>
      <c r="AJ13" s="34" t="s">
        <v>32</v>
      </c>
      <c r="AK13" s="34"/>
      <c r="AL13" s="31">
        <v>49500</v>
      </c>
      <c r="AM13" s="34">
        <v>190000</v>
      </c>
      <c r="AN13" s="32">
        <v>600</v>
      </c>
      <c r="AO13" s="32" t="s">
        <v>32</v>
      </c>
      <c r="AP13" s="34">
        <v>2150</v>
      </c>
      <c r="AQ13" s="28"/>
      <c r="AR13" s="28">
        <v>1000</v>
      </c>
      <c r="AS13" s="34">
        <v>900</v>
      </c>
      <c r="AT13" s="34" t="s">
        <v>32</v>
      </c>
      <c r="AU13" s="32">
        <v>8680</v>
      </c>
      <c r="AV13" s="32" t="s">
        <v>32</v>
      </c>
      <c r="AW13" s="29" t="s">
        <v>32</v>
      </c>
      <c r="AX13" s="28">
        <v>170</v>
      </c>
      <c r="AY13" s="26" t="s">
        <v>32</v>
      </c>
      <c r="AZ13" s="34" t="s">
        <v>32</v>
      </c>
      <c r="BA13" s="34" t="s">
        <v>32</v>
      </c>
      <c r="BB13" s="34"/>
      <c r="BC13" s="33">
        <f t="shared" si="13"/>
        <v>253000</v>
      </c>
      <c r="BD13" s="24"/>
      <c r="BE13" s="25">
        <v>45453</v>
      </c>
      <c r="BF13" s="26">
        <v>0</v>
      </c>
      <c r="BG13" s="26">
        <v>0</v>
      </c>
      <c r="BH13" s="27">
        <f t="shared" si="2"/>
        <v>0</v>
      </c>
      <c r="BI13" s="28">
        <v>3102</v>
      </c>
      <c r="BJ13" s="29">
        <v>4156</v>
      </c>
      <c r="BK13" s="29">
        <v>11.5</v>
      </c>
      <c r="BL13" s="34" t="s">
        <v>32</v>
      </c>
      <c r="BM13" s="34"/>
      <c r="BN13" s="31" t="s">
        <v>32</v>
      </c>
      <c r="BO13" s="34" t="s">
        <v>32</v>
      </c>
      <c r="BP13" s="32" t="s">
        <v>32</v>
      </c>
      <c r="BQ13" s="32" t="s">
        <v>32</v>
      </c>
      <c r="BR13" s="34" t="s">
        <v>32</v>
      </c>
      <c r="BS13" s="28"/>
      <c r="BT13" s="28" t="s">
        <v>32</v>
      </c>
      <c r="BU13" s="34" t="s">
        <v>32</v>
      </c>
      <c r="BV13" s="34" t="s">
        <v>32</v>
      </c>
      <c r="BW13" s="32" t="s">
        <v>32</v>
      </c>
      <c r="BX13" s="32" t="s">
        <v>32</v>
      </c>
      <c r="BY13" s="29" t="s">
        <v>32</v>
      </c>
      <c r="BZ13" s="28" t="s">
        <v>32</v>
      </c>
      <c r="CA13" s="26" t="s">
        <v>32</v>
      </c>
      <c r="CB13" s="34" t="s">
        <v>32</v>
      </c>
      <c r="CC13" s="34" t="s">
        <v>32</v>
      </c>
      <c r="CD13" s="34"/>
      <c r="CE13" s="33">
        <f t="shared" si="14"/>
        <v>0</v>
      </c>
      <c r="CF13" s="24"/>
      <c r="CG13" s="25">
        <v>45483</v>
      </c>
      <c r="CH13" s="26">
        <v>1441</v>
      </c>
      <c r="CI13" s="26">
        <v>74841</v>
      </c>
      <c r="CJ13" s="27">
        <f t="shared" si="3"/>
        <v>168873</v>
      </c>
      <c r="CK13" s="28">
        <v>0</v>
      </c>
      <c r="CL13" s="29">
        <v>3616</v>
      </c>
      <c r="CM13" s="29">
        <v>11.25</v>
      </c>
      <c r="CN13" s="34">
        <v>12210</v>
      </c>
      <c r="CO13" s="34">
        <v>14700</v>
      </c>
      <c r="CP13" s="31">
        <v>140208</v>
      </c>
      <c r="CQ13" s="34" t="s">
        <v>32</v>
      </c>
      <c r="CR13" s="32">
        <v>1000</v>
      </c>
      <c r="CS13" s="32" t="s">
        <v>32</v>
      </c>
      <c r="CT13" s="34" t="s">
        <v>32</v>
      </c>
      <c r="CU13" s="28"/>
      <c r="CV13" s="28" t="s">
        <v>32</v>
      </c>
      <c r="CW13" s="34">
        <v>545</v>
      </c>
      <c r="CX13" s="34" t="s">
        <v>32</v>
      </c>
      <c r="CY13" s="32" t="s">
        <v>32</v>
      </c>
      <c r="CZ13" s="32" t="s">
        <v>32</v>
      </c>
      <c r="DA13" s="29" t="s">
        <v>32</v>
      </c>
      <c r="DB13" s="28" t="s">
        <v>32</v>
      </c>
      <c r="DC13" s="26">
        <v>210</v>
      </c>
      <c r="DD13" s="34" t="s">
        <v>40</v>
      </c>
      <c r="DE13" s="34" t="s">
        <v>32</v>
      </c>
      <c r="DF13" s="34"/>
      <c r="DG13" s="33">
        <f t="shared" si="15"/>
        <v>168873</v>
      </c>
      <c r="DH13" s="24"/>
      <c r="DI13" s="25">
        <v>45514</v>
      </c>
      <c r="DJ13" s="26">
        <v>68</v>
      </c>
      <c r="DK13" s="26">
        <v>5830</v>
      </c>
      <c r="DL13" s="27">
        <f t="shared" si="4"/>
        <v>132356</v>
      </c>
      <c r="DM13" s="28">
        <v>3102</v>
      </c>
      <c r="DN13" s="29">
        <v>0</v>
      </c>
      <c r="DO13" s="29">
        <v>13</v>
      </c>
      <c r="DP13" s="34">
        <v>12418</v>
      </c>
      <c r="DQ13" s="34">
        <v>14982</v>
      </c>
      <c r="DR13" s="31">
        <v>102720</v>
      </c>
      <c r="DS13" s="34" t="s">
        <v>32</v>
      </c>
      <c r="DT13" s="32" t="s">
        <v>32</v>
      </c>
      <c r="DU13" s="32" t="s">
        <v>32</v>
      </c>
      <c r="DV13" s="34" t="s">
        <v>32</v>
      </c>
      <c r="DW13" s="28">
        <v>470</v>
      </c>
      <c r="DX13" s="28" t="s">
        <v>32</v>
      </c>
      <c r="DY13" s="34">
        <v>1766</v>
      </c>
      <c r="DZ13" s="34" t="s">
        <v>32</v>
      </c>
      <c r="EA13" s="32" t="s">
        <v>32</v>
      </c>
      <c r="EB13" s="32" t="s">
        <v>32</v>
      </c>
      <c r="EC13" s="29" t="s">
        <v>32</v>
      </c>
      <c r="ED13" s="28" t="s">
        <v>32</v>
      </c>
      <c r="EE13" s="26" t="s">
        <v>32</v>
      </c>
      <c r="EF13" s="34" t="s">
        <v>32</v>
      </c>
      <c r="EG13" s="34" t="s">
        <v>32</v>
      </c>
      <c r="EH13" s="34"/>
      <c r="EI13" s="33">
        <f t="shared" si="16"/>
        <v>132356</v>
      </c>
      <c r="EJ13" s="24"/>
      <c r="EK13" s="25">
        <v>45545</v>
      </c>
      <c r="EL13" s="26">
        <v>6458</v>
      </c>
      <c r="EM13" s="26">
        <v>246624</v>
      </c>
      <c r="EN13" s="27">
        <f t="shared" si="5"/>
        <v>126304</v>
      </c>
      <c r="EO13" s="28">
        <v>4605</v>
      </c>
      <c r="EP13" s="29">
        <v>4002</v>
      </c>
      <c r="EQ13" s="29">
        <v>10</v>
      </c>
      <c r="ER13" s="34" t="s">
        <v>32</v>
      </c>
      <c r="ES13" s="34"/>
      <c r="ET13" s="31" t="s">
        <v>32</v>
      </c>
      <c r="EU13" s="34">
        <v>100000</v>
      </c>
      <c r="EV13" s="32">
        <v>4550</v>
      </c>
      <c r="EW13" s="32">
        <v>17900</v>
      </c>
      <c r="EX13" s="34" t="s">
        <v>32</v>
      </c>
      <c r="EY13" s="28">
        <v>1900</v>
      </c>
      <c r="EZ13" s="28" t="s">
        <v>32</v>
      </c>
      <c r="FA13" s="34">
        <v>1954</v>
      </c>
      <c r="FB13" s="34" t="s">
        <v>32</v>
      </c>
      <c r="FC13" s="32" t="s">
        <v>32</v>
      </c>
      <c r="FD13" s="32" t="s">
        <v>32</v>
      </c>
      <c r="FE13" s="29" t="s">
        <v>32</v>
      </c>
      <c r="FF13" s="28" t="s">
        <v>32</v>
      </c>
      <c r="FG13" s="26" t="s">
        <v>32</v>
      </c>
      <c r="FH13" s="34" t="s">
        <v>32</v>
      </c>
      <c r="FI13" s="34" t="s">
        <v>32</v>
      </c>
      <c r="FJ13" s="34"/>
      <c r="FK13" s="33">
        <f t="shared" si="17"/>
        <v>126304</v>
      </c>
      <c r="FL13" s="24"/>
      <c r="FM13" s="25">
        <v>45575</v>
      </c>
      <c r="FN13" s="26">
        <v>15960</v>
      </c>
      <c r="FO13" s="26">
        <v>1032902</v>
      </c>
      <c r="FP13" s="27">
        <f t="shared" si="6"/>
        <v>25860</v>
      </c>
      <c r="FQ13" s="28">
        <v>3944</v>
      </c>
      <c r="FR13" s="29">
        <v>2585</v>
      </c>
      <c r="FS13" s="29">
        <v>7.5</v>
      </c>
      <c r="FT13" s="34" t="s">
        <v>32</v>
      </c>
      <c r="FU13" s="34">
        <v>13000</v>
      </c>
      <c r="FV13" s="31">
        <v>10800</v>
      </c>
      <c r="FW13" s="34" t="s">
        <v>32</v>
      </c>
      <c r="FX13" s="32" t="s">
        <v>32</v>
      </c>
      <c r="FY13" s="32" t="s">
        <v>32</v>
      </c>
      <c r="FZ13" s="34" t="s">
        <v>32</v>
      </c>
      <c r="GA13" s="28"/>
      <c r="GB13" s="28">
        <v>500</v>
      </c>
      <c r="GC13" s="34">
        <v>1560</v>
      </c>
      <c r="GD13" s="34" t="s">
        <v>32</v>
      </c>
      <c r="GE13" s="32" t="s">
        <v>32</v>
      </c>
      <c r="GF13" s="32" t="s">
        <v>32</v>
      </c>
      <c r="GG13" s="29" t="s">
        <v>32</v>
      </c>
      <c r="GH13" s="28" t="s">
        <v>32</v>
      </c>
      <c r="GI13" s="26" t="s">
        <v>32</v>
      </c>
      <c r="GJ13" s="34" t="s">
        <v>32</v>
      </c>
      <c r="GK13" s="34" t="s">
        <v>32</v>
      </c>
      <c r="GL13" s="34"/>
      <c r="GM13" s="33">
        <f t="shared" si="18"/>
        <v>25860</v>
      </c>
      <c r="GN13" s="24"/>
      <c r="GO13" s="25">
        <v>45606</v>
      </c>
      <c r="GP13" s="26">
        <v>695</v>
      </c>
      <c r="GQ13" s="26">
        <v>39350</v>
      </c>
      <c r="GR13" s="27">
        <f t="shared" si="7"/>
        <v>3680</v>
      </c>
      <c r="GS13" s="28">
        <v>1057</v>
      </c>
      <c r="GT13" s="29">
        <v>0</v>
      </c>
      <c r="GU13" s="29">
        <v>0</v>
      </c>
      <c r="GV13" s="34" t="s">
        <v>32</v>
      </c>
      <c r="GW13" s="34"/>
      <c r="GX13" s="31" t="s">
        <v>32</v>
      </c>
      <c r="GY13" s="34" t="s">
        <v>32</v>
      </c>
      <c r="GZ13" s="32">
        <v>230</v>
      </c>
      <c r="HA13" s="32" t="s">
        <v>32</v>
      </c>
      <c r="HB13" s="34" t="s">
        <v>32</v>
      </c>
      <c r="HC13" s="28"/>
      <c r="HD13" s="28">
        <v>500</v>
      </c>
      <c r="HE13" s="34">
        <v>2950</v>
      </c>
      <c r="HF13" s="34" t="s">
        <v>32</v>
      </c>
      <c r="HG13" s="32" t="s">
        <v>32</v>
      </c>
      <c r="HH13" s="32" t="s">
        <v>32</v>
      </c>
      <c r="HI13" s="29" t="s">
        <v>32</v>
      </c>
      <c r="HJ13" s="28" t="s">
        <v>32</v>
      </c>
      <c r="HK13" s="26" t="s">
        <v>32</v>
      </c>
      <c r="HL13" s="34" t="s">
        <v>32</v>
      </c>
      <c r="HM13" s="34" t="s">
        <v>32</v>
      </c>
      <c r="HN13" s="34"/>
      <c r="HO13" s="33">
        <f t="shared" si="19"/>
        <v>3680</v>
      </c>
      <c r="HP13" s="24"/>
      <c r="HQ13" s="25">
        <v>45636</v>
      </c>
      <c r="HR13" s="26">
        <v>0</v>
      </c>
      <c r="HS13" s="26">
        <v>0</v>
      </c>
      <c r="HT13" s="27">
        <f t="shared" si="8"/>
        <v>100470</v>
      </c>
      <c r="HU13" s="28">
        <v>3465</v>
      </c>
      <c r="HV13" s="29">
        <v>2277</v>
      </c>
      <c r="HW13" s="29">
        <v>7.5</v>
      </c>
      <c r="HX13" s="34">
        <v>12200</v>
      </c>
      <c r="HY13" s="34">
        <v>13300</v>
      </c>
      <c r="HZ13" s="31">
        <v>68800</v>
      </c>
      <c r="IA13" s="34" t="s">
        <v>32</v>
      </c>
      <c r="IB13" s="32">
        <v>640</v>
      </c>
      <c r="IC13" s="32" t="s">
        <v>32</v>
      </c>
      <c r="ID13" s="34" t="s">
        <v>32</v>
      </c>
      <c r="IE13" s="28"/>
      <c r="IF13" s="28" t="s">
        <v>32</v>
      </c>
      <c r="IG13" s="34">
        <v>5530</v>
      </c>
      <c r="IH13" s="34" t="s">
        <v>32</v>
      </c>
      <c r="II13" s="32" t="s">
        <v>32</v>
      </c>
      <c r="IJ13" s="32" t="s">
        <v>32</v>
      </c>
      <c r="IK13" s="29" t="s">
        <v>32</v>
      </c>
      <c r="IL13" s="28" t="s">
        <v>32</v>
      </c>
      <c r="IM13" s="26" t="s">
        <v>32</v>
      </c>
      <c r="IN13" s="34" t="s">
        <v>32</v>
      </c>
      <c r="IO13" s="34" t="s">
        <v>32</v>
      </c>
      <c r="IP13" s="34"/>
      <c r="IQ13" s="33">
        <f t="shared" si="20"/>
        <v>100470</v>
      </c>
      <c r="IR13" s="24"/>
      <c r="IS13" s="25">
        <v>45667</v>
      </c>
      <c r="IT13" s="26">
        <v>8245</v>
      </c>
      <c r="IU13" s="26">
        <v>289851</v>
      </c>
      <c r="IV13" s="27">
        <f t="shared" si="9"/>
        <v>262157</v>
      </c>
      <c r="IW13" s="28">
        <v>0</v>
      </c>
      <c r="IX13" s="29">
        <v>0</v>
      </c>
      <c r="IY13" s="29">
        <v>6</v>
      </c>
      <c r="IZ13" s="34" t="s">
        <v>32</v>
      </c>
      <c r="JA13" s="34" t="s">
        <v>32</v>
      </c>
      <c r="JB13" s="31">
        <v>113000</v>
      </c>
      <c r="JC13" s="34">
        <v>110000</v>
      </c>
      <c r="JD13" s="32" t="s">
        <v>32</v>
      </c>
      <c r="JE13" s="32">
        <v>9800</v>
      </c>
      <c r="JF13" s="34" t="s">
        <v>32</v>
      </c>
      <c r="JG13" s="28"/>
      <c r="JH13" s="28" t="s">
        <v>32</v>
      </c>
      <c r="JI13" s="34">
        <v>1957</v>
      </c>
      <c r="JJ13" s="34" t="s">
        <v>32</v>
      </c>
      <c r="JK13" s="32" t="s">
        <v>32</v>
      </c>
      <c r="JL13" s="32" t="s">
        <v>32</v>
      </c>
      <c r="JM13" s="29" t="s">
        <v>32</v>
      </c>
      <c r="JN13" s="28" t="s">
        <v>32</v>
      </c>
      <c r="JO13" s="26">
        <v>27400</v>
      </c>
      <c r="JP13" s="34" t="s">
        <v>93</v>
      </c>
      <c r="JQ13" s="34" t="s">
        <v>32</v>
      </c>
      <c r="JR13" s="34"/>
      <c r="JS13" s="33">
        <f t="shared" si="21"/>
        <v>262157</v>
      </c>
      <c r="JT13" s="24"/>
      <c r="JU13" s="25">
        <v>45698</v>
      </c>
      <c r="JV13" s="26">
        <v>10011</v>
      </c>
      <c r="JW13" s="26">
        <v>709504</v>
      </c>
      <c r="JX13" s="27">
        <f t="shared" si="10"/>
        <v>60840</v>
      </c>
      <c r="JY13" s="28">
        <v>618</v>
      </c>
      <c r="JZ13" s="29">
        <v>6033</v>
      </c>
      <c r="KA13" s="29">
        <v>9.75</v>
      </c>
      <c r="KB13" s="34" t="s">
        <v>32</v>
      </c>
      <c r="KC13" s="34">
        <v>13700</v>
      </c>
      <c r="KD13" s="31">
        <v>30000</v>
      </c>
      <c r="KE13" s="34" t="s">
        <v>32</v>
      </c>
      <c r="KF13" s="32" t="s">
        <v>32</v>
      </c>
      <c r="KG13" s="32">
        <v>15000</v>
      </c>
      <c r="KH13" s="34" t="s">
        <v>32</v>
      </c>
      <c r="KI13" s="28"/>
      <c r="KJ13" s="28" t="s">
        <v>32</v>
      </c>
      <c r="KK13" s="34">
        <v>2140</v>
      </c>
      <c r="KL13" s="34" t="s">
        <v>32</v>
      </c>
      <c r="KM13" s="32" t="s">
        <v>32</v>
      </c>
      <c r="KN13" s="32" t="s">
        <v>32</v>
      </c>
      <c r="KO13" s="29" t="s">
        <v>32</v>
      </c>
      <c r="KP13" s="28" t="s">
        <v>32</v>
      </c>
      <c r="KQ13" s="26" t="s">
        <v>32</v>
      </c>
      <c r="KR13" s="34" t="s">
        <v>32</v>
      </c>
      <c r="KS13" s="34" t="s">
        <v>32</v>
      </c>
      <c r="KT13" s="34"/>
      <c r="KU13" s="33">
        <f t="shared" si="22"/>
        <v>60840</v>
      </c>
      <c r="KV13" s="24"/>
      <c r="KW13" s="25">
        <v>45726</v>
      </c>
      <c r="KX13" s="26">
        <v>0</v>
      </c>
      <c r="KY13" s="26">
        <v>0</v>
      </c>
      <c r="KZ13" s="27">
        <f t="shared" si="11"/>
        <v>1165</v>
      </c>
      <c r="LA13" s="28">
        <v>2402</v>
      </c>
      <c r="LB13" s="29">
        <v>2573</v>
      </c>
      <c r="LC13" s="29">
        <v>4.5</v>
      </c>
      <c r="LD13" s="34" t="s">
        <v>32</v>
      </c>
      <c r="LE13" s="34"/>
      <c r="LF13" s="31" t="s">
        <v>32</v>
      </c>
      <c r="LG13" s="34" t="s">
        <v>32</v>
      </c>
      <c r="LH13" s="32" t="s">
        <v>32</v>
      </c>
      <c r="LI13" s="32" t="s">
        <v>32</v>
      </c>
      <c r="LJ13" s="34" t="s">
        <v>32</v>
      </c>
      <c r="LK13" s="28"/>
      <c r="LL13" s="28" t="s">
        <v>32</v>
      </c>
      <c r="LM13" s="34">
        <v>1165</v>
      </c>
      <c r="LN13" s="34" t="s">
        <v>32</v>
      </c>
      <c r="LO13" s="32" t="s">
        <v>32</v>
      </c>
      <c r="LP13" s="32" t="s">
        <v>32</v>
      </c>
      <c r="LQ13" s="29" t="s">
        <v>32</v>
      </c>
      <c r="LR13" s="28" t="s">
        <v>32</v>
      </c>
      <c r="LS13" s="26" t="s">
        <v>32</v>
      </c>
      <c r="LT13" s="34" t="s">
        <v>32</v>
      </c>
      <c r="LU13" s="34" t="s">
        <v>32</v>
      </c>
      <c r="LV13" s="34"/>
      <c r="LW13" s="33">
        <f t="shared" si="23"/>
        <v>1165</v>
      </c>
      <c r="LX13" s="24"/>
    </row>
    <row r="14" spans="1:336" x14ac:dyDescent="0.3">
      <c r="A14" s="25">
        <v>45393</v>
      </c>
      <c r="B14" s="26">
        <v>0</v>
      </c>
      <c r="C14" s="26">
        <v>0</v>
      </c>
      <c r="D14" s="27">
        <f t="shared" si="0"/>
        <v>597759</v>
      </c>
      <c r="E14" s="28">
        <v>2022</v>
      </c>
      <c r="F14" s="29">
        <v>1050</v>
      </c>
      <c r="G14" s="29">
        <v>7.5</v>
      </c>
      <c r="H14" s="34">
        <v>10982</v>
      </c>
      <c r="I14" s="34">
        <v>12018</v>
      </c>
      <c r="J14" s="31">
        <v>23072</v>
      </c>
      <c r="K14" s="34" t="s">
        <v>33</v>
      </c>
      <c r="L14" s="32">
        <v>87200</v>
      </c>
      <c r="M14" s="32" t="s">
        <v>32</v>
      </c>
      <c r="N14" s="34" t="s">
        <v>32</v>
      </c>
      <c r="O14" s="28"/>
      <c r="P14" s="28" t="s">
        <v>32</v>
      </c>
      <c r="Q14" s="34">
        <v>380</v>
      </c>
      <c r="R14" s="34" t="s">
        <v>32</v>
      </c>
      <c r="S14" s="32">
        <v>447407</v>
      </c>
      <c r="T14" s="32" t="s">
        <v>43</v>
      </c>
      <c r="U14" s="29" t="s">
        <v>32</v>
      </c>
      <c r="V14" s="28" t="s">
        <v>32</v>
      </c>
      <c r="W14" s="26">
        <v>16700</v>
      </c>
      <c r="X14" s="34" t="s">
        <v>40</v>
      </c>
      <c r="Y14" s="34" t="s">
        <v>32</v>
      </c>
      <c r="Z14" s="34" t="s">
        <v>32</v>
      </c>
      <c r="AA14" s="33">
        <f t="shared" si="12"/>
        <v>597759</v>
      </c>
      <c r="AB14" s="24"/>
      <c r="AC14" s="25">
        <v>45423</v>
      </c>
      <c r="AD14" s="26">
        <v>0</v>
      </c>
      <c r="AE14" s="26">
        <v>0</v>
      </c>
      <c r="AF14" s="27">
        <f t="shared" si="1"/>
        <v>0</v>
      </c>
      <c r="AG14" s="28">
        <v>4294</v>
      </c>
      <c r="AH14" s="29">
        <v>816</v>
      </c>
      <c r="AI14" s="29">
        <v>6.5</v>
      </c>
      <c r="AJ14" s="34" t="s">
        <v>32</v>
      </c>
      <c r="AK14" s="34"/>
      <c r="AL14" s="31" t="s">
        <v>32</v>
      </c>
      <c r="AM14" s="34" t="s">
        <v>33</v>
      </c>
      <c r="AN14" s="32" t="s">
        <v>32</v>
      </c>
      <c r="AO14" s="32" t="s">
        <v>32</v>
      </c>
      <c r="AP14" s="34" t="s">
        <v>32</v>
      </c>
      <c r="AQ14" s="28"/>
      <c r="AR14" s="28" t="s">
        <v>32</v>
      </c>
      <c r="AS14" s="34" t="s">
        <v>32</v>
      </c>
      <c r="AT14" s="34" t="s">
        <v>32</v>
      </c>
      <c r="AU14" s="32" t="s">
        <v>32</v>
      </c>
      <c r="AV14" s="32" t="s">
        <v>33</v>
      </c>
      <c r="AW14" s="29" t="s">
        <v>32</v>
      </c>
      <c r="AX14" s="28" t="s">
        <v>32</v>
      </c>
      <c r="AY14" s="26" t="s">
        <v>32</v>
      </c>
      <c r="AZ14" s="34" t="s">
        <v>32</v>
      </c>
      <c r="BA14" s="34" t="s">
        <v>32</v>
      </c>
      <c r="BB14" s="34" t="s">
        <v>32</v>
      </c>
      <c r="BC14" s="33">
        <f t="shared" si="13"/>
        <v>0</v>
      </c>
      <c r="BD14" s="24"/>
      <c r="BE14" s="25">
        <v>45454</v>
      </c>
      <c r="BF14" s="26">
        <v>2480</v>
      </c>
      <c r="BG14" s="26">
        <v>136273</v>
      </c>
      <c r="BH14" s="27">
        <f t="shared" si="2"/>
        <v>457834</v>
      </c>
      <c r="BI14" s="28">
        <v>3484</v>
      </c>
      <c r="BJ14" s="29">
        <v>3121</v>
      </c>
      <c r="BK14" s="29">
        <v>6.5</v>
      </c>
      <c r="BL14" s="34">
        <v>22600</v>
      </c>
      <c r="BM14" s="34">
        <v>18391</v>
      </c>
      <c r="BN14" s="31">
        <v>231893</v>
      </c>
      <c r="BO14" s="34">
        <v>96000</v>
      </c>
      <c r="BP14" s="32">
        <v>12950</v>
      </c>
      <c r="BQ14" s="32" t="s">
        <v>32</v>
      </c>
      <c r="BR14" s="34">
        <v>68000</v>
      </c>
      <c r="BS14" s="28"/>
      <c r="BT14" s="28" t="s">
        <v>32</v>
      </c>
      <c r="BU14" s="34">
        <v>8000</v>
      </c>
      <c r="BV14" s="34" t="s">
        <v>32</v>
      </c>
      <c r="BW14" s="32" t="s">
        <v>32</v>
      </c>
      <c r="BX14" s="32" t="s">
        <v>33</v>
      </c>
      <c r="BY14" s="29" t="s">
        <v>32</v>
      </c>
      <c r="BZ14" s="28" t="s">
        <v>32</v>
      </c>
      <c r="CA14" s="26" t="s">
        <v>32</v>
      </c>
      <c r="CB14" s="34" t="s">
        <v>32</v>
      </c>
      <c r="CC14" s="34" t="s">
        <v>32</v>
      </c>
      <c r="CD14" s="34" t="s">
        <v>32</v>
      </c>
      <c r="CE14" s="33">
        <f t="shared" si="14"/>
        <v>457834</v>
      </c>
      <c r="CF14" s="24"/>
      <c r="CG14" s="25">
        <v>45484</v>
      </c>
      <c r="CH14" s="26">
        <v>0</v>
      </c>
      <c r="CI14" s="26">
        <v>0</v>
      </c>
      <c r="CJ14" s="27">
        <f t="shared" si="3"/>
        <v>0</v>
      </c>
      <c r="CK14" s="28">
        <v>2458</v>
      </c>
      <c r="CL14" s="29">
        <v>4637</v>
      </c>
      <c r="CM14" s="29">
        <v>9.25</v>
      </c>
      <c r="CN14" s="34" t="s">
        <v>32</v>
      </c>
      <c r="CO14" s="34"/>
      <c r="CP14" s="31" t="s">
        <v>32</v>
      </c>
      <c r="CQ14" s="34" t="s">
        <v>33</v>
      </c>
      <c r="CR14" s="32" t="s">
        <v>32</v>
      </c>
      <c r="CS14" s="32" t="s">
        <v>32</v>
      </c>
      <c r="CT14" s="34" t="s">
        <v>32</v>
      </c>
      <c r="CU14" s="28"/>
      <c r="CV14" s="28" t="s">
        <v>32</v>
      </c>
      <c r="CW14" s="34" t="s">
        <v>32</v>
      </c>
      <c r="CX14" s="34" t="s">
        <v>32</v>
      </c>
      <c r="CY14" s="32" t="s">
        <v>32</v>
      </c>
      <c r="CZ14" s="32" t="s">
        <v>33</v>
      </c>
      <c r="DA14" s="29" t="s">
        <v>32</v>
      </c>
      <c r="DB14" s="28" t="s">
        <v>32</v>
      </c>
      <c r="DC14" s="26" t="s">
        <v>32</v>
      </c>
      <c r="DD14" s="34" t="s">
        <v>32</v>
      </c>
      <c r="DE14" s="34" t="s">
        <v>32</v>
      </c>
      <c r="DF14" s="34" t="s">
        <v>32</v>
      </c>
      <c r="DG14" s="33">
        <f t="shared" si="15"/>
        <v>0</v>
      </c>
      <c r="DH14" s="24"/>
      <c r="DI14" s="25">
        <v>45515</v>
      </c>
      <c r="DJ14" s="26">
        <v>0</v>
      </c>
      <c r="DK14" s="26">
        <v>0</v>
      </c>
      <c r="DL14" s="27">
        <f t="shared" si="4"/>
        <v>0</v>
      </c>
      <c r="DM14" s="28">
        <v>2025</v>
      </c>
      <c r="DN14" s="29">
        <v>0</v>
      </c>
      <c r="DO14" s="29">
        <v>2.5</v>
      </c>
      <c r="DP14" s="34" t="s">
        <v>32</v>
      </c>
      <c r="DQ14" s="34"/>
      <c r="DR14" s="31" t="s">
        <v>32</v>
      </c>
      <c r="DS14" s="34" t="s">
        <v>33</v>
      </c>
      <c r="DT14" s="32" t="s">
        <v>32</v>
      </c>
      <c r="DU14" s="32" t="s">
        <v>32</v>
      </c>
      <c r="DV14" s="34" t="s">
        <v>32</v>
      </c>
      <c r="DW14" s="28"/>
      <c r="DX14" s="28" t="s">
        <v>32</v>
      </c>
      <c r="DY14" s="34" t="s">
        <v>32</v>
      </c>
      <c r="DZ14" s="34" t="s">
        <v>32</v>
      </c>
      <c r="EA14" s="32" t="s">
        <v>32</v>
      </c>
      <c r="EB14" s="32" t="s">
        <v>33</v>
      </c>
      <c r="EC14" s="29" t="s">
        <v>32</v>
      </c>
      <c r="ED14" s="28" t="s">
        <v>32</v>
      </c>
      <c r="EE14" s="26" t="s">
        <v>32</v>
      </c>
      <c r="EF14" s="34" t="s">
        <v>32</v>
      </c>
      <c r="EG14" s="34" t="s">
        <v>32</v>
      </c>
      <c r="EH14" s="34" t="s">
        <v>32</v>
      </c>
      <c r="EI14" s="33">
        <f t="shared" si="16"/>
        <v>0</v>
      </c>
      <c r="EJ14" s="24"/>
      <c r="EK14" s="25">
        <v>45546</v>
      </c>
      <c r="EL14" s="26">
        <v>0</v>
      </c>
      <c r="EM14" s="26">
        <v>0</v>
      </c>
      <c r="EN14" s="27">
        <f t="shared" si="5"/>
        <v>0</v>
      </c>
      <c r="EO14" s="28">
        <v>3683</v>
      </c>
      <c r="EP14" s="29">
        <v>1988</v>
      </c>
      <c r="EQ14" s="29">
        <v>10.25</v>
      </c>
      <c r="ER14" s="34" t="s">
        <v>32</v>
      </c>
      <c r="ES14" s="34"/>
      <c r="ET14" s="31" t="s">
        <v>32</v>
      </c>
      <c r="EU14" s="34" t="s">
        <v>33</v>
      </c>
      <c r="EV14" s="32" t="s">
        <v>32</v>
      </c>
      <c r="EW14" s="32" t="s">
        <v>32</v>
      </c>
      <c r="EX14" s="34" t="s">
        <v>32</v>
      </c>
      <c r="EY14" s="28"/>
      <c r="EZ14" s="28" t="s">
        <v>32</v>
      </c>
      <c r="FA14" s="34" t="s">
        <v>32</v>
      </c>
      <c r="FB14" s="34" t="s">
        <v>32</v>
      </c>
      <c r="FC14" s="32" t="s">
        <v>32</v>
      </c>
      <c r="FD14" s="32" t="s">
        <v>33</v>
      </c>
      <c r="FE14" s="29" t="s">
        <v>32</v>
      </c>
      <c r="FF14" s="28" t="s">
        <v>32</v>
      </c>
      <c r="FG14" s="26" t="s">
        <v>32</v>
      </c>
      <c r="FH14" s="34" t="s">
        <v>32</v>
      </c>
      <c r="FI14" s="34" t="s">
        <v>32</v>
      </c>
      <c r="FJ14" s="34" t="s">
        <v>32</v>
      </c>
      <c r="FK14" s="33">
        <f t="shared" si="17"/>
        <v>0</v>
      </c>
      <c r="FL14" s="24"/>
      <c r="FM14" s="25">
        <v>45576</v>
      </c>
      <c r="FN14" s="26">
        <v>0</v>
      </c>
      <c r="FO14" s="26">
        <v>0</v>
      </c>
      <c r="FP14" s="27">
        <f t="shared" si="6"/>
        <v>0</v>
      </c>
      <c r="FQ14" s="28">
        <v>4427</v>
      </c>
      <c r="FR14" s="29">
        <v>2399</v>
      </c>
      <c r="FS14" s="29">
        <v>9.25</v>
      </c>
      <c r="FT14" s="34" t="s">
        <v>32</v>
      </c>
      <c r="FU14" s="34"/>
      <c r="FV14" s="31" t="s">
        <v>32</v>
      </c>
      <c r="FW14" s="34" t="s">
        <v>33</v>
      </c>
      <c r="FX14" s="32" t="s">
        <v>32</v>
      </c>
      <c r="FY14" s="32" t="s">
        <v>32</v>
      </c>
      <c r="FZ14" s="34" t="s">
        <v>32</v>
      </c>
      <c r="GA14" s="28"/>
      <c r="GB14" s="28" t="s">
        <v>32</v>
      </c>
      <c r="GC14" s="34" t="s">
        <v>32</v>
      </c>
      <c r="GD14" s="34" t="s">
        <v>32</v>
      </c>
      <c r="GE14" s="32" t="s">
        <v>32</v>
      </c>
      <c r="GF14" s="32" t="s">
        <v>33</v>
      </c>
      <c r="GG14" s="29" t="s">
        <v>32</v>
      </c>
      <c r="GH14" s="28" t="s">
        <v>32</v>
      </c>
      <c r="GI14" s="26" t="s">
        <v>32</v>
      </c>
      <c r="GJ14" s="34" t="s">
        <v>32</v>
      </c>
      <c r="GK14" s="34" t="s">
        <v>32</v>
      </c>
      <c r="GL14" s="34" t="s">
        <v>32</v>
      </c>
      <c r="GM14" s="33">
        <f t="shared" si="18"/>
        <v>0</v>
      </c>
      <c r="GN14" s="24"/>
      <c r="GO14" s="25">
        <v>45607</v>
      </c>
      <c r="GP14" s="26">
        <v>0</v>
      </c>
      <c r="GQ14" s="26">
        <v>0</v>
      </c>
      <c r="GR14" s="27">
        <f t="shared" si="7"/>
        <v>0</v>
      </c>
      <c r="GS14" s="28">
        <v>180</v>
      </c>
      <c r="GT14" s="29">
        <v>0</v>
      </c>
      <c r="GU14" s="29">
        <v>0</v>
      </c>
      <c r="GV14" s="34" t="s">
        <v>32</v>
      </c>
      <c r="GW14" s="34"/>
      <c r="GX14" s="31" t="s">
        <v>32</v>
      </c>
      <c r="GY14" s="34" t="s">
        <v>33</v>
      </c>
      <c r="GZ14" s="32" t="s">
        <v>32</v>
      </c>
      <c r="HA14" s="32" t="s">
        <v>32</v>
      </c>
      <c r="HB14" s="34" t="s">
        <v>32</v>
      </c>
      <c r="HC14" s="28"/>
      <c r="HD14" s="28" t="s">
        <v>32</v>
      </c>
      <c r="HE14" s="34" t="s">
        <v>32</v>
      </c>
      <c r="HF14" s="34" t="s">
        <v>32</v>
      </c>
      <c r="HG14" s="32" t="s">
        <v>32</v>
      </c>
      <c r="HH14" s="32" t="s">
        <v>33</v>
      </c>
      <c r="HI14" s="29" t="s">
        <v>32</v>
      </c>
      <c r="HJ14" s="28" t="s">
        <v>32</v>
      </c>
      <c r="HK14" s="26" t="s">
        <v>32</v>
      </c>
      <c r="HL14" s="34" t="s">
        <v>32</v>
      </c>
      <c r="HM14" s="34" t="s">
        <v>32</v>
      </c>
      <c r="HN14" s="34" t="s">
        <v>32</v>
      </c>
      <c r="HO14" s="33">
        <f t="shared" si="19"/>
        <v>0</v>
      </c>
      <c r="HP14" s="24"/>
      <c r="HQ14" s="25">
        <v>45637</v>
      </c>
      <c r="HR14" s="26">
        <v>0</v>
      </c>
      <c r="HS14" s="26">
        <v>0</v>
      </c>
      <c r="HT14" s="27">
        <f t="shared" si="8"/>
        <v>0</v>
      </c>
      <c r="HU14" s="28">
        <v>3144</v>
      </c>
      <c r="HV14" s="29">
        <v>1806</v>
      </c>
      <c r="HW14" s="29">
        <v>4.5</v>
      </c>
      <c r="HX14" s="34" t="s">
        <v>32</v>
      </c>
      <c r="HY14" s="34"/>
      <c r="HZ14" s="31" t="s">
        <v>32</v>
      </c>
      <c r="IA14" s="34" t="s">
        <v>33</v>
      </c>
      <c r="IB14" s="32" t="s">
        <v>32</v>
      </c>
      <c r="IC14" s="32" t="s">
        <v>32</v>
      </c>
      <c r="ID14" s="34" t="s">
        <v>32</v>
      </c>
      <c r="IE14" s="28"/>
      <c r="IF14" s="28" t="s">
        <v>32</v>
      </c>
      <c r="IG14" s="34" t="s">
        <v>32</v>
      </c>
      <c r="IH14" s="34" t="s">
        <v>32</v>
      </c>
      <c r="II14" s="32" t="s">
        <v>32</v>
      </c>
      <c r="IJ14" s="32" t="s">
        <v>33</v>
      </c>
      <c r="IK14" s="29" t="s">
        <v>32</v>
      </c>
      <c r="IL14" s="28" t="s">
        <v>32</v>
      </c>
      <c r="IM14" s="26" t="s">
        <v>32</v>
      </c>
      <c r="IN14" s="34" t="s">
        <v>32</v>
      </c>
      <c r="IO14" s="34" t="s">
        <v>32</v>
      </c>
      <c r="IP14" s="34" t="s">
        <v>32</v>
      </c>
      <c r="IQ14" s="33">
        <f t="shared" si="20"/>
        <v>0</v>
      </c>
      <c r="IR14" s="24"/>
      <c r="IS14" s="25">
        <v>45668</v>
      </c>
      <c r="IT14" s="26">
        <v>0</v>
      </c>
      <c r="IU14" s="26">
        <v>0</v>
      </c>
      <c r="IV14" s="27">
        <f t="shared" si="9"/>
        <v>0</v>
      </c>
      <c r="IW14" s="28">
        <v>0</v>
      </c>
      <c r="IX14" s="29">
        <v>2809</v>
      </c>
      <c r="IY14" s="29">
        <v>6</v>
      </c>
      <c r="IZ14" s="34" t="s">
        <v>32</v>
      </c>
      <c r="JA14" s="34"/>
      <c r="JB14" s="31" t="s">
        <v>32</v>
      </c>
      <c r="JC14" s="34" t="s">
        <v>33</v>
      </c>
      <c r="JD14" s="32" t="s">
        <v>32</v>
      </c>
      <c r="JE14" s="32" t="s">
        <v>32</v>
      </c>
      <c r="JF14" s="34" t="s">
        <v>32</v>
      </c>
      <c r="JG14" s="28"/>
      <c r="JH14" s="28" t="s">
        <v>32</v>
      </c>
      <c r="JI14" s="34" t="s">
        <v>32</v>
      </c>
      <c r="JJ14" s="34" t="s">
        <v>32</v>
      </c>
      <c r="JK14" s="32" t="s">
        <v>32</v>
      </c>
      <c r="JL14" s="32" t="s">
        <v>33</v>
      </c>
      <c r="JM14" s="29" t="s">
        <v>32</v>
      </c>
      <c r="JN14" s="28" t="s">
        <v>32</v>
      </c>
      <c r="JO14" s="26" t="s">
        <v>32</v>
      </c>
      <c r="JP14" s="34" t="s">
        <v>32</v>
      </c>
      <c r="JQ14" s="34" t="s">
        <v>32</v>
      </c>
      <c r="JR14" s="34" t="s">
        <v>32</v>
      </c>
      <c r="JS14" s="33">
        <f t="shared" si="21"/>
        <v>0</v>
      </c>
      <c r="JT14" s="24"/>
      <c r="JU14" s="25">
        <v>45699</v>
      </c>
      <c r="JV14" s="26">
        <v>0</v>
      </c>
      <c r="JW14" s="26">
        <v>0</v>
      </c>
      <c r="JX14" s="27">
        <f t="shared" si="10"/>
        <v>0</v>
      </c>
      <c r="JY14" s="28">
        <v>2390</v>
      </c>
      <c r="JZ14" s="29">
        <v>1680</v>
      </c>
      <c r="KA14" s="29">
        <v>6.25</v>
      </c>
      <c r="KB14" s="34" t="s">
        <v>32</v>
      </c>
      <c r="KC14" s="34"/>
      <c r="KD14" s="31" t="s">
        <v>32</v>
      </c>
      <c r="KE14" s="34" t="s">
        <v>33</v>
      </c>
      <c r="KF14" s="32" t="s">
        <v>32</v>
      </c>
      <c r="KG14" s="32" t="s">
        <v>32</v>
      </c>
      <c r="KH14" s="34" t="s">
        <v>32</v>
      </c>
      <c r="KI14" s="28"/>
      <c r="KJ14" s="28" t="s">
        <v>32</v>
      </c>
      <c r="KK14" s="34" t="s">
        <v>32</v>
      </c>
      <c r="KL14" s="34" t="s">
        <v>32</v>
      </c>
      <c r="KM14" s="32" t="s">
        <v>32</v>
      </c>
      <c r="KN14" s="32" t="s">
        <v>33</v>
      </c>
      <c r="KO14" s="29" t="s">
        <v>32</v>
      </c>
      <c r="KP14" s="28" t="s">
        <v>32</v>
      </c>
      <c r="KQ14" s="26" t="s">
        <v>32</v>
      </c>
      <c r="KR14" s="34" t="s">
        <v>32</v>
      </c>
      <c r="KS14" s="34" t="s">
        <v>32</v>
      </c>
      <c r="KT14" s="34" t="s">
        <v>32</v>
      </c>
      <c r="KU14" s="33">
        <f t="shared" si="22"/>
        <v>0</v>
      </c>
      <c r="KV14" s="24"/>
      <c r="KW14" s="25">
        <v>45727</v>
      </c>
      <c r="KX14" s="26">
        <v>0</v>
      </c>
      <c r="KY14" s="26">
        <v>0</v>
      </c>
      <c r="KZ14" s="27">
        <f t="shared" si="11"/>
        <v>0</v>
      </c>
      <c r="LA14" s="28">
        <v>1930</v>
      </c>
      <c r="LB14" s="29">
        <v>1659</v>
      </c>
      <c r="LC14" s="29">
        <v>3.25</v>
      </c>
      <c r="LD14" s="34" t="s">
        <v>32</v>
      </c>
      <c r="LE14" s="34"/>
      <c r="LF14" s="31" t="s">
        <v>32</v>
      </c>
      <c r="LG14" s="34" t="s">
        <v>33</v>
      </c>
      <c r="LH14" s="32" t="s">
        <v>32</v>
      </c>
      <c r="LI14" s="32" t="s">
        <v>32</v>
      </c>
      <c r="LJ14" s="34" t="s">
        <v>32</v>
      </c>
      <c r="LK14" s="28"/>
      <c r="LL14" s="28" t="s">
        <v>32</v>
      </c>
      <c r="LM14" s="34" t="s">
        <v>32</v>
      </c>
      <c r="LN14" s="34" t="s">
        <v>32</v>
      </c>
      <c r="LO14" s="32" t="s">
        <v>32</v>
      </c>
      <c r="LP14" s="32" t="s">
        <v>33</v>
      </c>
      <c r="LQ14" s="29" t="s">
        <v>32</v>
      </c>
      <c r="LR14" s="28" t="s">
        <v>32</v>
      </c>
      <c r="LS14" s="26" t="s">
        <v>32</v>
      </c>
      <c r="LT14" s="34" t="s">
        <v>32</v>
      </c>
      <c r="LU14" s="34" t="s">
        <v>32</v>
      </c>
      <c r="LV14" s="34" t="s">
        <v>32</v>
      </c>
      <c r="LW14" s="33">
        <f t="shared" si="23"/>
        <v>0</v>
      </c>
      <c r="LX14" s="24"/>
    </row>
    <row r="15" spans="1:336" x14ac:dyDescent="0.3">
      <c r="A15" s="25">
        <v>45394</v>
      </c>
      <c r="B15" s="26">
        <v>0</v>
      </c>
      <c r="C15" s="26">
        <v>0</v>
      </c>
      <c r="D15" s="27">
        <f t="shared" si="0"/>
        <v>0</v>
      </c>
      <c r="E15" s="28">
        <v>2932</v>
      </c>
      <c r="F15" s="29">
        <v>1894</v>
      </c>
      <c r="G15" s="29">
        <v>6.2</v>
      </c>
      <c r="H15" s="34" t="s">
        <v>33</v>
      </c>
      <c r="I15" s="34"/>
      <c r="J15" s="31" t="s">
        <v>32</v>
      </c>
      <c r="K15" s="34" t="s">
        <v>32</v>
      </c>
      <c r="L15" s="32" t="s">
        <v>32</v>
      </c>
      <c r="M15" s="32" t="s">
        <v>32</v>
      </c>
      <c r="N15" s="34" t="s">
        <v>32</v>
      </c>
      <c r="O15" s="28" t="s">
        <v>32</v>
      </c>
      <c r="P15" s="28" t="s">
        <v>32</v>
      </c>
      <c r="Q15" s="34" t="s">
        <v>32</v>
      </c>
      <c r="R15" s="34" t="s">
        <v>32</v>
      </c>
      <c r="S15" s="32" t="s">
        <v>32</v>
      </c>
      <c r="T15" s="32"/>
      <c r="U15" s="29" t="s">
        <v>32</v>
      </c>
      <c r="V15" s="28" t="s">
        <v>32</v>
      </c>
      <c r="W15" s="26" t="s">
        <v>32</v>
      </c>
      <c r="X15" s="34" t="s">
        <v>32</v>
      </c>
      <c r="Y15" s="34" t="s">
        <v>32</v>
      </c>
      <c r="Z15" s="34"/>
      <c r="AA15" s="33">
        <f t="shared" si="12"/>
        <v>0</v>
      </c>
      <c r="AB15" s="24"/>
      <c r="AC15" s="25">
        <v>45424</v>
      </c>
      <c r="AD15" s="26">
        <v>6127</v>
      </c>
      <c r="AE15" s="26">
        <v>430976</v>
      </c>
      <c r="AF15" s="27">
        <f t="shared" si="1"/>
        <v>241800</v>
      </c>
      <c r="AG15" s="28">
        <v>1155</v>
      </c>
      <c r="AH15" s="29">
        <v>3013</v>
      </c>
      <c r="AI15" s="29">
        <v>8</v>
      </c>
      <c r="AJ15" s="34">
        <v>10813</v>
      </c>
      <c r="AK15" s="34">
        <v>12987</v>
      </c>
      <c r="AL15" s="31">
        <v>56000</v>
      </c>
      <c r="AM15" s="34">
        <v>160000</v>
      </c>
      <c r="AN15" s="32" t="s">
        <v>32</v>
      </c>
      <c r="AO15" s="32" t="s">
        <v>32</v>
      </c>
      <c r="AP15" s="34" t="s">
        <v>32</v>
      </c>
      <c r="AQ15" s="28" t="s">
        <v>32</v>
      </c>
      <c r="AR15" s="28" t="s">
        <v>32</v>
      </c>
      <c r="AS15" s="34" t="s">
        <v>32</v>
      </c>
      <c r="AT15" s="34" t="s">
        <v>32</v>
      </c>
      <c r="AU15" s="32" t="s">
        <v>32</v>
      </c>
      <c r="AV15" s="32"/>
      <c r="AW15" s="29" t="s">
        <v>32</v>
      </c>
      <c r="AX15" s="28" t="s">
        <v>32</v>
      </c>
      <c r="AY15" s="26" t="s">
        <v>32</v>
      </c>
      <c r="AZ15" s="34" t="s">
        <v>32</v>
      </c>
      <c r="BA15" s="34">
        <v>2000</v>
      </c>
      <c r="BB15" s="34" t="s">
        <v>76</v>
      </c>
      <c r="BC15" s="33">
        <f t="shared" si="13"/>
        <v>241800</v>
      </c>
      <c r="BD15" s="24"/>
      <c r="BE15" s="25">
        <v>45455</v>
      </c>
      <c r="BF15" s="26">
        <v>0</v>
      </c>
      <c r="BG15" s="26">
        <v>0</v>
      </c>
      <c r="BH15" s="27">
        <f t="shared" si="2"/>
        <v>0</v>
      </c>
      <c r="BI15" s="28">
        <v>2728</v>
      </c>
      <c r="BJ15" s="29">
        <v>1579</v>
      </c>
      <c r="BK15" s="29">
        <v>9.5</v>
      </c>
      <c r="BL15" s="34" t="s">
        <v>33</v>
      </c>
      <c r="BM15" s="34"/>
      <c r="BN15" s="31" t="s">
        <v>32</v>
      </c>
      <c r="BO15" s="34" t="s">
        <v>32</v>
      </c>
      <c r="BP15" s="32" t="s">
        <v>32</v>
      </c>
      <c r="BQ15" s="32" t="s">
        <v>32</v>
      </c>
      <c r="BR15" s="34" t="s">
        <v>32</v>
      </c>
      <c r="BS15" s="28" t="s">
        <v>32</v>
      </c>
      <c r="BT15" s="28" t="s">
        <v>32</v>
      </c>
      <c r="BU15" s="34" t="s">
        <v>32</v>
      </c>
      <c r="BV15" s="34" t="s">
        <v>32</v>
      </c>
      <c r="BW15" s="32" t="s">
        <v>32</v>
      </c>
      <c r="BX15" s="32"/>
      <c r="BY15" s="29" t="s">
        <v>32</v>
      </c>
      <c r="BZ15" s="28" t="s">
        <v>32</v>
      </c>
      <c r="CA15" s="26" t="s">
        <v>32</v>
      </c>
      <c r="CB15" s="34" t="s">
        <v>32</v>
      </c>
      <c r="CC15" s="34" t="s">
        <v>32</v>
      </c>
      <c r="CD15" s="34"/>
      <c r="CE15" s="33">
        <f t="shared" si="14"/>
        <v>0</v>
      </c>
      <c r="CF15" s="24"/>
      <c r="CG15" s="25">
        <v>45485</v>
      </c>
      <c r="CH15" s="26">
        <v>0</v>
      </c>
      <c r="CI15" s="26">
        <v>0</v>
      </c>
      <c r="CJ15" s="27">
        <f t="shared" si="3"/>
        <v>0</v>
      </c>
      <c r="CK15" s="28">
        <v>3198</v>
      </c>
      <c r="CL15" s="29">
        <v>480</v>
      </c>
      <c r="CM15" s="29">
        <v>9.25</v>
      </c>
      <c r="CN15" s="34" t="s">
        <v>33</v>
      </c>
      <c r="CO15" s="34"/>
      <c r="CP15" s="31" t="s">
        <v>32</v>
      </c>
      <c r="CQ15" s="34" t="s">
        <v>32</v>
      </c>
      <c r="CR15" s="32" t="s">
        <v>32</v>
      </c>
      <c r="CS15" s="32" t="s">
        <v>32</v>
      </c>
      <c r="CT15" s="34" t="s">
        <v>32</v>
      </c>
      <c r="CU15" s="28" t="s">
        <v>32</v>
      </c>
      <c r="CV15" s="28" t="s">
        <v>32</v>
      </c>
      <c r="CW15" s="34" t="s">
        <v>32</v>
      </c>
      <c r="CX15" s="34" t="s">
        <v>32</v>
      </c>
      <c r="CY15" s="32" t="s">
        <v>32</v>
      </c>
      <c r="CZ15" s="32"/>
      <c r="DA15" s="29" t="s">
        <v>32</v>
      </c>
      <c r="DB15" s="28" t="s">
        <v>32</v>
      </c>
      <c r="DC15" s="26" t="s">
        <v>32</v>
      </c>
      <c r="DD15" s="34" t="s">
        <v>32</v>
      </c>
      <c r="DE15" s="34" t="s">
        <v>32</v>
      </c>
      <c r="DF15" s="34"/>
      <c r="DG15" s="33">
        <f t="shared" si="15"/>
        <v>0</v>
      </c>
      <c r="DH15" s="24"/>
      <c r="DI15" s="25">
        <v>45516</v>
      </c>
      <c r="DJ15" s="26">
        <v>7636</v>
      </c>
      <c r="DK15" s="26">
        <v>510165</v>
      </c>
      <c r="DL15" s="27">
        <f t="shared" si="4"/>
        <v>89520</v>
      </c>
      <c r="DM15" s="28">
        <v>2923</v>
      </c>
      <c r="DN15" s="29">
        <v>4087</v>
      </c>
      <c r="DO15" s="29">
        <v>8.5</v>
      </c>
      <c r="DP15" s="34" t="s">
        <v>33</v>
      </c>
      <c r="DQ15" s="34"/>
      <c r="DR15" s="31">
        <v>87280</v>
      </c>
      <c r="DS15" s="34" t="s">
        <v>32</v>
      </c>
      <c r="DT15" s="32" t="s">
        <v>32</v>
      </c>
      <c r="DU15" s="32" t="s">
        <v>32</v>
      </c>
      <c r="DV15" s="34" t="s">
        <v>32</v>
      </c>
      <c r="DW15" s="28" t="s">
        <v>32</v>
      </c>
      <c r="DX15" s="28" t="s">
        <v>32</v>
      </c>
      <c r="DY15" s="34">
        <v>1460</v>
      </c>
      <c r="DZ15" s="34" t="s">
        <v>32</v>
      </c>
      <c r="EA15" s="32" t="s">
        <v>32</v>
      </c>
      <c r="EB15" s="32"/>
      <c r="EC15" s="29" t="s">
        <v>32</v>
      </c>
      <c r="ED15" s="28">
        <v>780</v>
      </c>
      <c r="EE15" s="26" t="s">
        <v>32</v>
      </c>
      <c r="EF15" s="34" t="s">
        <v>32</v>
      </c>
      <c r="EG15" s="34" t="s">
        <v>32</v>
      </c>
      <c r="EH15" s="34"/>
      <c r="EI15" s="33">
        <f t="shared" si="16"/>
        <v>89520</v>
      </c>
      <c r="EJ15" s="24"/>
      <c r="EK15" s="25">
        <v>45547</v>
      </c>
      <c r="EL15" s="26">
        <v>64</v>
      </c>
      <c r="EM15" s="26">
        <v>3500</v>
      </c>
      <c r="EN15" s="27">
        <f t="shared" si="5"/>
        <v>3410</v>
      </c>
      <c r="EO15" s="28">
        <v>3881</v>
      </c>
      <c r="EP15" s="29">
        <v>1575</v>
      </c>
      <c r="EQ15" s="29">
        <v>10</v>
      </c>
      <c r="ER15" s="34" t="s">
        <v>33</v>
      </c>
      <c r="ES15" s="34"/>
      <c r="ET15" s="31" t="s">
        <v>32</v>
      </c>
      <c r="EU15" s="34">
        <v>1500</v>
      </c>
      <c r="EV15" s="32" t="s">
        <v>32</v>
      </c>
      <c r="EW15" s="32" t="s">
        <v>32</v>
      </c>
      <c r="EX15" s="34" t="s">
        <v>32</v>
      </c>
      <c r="EY15" s="28" t="s">
        <v>32</v>
      </c>
      <c r="EZ15" s="28" t="s">
        <v>32</v>
      </c>
      <c r="FA15" s="34">
        <v>1910</v>
      </c>
      <c r="FB15" s="34" t="s">
        <v>32</v>
      </c>
      <c r="FC15" s="32" t="s">
        <v>32</v>
      </c>
      <c r="FD15" s="32"/>
      <c r="FE15" s="29" t="s">
        <v>32</v>
      </c>
      <c r="FF15" s="28" t="s">
        <v>32</v>
      </c>
      <c r="FG15" s="26" t="s">
        <v>32</v>
      </c>
      <c r="FH15" s="34" t="s">
        <v>32</v>
      </c>
      <c r="FI15" s="34" t="s">
        <v>32</v>
      </c>
      <c r="FJ15" s="34"/>
      <c r="FK15" s="33">
        <f t="shared" si="17"/>
        <v>3410</v>
      </c>
      <c r="FL15" s="24"/>
      <c r="FM15" s="25">
        <v>45577</v>
      </c>
      <c r="FN15" s="26">
        <v>202</v>
      </c>
      <c r="FO15" s="26">
        <v>10450</v>
      </c>
      <c r="FP15" s="27">
        <f t="shared" si="6"/>
        <v>199552</v>
      </c>
      <c r="FQ15" s="28">
        <v>2860</v>
      </c>
      <c r="FR15" s="29">
        <v>1141</v>
      </c>
      <c r="FS15" s="29">
        <v>10.5</v>
      </c>
      <c r="FT15" s="34" t="s">
        <v>33</v>
      </c>
      <c r="FU15" s="34"/>
      <c r="FV15" s="31" t="s">
        <v>32</v>
      </c>
      <c r="FW15" s="34">
        <v>150300</v>
      </c>
      <c r="FX15" s="32">
        <v>1100</v>
      </c>
      <c r="FY15" s="32">
        <v>46432</v>
      </c>
      <c r="FZ15" s="34" t="s">
        <v>32</v>
      </c>
      <c r="GA15" s="28" t="s">
        <v>32</v>
      </c>
      <c r="GB15" s="28" t="s">
        <v>32</v>
      </c>
      <c r="GC15" s="34">
        <v>1720</v>
      </c>
      <c r="GD15" s="34" t="s">
        <v>32</v>
      </c>
      <c r="GE15" s="32" t="s">
        <v>32</v>
      </c>
      <c r="GF15" s="32"/>
      <c r="GG15" s="29" t="s">
        <v>32</v>
      </c>
      <c r="GH15" s="28" t="s">
        <v>32</v>
      </c>
      <c r="GI15" s="26" t="s">
        <v>32</v>
      </c>
      <c r="GJ15" s="34" t="s">
        <v>32</v>
      </c>
      <c r="GK15" s="34" t="s">
        <v>32</v>
      </c>
      <c r="GL15" s="34"/>
      <c r="GM15" s="33">
        <f t="shared" si="18"/>
        <v>199552</v>
      </c>
      <c r="GN15" s="24"/>
      <c r="GO15" s="25">
        <v>45608</v>
      </c>
      <c r="GP15" s="26">
        <v>48</v>
      </c>
      <c r="GQ15" s="26">
        <v>2400</v>
      </c>
      <c r="GR15" s="27">
        <f t="shared" si="7"/>
        <v>726023</v>
      </c>
      <c r="GS15" s="28">
        <v>922</v>
      </c>
      <c r="GT15" s="29">
        <v>0</v>
      </c>
      <c r="GU15" s="29">
        <v>0</v>
      </c>
      <c r="GV15" s="34" t="s">
        <v>33</v>
      </c>
      <c r="GW15" s="34"/>
      <c r="GX15" s="31">
        <v>52450</v>
      </c>
      <c r="GY15" s="34" t="s">
        <v>32</v>
      </c>
      <c r="GZ15" s="32">
        <v>8220</v>
      </c>
      <c r="HA15" s="32">
        <v>47500</v>
      </c>
      <c r="HB15" s="34">
        <v>45825</v>
      </c>
      <c r="HC15" s="28">
        <v>500</v>
      </c>
      <c r="HD15" s="28" t="s">
        <v>32</v>
      </c>
      <c r="HE15" s="34">
        <v>1665</v>
      </c>
      <c r="HF15" s="34">
        <v>632</v>
      </c>
      <c r="HG15" s="32">
        <v>518231</v>
      </c>
      <c r="HH15" s="32" t="s">
        <v>43</v>
      </c>
      <c r="HI15" s="29">
        <v>51000</v>
      </c>
      <c r="HJ15" s="28" t="s">
        <v>106</v>
      </c>
      <c r="HK15" s="26" t="s">
        <v>32</v>
      </c>
      <c r="HL15" s="34" t="s">
        <v>32</v>
      </c>
      <c r="HM15" s="34" t="s">
        <v>32</v>
      </c>
      <c r="HN15" s="34"/>
      <c r="HO15" s="33">
        <f t="shared" si="19"/>
        <v>726023</v>
      </c>
      <c r="HP15" s="24"/>
      <c r="HQ15" s="25">
        <v>45638</v>
      </c>
      <c r="HR15" s="26">
        <v>8256</v>
      </c>
      <c r="HS15" s="26">
        <v>631127</v>
      </c>
      <c r="HT15" s="27">
        <f t="shared" si="8"/>
        <v>166444</v>
      </c>
      <c r="HU15" s="28">
        <v>3831</v>
      </c>
      <c r="HV15" s="29">
        <v>1530</v>
      </c>
      <c r="HW15" s="29">
        <v>5.5</v>
      </c>
      <c r="HX15" s="34">
        <v>29700</v>
      </c>
      <c r="HY15" s="34">
        <v>35950</v>
      </c>
      <c r="HZ15" s="31">
        <v>100000</v>
      </c>
      <c r="IA15" s="34" t="s">
        <v>32</v>
      </c>
      <c r="IB15" s="32" t="s">
        <v>32</v>
      </c>
      <c r="IC15" s="32" t="s">
        <v>32</v>
      </c>
      <c r="ID15" s="34" t="s">
        <v>32</v>
      </c>
      <c r="IE15" s="28" t="s">
        <v>32</v>
      </c>
      <c r="IF15" s="28" t="s">
        <v>32</v>
      </c>
      <c r="IG15" s="34">
        <v>794</v>
      </c>
      <c r="IH15" s="34" t="s">
        <v>32</v>
      </c>
      <c r="II15" s="32" t="s">
        <v>32</v>
      </c>
      <c r="IJ15" s="32"/>
      <c r="IK15" s="29" t="s">
        <v>32</v>
      </c>
      <c r="IL15" s="28" t="s">
        <v>32</v>
      </c>
      <c r="IM15" s="26" t="s">
        <v>32</v>
      </c>
      <c r="IN15" s="34" t="s">
        <v>32</v>
      </c>
      <c r="IO15" s="34" t="s">
        <v>32</v>
      </c>
      <c r="IP15" s="34"/>
      <c r="IQ15" s="33">
        <f t="shared" si="20"/>
        <v>166444</v>
      </c>
      <c r="IR15" s="24"/>
      <c r="IS15" s="25">
        <v>45669</v>
      </c>
      <c r="IT15" s="26">
        <v>6777</v>
      </c>
      <c r="IU15" s="26">
        <v>476400</v>
      </c>
      <c r="IV15" s="27">
        <f t="shared" si="9"/>
        <v>52765</v>
      </c>
      <c r="IW15" s="28">
        <v>1856</v>
      </c>
      <c r="IX15" s="29">
        <v>1235</v>
      </c>
      <c r="IY15" s="29">
        <v>6.25</v>
      </c>
      <c r="IZ15" s="34" t="s">
        <v>33</v>
      </c>
      <c r="JA15" s="34"/>
      <c r="JB15" s="31" t="s">
        <v>32</v>
      </c>
      <c r="JC15" s="34">
        <v>50000</v>
      </c>
      <c r="JD15" s="32" t="s">
        <v>32</v>
      </c>
      <c r="JE15" s="32">
        <v>1907</v>
      </c>
      <c r="JF15" s="34" t="s">
        <v>32</v>
      </c>
      <c r="JG15" s="28" t="s">
        <v>32</v>
      </c>
      <c r="JH15" s="28" t="s">
        <v>32</v>
      </c>
      <c r="JI15" s="34">
        <v>858</v>
      </c>
      <c r="JJ15" s="34" t="s">
        <v>32</v>
      </c>
      <c r="JK15" s="32" t="s">
        <v>32</v>
      </c>
      <c r="JL15" s="32"/>
      <c r="JM15" s="29" t="s">
        <v>32</v>
      </c>
      <c r="JN15" s="28" t="s">
        <v>32</v>
      </c>
      <c r="JO15" s="26" t="s">
        <v>32</v>
      </c>
      <c r="JP15" s="34" t="s">
        <v>32</v>
      </c>
      <c r="JQ15" s="34" t="s">
        <v>32</v>
      </c>
      <c r="JR15" s="34"/>
      <c r="JS15" s="33">
        <f t="shared" si="21"/>
        <v>52765</v>
      </c>
      <c r="JT15" s="24"/>
      <c r="JU15" s="25">
        <v>45700</v>
      </c>
      <c r="JV15" s="26">
        <v>0</v>
      </c>
      <c r="JW15" s="26">
        <v>0</v>
      </c>
      <c r="JX15" s="27">
        <f t="shared" si="10"/>
        <v>0</v>
      </c>
      <c r="JY15" s="28">
        <v>2025</v>
      </c>
      <c r="JZ15" s="29">
        <v>0</v>
      </c>
      <c r="KA15" s="29">
        <v>5.25</v>
      </c>
      <c r="KB15" s="34" t="s">
        <v>33</v>
      </c>
      <c r="KC15" s="34"/>
      <c r="KD15" s="31" t="s">
        <v>32</v>
      </c>
      <c r="KE15" s="34" t="s">
        <v>32</v>
      </c>
      <c r="KF15" s="32" t="s">
        <v>32</v>
      </c>
      <c r="KG15" s="32" t="s">
        <v>32</v>
      </c>
      <c r="KH15" s="34" t="s">
        <v>32</v>
      </c>
      <c r="KI15" s="28" t="s">
        <v>32</v>
      </c>
      <c r="KJ15" s="28" t="s">
        <v>32</v>
      </c>
      <c r="KK15" s="34" t="s">
        <v>32</v>
      </c>
      <c r="KL15" s="34" t="s">
        <v>32</v>
      </c>
      <c r="KM15" s="32" t="s">
        <v>32</v>
      </c>
      <c r="KN15" s="32"/>
      <c r="KO15" s="29" t="s">
        <v>32</v>
      </c>
      <c r="KP15" s="28" t="s">
        <v>32</v>
      </c>
      <c r="KQ15" s="26" t="s">
        <v>32</v>
      </c>
      <c r="KR15" s="34" t="s">
        <v>32</v>
      </c>
      <c r="KS15" s="34" t="s">
        <v>32</v>
      </c>
      <c r="KT15" s="34"/>
      <c r="KU15" s="33">
        <f t="shared" si="22"/>
        <v>0</v>
      </c>
      <c r="KV15" s="24"/>
      <c r="KW15" s="25">
        <v>45728</v>
      </c>
      <c r="KX15" s="26">
        <v>0</v>
      </c>
      <c r="KY15" s="26">
        <v>0</v>
      </c>
      <c r="KZ15" s="27">
        <f t="shared" si="11"/>
        <v>175435</v>
      </c>
      <c r="LA15" s="28">
        <v>0</v>
      </c>
      <c r="LB15" s="29">
        <v>0</v>
      </c>
      <c r="LC15" s="29">
        <v>0</v>
      </c>
      <c r="LD15" s="34" t="s">
        <v>33</v>
      </c>
      <c r="LE15" s="34"/>
      <c r="LF15" s="31">
        <v>20160</v>
      </c>
      <c r="LG15" s="34" t="s">
        <v>32</v>
      </c>
      <c r="LH15" s="32" t="s">
        <v>32</v>
      </c>
      <c r="LI15" s="32">
        <v>25000</v>
      </c>
      <c r="LJ15" s="34">
        <v>118200</v>
      </c>
      <c r="LK15" s="28" t="s">
        <v>32</v>
      </c>
      <c r="LL15" s="28" t="s">
        <v>32</v>
      </c>
      <c r="LM15" s="34">
        <v>2075</v>
      </c>
      <c r="LN15" s="34" t="s">
        <v>32</v>
      </c>
      <c r="LO15" s="32" t="s">
        <v>32</v>
      </c>
      <c r="LP15" s="32"/>
      <c r="LQ15" s="29" t="s">
        <v>32</v>
      </c>
      <c r="LR15" s="28" t="s">
        <v>32</v>
      </c>
      <c r="LS15" s="26">
        <v>10000</v>
      </c>
      <c r="LT15" s="34" t="s">
        <v>57</v>
      </c>
      <c r="LU15" s="34" t="s">
        <v>32</v>
      </c>
      <c r="LV15" s="34"/>
      <c r="LW15" s="33">
        <f t="shared" si="23"/>
        <v>175435</v>
      </c>
      <c r="LX15" s="24"/>
    </row>
    <row r="16" spans="1:336" x14ac:dyDescent="0.3">
      <c r="A16" s="25">
        <v>45395</v>
      </c>
      <c r="B16" s="26">
        <v>663</v>
      </c>
      <c r="C16" s="26">
        <v>30500</v>
      </c>
      <c r="D16" s="27">
        <f t="shared" si="0"/>
        <v>31480</v>
      </c>
      <c r="E16" s="28">
        <v>1443</v>
      </c>
      <c r="F16" s="29">
        <v>915</v>
      </c>
      <c r="G16" s="29">
        <v>6</v>
      </c>
      <c r="H16" s="34" t="s">
        <v>32</v>
      </c>
      <c r="I16" s="34"/>
      <c r="J16" s="31">
        <v>20000</v>
      </c>
      <c r="K16" s="34" t="s">
        <v>32</v>
      </c>
      <c r="L16" s="32">
        <v>500</v>
      </c>
      <c r="M16" s="32"/>
      <c r="N16" s="34">
        <v>10000</v>
      </c>
      <c r="O16" s="28"/>
      <c r="P16" s="28">
        <v>500</v>
      </c>
      <c r="Q16" s="34" t="s">
        <v>32</v>
      </c>
      <c r="R16" s="34" t="s">
        <v>32</v>
      </c>
      <c r="S16" s="32">
        <v>480</v>
      </c>
      <c r="T16" s="32" t="s">
        <v>73</v>
      </c>
      <c r="U16" s="29" t="s">
        <v>32</v>
      </c>
      <c r="V16" s="28"/>
      <c r="W16" s="26" t="s">
        <v>32</v>
      </c>
      <c r="X16" s="34" t="s">
        <v>32</v>
      </c>
      <c r="Y16" s="34" t="s">
        <v>32</v>
      </c>
      <c r="Z16" s="34"/>
      <c r="AA16" s="33">
        <f t="shared" si="12"/>
        <v>31480</v>
      </c>
      <c r="AB16" s="24"/>
      <c r="AC16" s="25">
        <v>45425</v>
      </c>
      <c r="AD16" s="26">
        <v>0</v>
      </c>
      <c r="AE16" s="26">
        <v>0</v>
      </c>
      <c r="AF16" s="27">
        <f t="shared" si="1"/>
        <v>150950</v>
      </c>
      <c r="AG16" s="28">
        <v>0</v>
      </c>
      <c r="AH16" s="29">
        <v>1560</v>
      </c>
      <c r="AI16" s="29">
        <v>6.5</v>
      </c>
      <c r="AJ16" s="34" t="s">
        <v>32</v>
      </c>
      <c r="AK16" s="34"/>
      <c r="AL16" s="31">
        <v>150000</v>
      </c>
      <c r="AM16" s="34" t="s">
        <v>32</v>
      </c>
      <c r="AN16" s="32">
        <v>950</v>
      </c>
      <c r="AO16" s="32"/>
      <c r="AP16" s="34" t="s">
        <v>32</v>
      </c>
      <c r="AQ16" s="28"/>
      <c r="AR16" s="28" t="s">
        <v>32</v>
      </c>
      <c r="AS16" s="34" t="s">
        <v>32</v>
      </c>
      <c r="AT16" s="34" t="s">
        <v>32</v>
      </c>
      <c r="AU16" s="32" t="s">
        <v>32</v>
      </c>
      <c r="AV16" s="32" t="s">
        <v>32</v>
      </c>
      <c r="AW16" s="29" t="s">
        <v>32</v>
      </c>
      <c r="AX16" s="28"/>
      <c r="AY16" s="26" t="s">
        <v>32</v>
      </c>
      <c r="AZ16" s="34" t="s">
        <v>32</v>
      </c>
      <c r="BA16" s="34" t="s">
        <v>32</v>
      </c>
      <c r="BB16" s="34"/>
      <c r="BC16" s="33">
        <f t="shared" si="13"/>
        <v>150950</v>
      </c>
      <c r="BD16" s="24"/>
      <c r="BE16" s="25">
        <v>45456</v>
      </c>
      <c r="BF16" s="26">
        <v>6821</v>
      </c>
      <c r="BG16" s="26">
        <v>429552</v>
      </c>
      <c r="BH16" s="27">
        <f t="shared" si="2"/>
        <v>77460</v>
      </c>
      <c r="BI16" s="28">
        <v>2843</v>
      </c>
      <c r="BJ16" s="29">
        <v>2335</v>
      </c>
      <c r="BK16" s="29">
        <v>7</v>
      </c>
      <c r="BL16" s="34" t="s">
        <v>32</v>
      </c>
      <c r="BM16" s="34"/>
      <c r="BN16" s="31">
        <v>50000</v>
      </c>
      <c r="BO16" s="34">
        <v>25000</v>
      </c>
      <c r="BP16" s="32">
        <v>800</v>
      </c>
      <c r="BQ16" s="32"/>
      <c r="BR16" s="34" t="s">
        <v>32</v>
      </c>
      <c r="BS16" s="28"/>
      <c r="BT16" s="28">
        <v>500</v>
      </c>
      <c r="BU16" s="34">
        <v>810</v>
      </c>
      <c r="BV16" s="34" t="s">
        <v>32</v>
      </c>
      <c r="BW16" s="32">
        <v>350</v>
      </c>
      <c r="BX16" s="32" t="s">
        <v>81</v>
      </c>
      <c r="BY16" s="29" t="s">
        <v>32</v>
      </c>
      <c r="BZ16" s="28"/>
      <c r="CA16" s="26" t="s">
        <v>32</v>
      </c>
      <c r="CB16" s="34" t="s">
        <v>32</v>
      </c>
      <c r="CC16" s="34" t="s">
        <v>32</v>
      </c>
      <c r="CD16" s="34"/>
      <c r="CE16" s="33">
        <f t="shared" si="14"/>
        <v>77460</v>
      </c>
      <c r="CF16" s="24"/>
      <c r="CG16" s="25">
        <v>45486</v>
      </c>
      <c r="CH16" s="26">
        <v>0</v>
      </c>
      <c r="CI16" s="26">
        <v>0</v>
      </c>
      <c r="CJ16" s="27">
        <f t="shared" si="3"/>
        <v>360851</v>
      </c>
      <c r="CK16" s="28">
        <v>3874</v>
      </c>
      <c r="CL16" s="29">
        <v>4494</v>
      </c>
      <c r="CM16" s="29">
        <v>6.5</v>
      </c>
      <c r="CN16" s="34">
        <v>19030</v>
      </c>
      <c r="CO16" s="34">
        <v>22906</v>
      </c>
      <c r="CP16" s="31">
        <v>97000</v>
      </c>
      <c r="CQ16" s="34">
        <v>100000</v>
      </c>
      <c r="CR16" s="32">
        <v>700</v>
      </c>
      <c r="CS16" s="32" t="s">
        <v>32</v>
      </c>
      <c r="CT16" s="34">
        <v>118575</v>
      </c>
      <c r="CU16" s="28"/>
      <c r="CV16" s="28">
        <v>500</v>
      </c>
      <c r="CW16" s="34">
        <v>140</v>
      </c>
      <c r="CX16" s="34" t="s">
        <v>32</v>
      </c>
      <c r="CY16" s="32" t="s">
        <v>32</v>
      </c>
      <c r="CZ16" s="32" t="s">
        <v>32</v>
      </c>
      <c r="DA16" s="29" t="s">
        <v>32</v>
      </c>
      <c r="DB16" s="28" t="s">
        <v>32</v>
      </c>
      <c r="DC16" s="26">
        <v>2000</v>
      </c>
      <c r="DD16" s="34" t="s">
        <v>40</v>
      </c>
      <c r="DE16" s="34" t="s">
        <v>32</v>
      </c>
      <c r="DF16" s="34"/>
      <c r="DG16" s="33">
        <f t="shared" si="15"/>
        <v>360851</v>
      </c>
      <c r="DH16" s="24"/>
      <c r="DI16" s="25">
        <v>45517</v>
      </c>
      <c r="DJ16" s="26">
        <v>0</v>
      </c>
      <c r="DK16" s="26">
        <v>0</v>
      </c>
      <c r="DL16" s="27">
        <f t="shared" si="4"/>
        <v>264280</v>
      </c>
      <c r="DM16" s="28">
        <v>1215</v>
      </c>
      <c r="DN16" s="29">
        <v>5604</v>
      </c>
      <c r="DO16" s="29">
        <v>7.25</v>
      </c>
      <c r="DP16" s="34" t="s">
        <v>32</v>
      </c>
      <c r="DQ16" s="34"/>
      <c r="DR16" s="31">
        <v>20000</v>
      </c>
      <c r="DS16" s="34">
        <v>160000</v>
      </c>
      <c r="DT16" s="32">
        <v>11000</v>
      </c>
      <c r="DU16" s="32">
        <v>4930</v>
      </c>
      <c r="DV16" s="34">
        <v>20000</v>
      </c>
      <c r="DW16" s="28">
        <v>340</v>
      </c>
      <c r="DX16" s="28" t="s">
        <v>32</v>
      </c>
      <c r="DY16" s="34">
        <v>6610</v>
      </c>
      <c r="DZ16" s="34" t="s">
        <v>32</v>
      </c>
      <c r="EA16" s="32" t="s">
        <v>32</v>
      </c>
      <c r="EB16" s="32" t="s">
        <v>32</v>
      </c>
      <c r="EC16" s="29" t="s">
        <v>32</v>
      </c>
      <c r="ED16" s="28"/>
      <c r="EE16" s="26">
        <v>41400</v>
      </c>
      <c r="EF16" s="34" t="s">
        <v>95</v>
      </c>
      <c r="EG16" s="34" t="s">
        <v>32</v>
      </c>
      <c r="EH16" s="34"/>
      <c r="EI16" s="33">
        <f t="shared" si="16"/>
        <v>264280</v>
      </c>
      <c r="EJ16" s="24"/>
      <c r="EK16" s="25">
        <v>45548</v>
      </c>
      <c r="EL16" s="26">
        <v>0</v>
      </c>
      <c r="EM16" s="26">
        <v>0</v>
      </c>
      <c r="EN16" s="27">
        <f t="shared" si="5"/>
        <v>0</v>
      </c>
      <c r="EO16" s="28">
        <v>3990</v>
      </c>
      <c r="EP16" s="29">
        <v>2193</v>
      </c>
      <c r="EQ16" s="29">
        <v>6</v>
      </c>
      <c r="ER16" s="34" t="s">
        <v>32</v>
      </c>
      <c r="ES16" s="34"/>
      <c r="ET16" s="31" t="s">
        <v>32</v>
      </c>
      <c r="EU16" s="34" t="s">
        <v>32</v>
      </c>
      <c r="EV16" s="32" t="s">
        <v>32</v>
      </c>
      <c r="EW16" s="32"/>
      <c r="EX16" s="34" t="s">
        <v>32</v>
      </c>
      <c r="EY16" s="28"/>
      <c r="EZ16" s="28" t="s">
        <v>32</v>
      </c>
      <c r="FA16" s="34" t="s">
        <v>32</v>
      </c>
      <c r="FB16" s="34" t="s">
        <v>32</v>
      </c>
      <c r="FC16" s="32" t="s">
        <v>32</v>
      </c>
      <c r="FD16" s="32" t="s">
        <v>32</v>
      </c>
      <c r="FE16" s="29" t="s">
        <v>32</v>
      </c>
      <c r="FF16" s="28"/>
      <c r="FG16" s="26" t="s">
        <v>32</v>
      </c>
      <c r="FH16" s="34" t="s">
        <v>32</v>
      </c>
      <c r="FI16" s="34" t="s">
        <v>32</v>
      </c>
      <c r="FJ16" s="34"/>
      <c r="FK16" s="33">
        <f t="shared" si="17"/>
        <v>0</v>
      </c>
      <c r="FL16" s="24"/>
      <c r="FM16" s="25">
        <v>45578</v>
      </c>
      <c r="FN16" s="26">
        <v>0</v>
      </c>
      <c r="FO16" s="26">
        <v>0</v>
      </c>
      <c r="FP16" s="27">
        <f t="shared" si="6"/>
        <v>0</v>
      </c>
      <c r="FQ16" s="28">
        <v>3729</v>
      </c>
      <c r="FR16" s="29">
        <v>2497</v>
      </c>
      <c r="FS16" s="29">
        <v>9</v>
      </c>
      <c r="FT16" s="34" t="s">
        <v>32</v>
      </c>
      <c r="FU16" s="34"/>
      <c r="FV16" s="31" t="s">
        <v>32</v>
      </c>
      <c r="FW16" s="34" t="s">
        <v>32</v>
      </c>
      <c r="FX16" s="32" t="s">
        <v>32</v>
      </c>
      <c r="FY16" s="32"/>
      <c r="FZ16" s="34" t="s">
        <v>32</v>
      </c>
      <c r="GA16" s="28"/>
      <c r="GB16" s="28" t="s">
        <v>32</v>
      </c>
      <c r="GC16" s="34" t="s">
        <v>32</v>
      </c>
      <c r="GD16" s="34" t="s">
        <v>32</v>
      </c>
      <c r="GE16" s="32" t="s">
        <v>32</v>
      </c>
      <c r="GF16" s="32" t="s">
        <v>32</v>
      </c>
      <c r="GG16" s="29" t="s">
        <v>32</v>
      </c>
      <c r="GH16" s="28"/>
      <c r="GI16" s="26" t="s">
        <v>32</v>
      </c>
      <c r="GJ16" s="34" t="s">
        <v>32</v>
      </c>
      <c r="GK16" s="34" t="s">
        <v>32</v>
      </c>
      <c r="GL16" s="34"/>
      <c r="GM16" s="33">
        <f t="shared" si="18"/>
        <v>0</v>
      </c>
      <c r="GN16" s="24"/>
      <c r="GO16" s="25">
        <v>45609</v>
      </c>
      <c r="GP16" s="26">
        <v>0</v>
      </c>
      <c r="GQ16" s="26">
        <v>0</v>
      </c>
      <c r="GR16" s="27">
        <f t="shared" si="7"/>
        <v>0</v>
      </c>
      <c r="GS16" s="28">
        <v>1225</v>
      </c>
      <c r="GT16" s="29">
        <v>0</v>
      </c>
      <c r="GU16" s="29">
        <v>6</v>
      </c>
      <c r="GV16" s="34" t="s">
        <v>32</v>
      </c>
      <c r="GW16" s="34"/>
      <c r="GX16" s="31" t="s">
        <v>32</v>
      </c>
      <c r="GY16" s="34" t="s">
        <v>32</v>
      </c>
      <c r="GZ16" s="32" t="s">
        <v>32</v>
      </c>
      <c r="HA16" s="32"/>
      <c r="HB16" s="34" t="s">
        <v>32</v>
      </c>
      <c r="HC16" s="28"/>
      <c r="HD16" s="28" t="s">
        <v>32</v>
      </c>
      <c r="HE16" s="34" t="s">
        <v>32</v>
      </c>
      <c r="HF16" s="34" t="s">
        <v>32</v>
      </c>
      <c r="HG16" s="32" t="s">
        <v>32</v>
      </c>
      <c r="HH16" s="32" t="s">
        <v>32</v>
      </c>
      <c r="HI16" s="29" t="s">
        <v>32</v>
      </c>
      <c r="HJ16" s="28"/>
      <c r="HK16" s="26" t="s">
        <v>32</v>
      </c>
      <c r="HL16" s="34" t="s">
        <v>32</v>
      </c>
      <c r="HM16" s="34" t="s">
        <v>32</v>
      </c>
      <c r="HN16" s="34"/>
      <c r="HO16" s="33">
        <f t="shared" si="19"/>
        <v>0</v>
      </c>
      <c r="HP16" s="24"/>
      <c r="HQ16" s="25">
        <v>45639</v>
      </c>
      <c r="HR16" s="26">
        <v>0</v>
      </c>
      <c r="HS16" s="26">
        <v>0</v>
      </c>
      <c r="HT16" s="27">
        <f t="shared" si="8"/>
        <v>0</v>
      </c>
      <c r="HU16" s="28">
        <v>2497</v>
      </c>
      <c r="HV16" s="29">
        <v>1210</v>
      </c>
      <c r="HW16" s="29">
        <v>5.5</v>
      </c>
      <c r="HX16" s="34" t="s">
        <v>32</v>
      </c>
      <c r="HY16" s="34"/>
      <c r="HZ16" s="31" t="s">
        <v>32</v>
      </c>
      <c r="IA16" s="34" t="s">
        <v>32</v>
      </c>
      <c r="IB16" s="32" t="s">
        <v>32</v>
      </c>
      <c r="IC16" s="32"/>
      <c r="ID16" s="34" t="s">
        <v>32</v>
      </c>
      <c r="IE16" s="28"/>
      <c r="IF16" s="28" t="s">
        <v>32</v>
      </c>
      <c r="IG16" s="34" t="s">
        <v>32</v>
      </c>
      <c r="IH16" s="34" t="s">
        <v>32</v>
      </c>
      <c r="II16" s="32" t="s">
        <v>32</v>
      </c>
      <c r="IJ16" s="32" t="s">
        <v>32</v>
      </c>
      <c r="IK16" s="29" t="s">
        <v>32</v>
      </c>
      <c r="IL16" s="28"/>
      <c r="IM16" s="26" t="s">
        <v>32</v>
      </c>
      <c r="IN16" s="34" t="s">
        <v>32</v>
      </c>
      <c r="IO16" s="34" t="s">
        <v>32</v>
      </c>
      <c r="IP16" s="34"/>
      <c r="IQ16" s="33">
        <f t="shared" si="20"/>
        <v>0</v>
      </c>
      <c r="IR16" s="24"/>
      <c r="IS16" s="25">
        <v>45670</v>
      </c>
      <c r="IT16" s="26">
        <v>0</v>
      </c>
      <c r="IU16" s="26" t="s">
        <v>32</v>
      </c>
      <c r="IV16" s="27">
        <f t="shared" si="9"/>
        <v>27186</v>
      </c>
      <c r="IW16" s="28">
        <v>1065</v>
      </c>
      <c r="IX16" s="29">
        <v>4702</v>
      </c>
      <c r="IY16" s="29">
        <v>7.2</v>
      </c>
      <c r="IZ16" s="34" t="s">
        <v>32</v>
      </c>
      <c r="JA16" s="34"/>
      <c r="JB16" s="31" t="s">
        <v>32</v>
      </c>
      <c r="JC16" s="34" t="s">
        <v>32</v>
      </c>
      <c r="JD16" s="32">
        <v>6300</v>
      </c>
      <c r="JE16" s="32"/>
      <c r="JF16" s="34" t="s">
        <v>32</v>
      </c>
      <c r="JG16" s="28"/>
      <c r="JH16" s="28" t="s">
        <v>32</v>
      </c>
      <c r="JI16" s="34">
        <v>886</v>
      </c>
      <c r="JJ16" s="34" t="s">
        <v>32</v>
      </c>
      <c r="JK16" s="32" t="s">
        <v>32</v>
      </c>
      <c r="JL16" s="32" t="s">
        <v>32</v>
      </c>
      <c r="JM16" s="29" t="s">
        <v>32</v>
      </c>
      <c r="JN16" s="28"/>
      <c r="JO16" s="26">
        <v>20000</v>
      </c>
      <c r="JP16" s="34" t="s">
        <v>57</v>
      </c>
      <c r="JQ16" s="34" t="s">
        <v>32</v>
      </c>
      <c r="JR16" s="34"/>
      <c r="JS16" s="33">
        <f t="shared" si="21"/>
        <v>27186</v>
      </c>
      <c r="JT16" s="24"/>
      <c r="JU16" s="25">
        <v>45701</v>
      </c>
      <c r="JV16" s="26">
        <v>6198</v>
      </c>
      <c r="JW16" s="26">
        <v>203471</v>
      </c>
      <c r="JX16" s="27">
        <f t="shared" si="10"/>
        <v>422165</v>
      </c>
      <c r="JY16" s="28">
        <v>1681</v>
      </c>
      <c r="JZ16" s="29">
        <v>0</v>
      </c>
      <c r="KA16" s="29">
        <v>4</v>
      </c>
      <c r="KB16" s="34" t="s">
        <v>32</v>
      </c>
      <c r="KC16" s="34"/>
      <c r="KD16" s="31">
        <v>171711</v>
      </c>
      <c r="KE16" s="34">
        <v>100000</v>
      </c>
      <c r="KF16" s="32">
        <v>53229</v>
      </c>
      <c r="KG16" s="32">
        <v>70000</v>
      </c>
      <c r="KH16" s="34" t="s">
        <v>32</v>
      </c>
      <c r="KI16" s="28"/>
      <c r="KJ16" s="28">
        <v>250</v>
      </c>
      <c r="KK16" s="34">
        <v>1975</v>
      </c>
      <c r="KL16" s="34" t="s">
        <v>32</v>
      </c>
      <c r="KM16" s="32" t="s">
        <v>32</v>
      </c>
      <c r="KN16" s="32" t="s">
        <v>32</v>
      </c>
      <c r="KQ16" s="29">
        <v>25000</v>
      </c>
      <c r="KR16" s="28" t="s">
        <v>47</v>
      </c>
      <c r="KS16" s="34" t="s">
        <v>32</v>
      </c>
      <c r="KT16" s="34"/>
      <c r="KU16" s="33">
        <f t="shared" si="22"/>
        <v>422165</v>
      </c>
      <c r="KV16" s="24"/>
      <c r="KW16" s="25">
        <v>45729</v>
      </c>
      <c r="KX16" s="26">
        <v>0</v>
      </c>
      <c r="KY16" s="26">
        <v>0</v>
      </c>
      <c r="KZ16" s="27">
        <f t="shared" si="11"/>
        <v>0</v>
      </c>
      <c r="LA16" s="28">
        <v>0</v>
      </c>
      <c r="LB16" s="29">
        <v>0</v>
      </c>
      <c r="LC16" s="29">
        <v>0</v>
      </c>
      <c r="LD16" s="34" t="s">
        <v>32</v>
      </c>
      <c r="LE16" s="34"/>
      <c r="LF16" s="31" t="s">
        <v>32</v>
      </c>
      <c r="LG16" s="34" t="s">
        <v>32</v>
      </c>
      <c r="LH16" s="32" t="s">
        <v>32</v>
      </c>
      <c r="LI16" s="32"/>
      <c r="LJ16" s="34" t="s">
        <v>32</v>
      </c>
      <c r="LK16" s="28"/>
      <c r="LL16" s="28" t="s">
        <v>32</v>
      </c>
      <c r="LM16" s="34" t="s">
        <v>32</v>
      </c>
      <c r="LN16" s="34" t="s">
        <v>32</v>
      </c>
      <c r="LO16" s="32" t="s">
        <v>32</v>
      </c>
      <c r="LP16" s="32" t="s">
        <v>32</v>
      </c>
      <c r="LQ16" s="29" t="s">
        <v>32</v>
      </c>
      <c r="LR16" s="28"/>
      <c r="LS16" s="26" t="s">
        <v>32</v>
      </c>
      <c r="LT16" s="34" t="s">
        <v>32</v>
      </c>
      <c r="LU16" s="34" t="s">
        <v>32</v>
      </c>
      <c r="LV16" s="34"/>
      <c r="LW16" s="33">
        <f t="shared" si="23"/>
        <v>0</v>
      </c>
      <c r="LX16" s="24"/>
    </row>
    <row r="17" spans="1:336" x14ac:dyDescent="0.3">
      <c r="A17" s="25">
        <v>45396</v>
      </c>
      <c r="B17" s="26">
        <v>7443</v>
      </c>
      <c r="C17" s="26">
        <v>508879</v>
      </c>
      <c r="D17" s="27">
        <f t="shared" si="0"/>
        <v>430</v>
      </c>
      <c r="E17" s="28">
        <v>1631</v>
      </c>
      <c r="F17" s="29">
        <v>2932</v>
      </c>
      <c r="G17" s="29">
        <v>7</v>
      </c>
      <c r="H17" s="34" t="s">
        <v>32</v>
      </c>
      <c r="I17" s="34"/>
      <c r="J17" s="31" t="s">
        <v>32</v>
      </c>
      <c r="K17" s="34" t="s">
        <v>32</v>
      </c>
      <c r="L17" s="32" t="s">
        <v>32</v>
      </c>
      <c r="M17" s="32"/>
      <c r="N17" s="34"/>
      <c r="O17" s="28">
        <v>150</v>
      </c>
      <c r="P17" s="28" t="s">
        <v>32</v>
      </c>
      <c r="Q17" s="34">
        <v>280</v>
      </c>
      <c r="R17" s="34" t="s">
        <v>32</v>
      </c>
      <c r="S17" s="32" t="s">
        <v>32</v>
      </c>
      <c r="T17" s="32" t="s">
        <v>32</v>
      </c>
      <c r="U17" s="29" t="s">
        <v>32</v>
      </c>
      <c r="V17" s="28" t="s">
        <v>32</v>
      </c>
      <c r="W17" s="26" t="s">
        <v>32</v>
      </c>
      <c r="X17" s="34" t="s">
        <v>32</v>
      </c>
      <c r="Y17" s="34" t="s">
        <v>32</v>
      </c>
      <c r="Z17" s="34" t="s">
        <v>32</v>
      </c>
      <c r="AA17" s="33">
        <f>SUM(H17:Z17)</f>
        <v>430</v>
      </c>
      <c r="AB17" s="24"/>
      <c r="AC17" s="25">
        <v>45426</v>
      </c>
      <c r="AD17" s="26">
        <v>0</v>
      </c>
      <c r="AE17" s="26">
        <v>0</v>
      </c>
      <c r="AF17" s="27">
        <f t="shared" si="1"/>
        <v>0</v>
      </c>
      <c r="AG17" s="28">
        <v>2862</v>
      </c>
      <c r="AH17" s="29">
        <v>2829</v>
      </c>
      <c r="AI17" s="29">
        <v>5.75</v>
      </c>
      <c r="AJ17" s="34" t="s">
        <v>32</v>
      </c>
      <c r="AK17" s="34"/>
      <c r="AL17" s="31" t="s">
        <v>32</v>
      </c>
      <c r="AM17" s="34" t="s">
        <v>32</v>
      </c>
      <c r="AN17" s="32" t="s">
        <v>32</v>
      </c>
      <c r="AO17" s="32"/>
      <c r="AP17" s="34"/>
      <c r="AQ17" s="28"/>
      <c r="AR17" s="28" t="s">
        <v>32</v>
      </c>
      <c r="AS17" s="34" t="s">
        <v>32</v>
      </c>
      <c r="AT17" s="34" t="s">
        <v>32</v>
      </c>
      <c r="AU17" s="32" t="s">
        <v>32</v>
      </c>
      <c r="AV17" s="32" t="s">
        <v>32</v>
      </c>
      <c r="AW17" s="29" t="s">
        <v>32</v>
      </c>
      <c r="AX17" s="28" t="s">
        <v>32</v>
      </c>
      <c r="AY17" s="26" t="s">
        <v>32</v>
      </c>
      <c r="AZ17" s="34" t="s">
        <v>32</v>
      </c>
      <c r="BA17" s="34" t="s">
        <v>32</v>
      </c>
      <c r="BB17" s="34" t="s">
        <v>32</v>
      </c>
      <c r="BC17" s="33">
        <f>SUM(AJ17:BB17)</f>
        <v>0</v>
      </c>
      <c r="BD17" s="24"/>
      <c r="BE17" s="25">
        <v>45457</v>
      </c>
      <c r="BF17" s="26">
        <v>5171</v>
      </c>
      <c r="BG17" s="26">
        <v>185999</v>
      </c>
      <c r="BH17" s="27">
        <f t="shared" si="2"/>
        <v>74669</v>
      </c>
      <c r="BI17" s="28">
        <v>496</v>
      </c>
      <c r="BJ17" s="29">
        <v>1018</v>
      </c>
      <c r="BK17" s="29">
        <v>8</v>
      </c>
      <c r="BL17" s="34" t="s">
        <v>32</v>
      </c>
      <c r="BM17" s="34"/>
      <c r="BN17" s="31">
        <v>52220</v>
      </c>
      <c r="BO17" s="34" t="s">
        <v>32</v>
      </c>
      <c r="BP17" s="32">
        <v>150</v>
      </c>
      <c r="BQ17" s="32"/>
      <c r="BR17" s="34"/>
      <c r="BS17" s="28">
        <v>1060</v>
      </c>
      <c r="BT17" s="28">
        <v>50</v>
      </c>
      <c r="BU17" s="34">
        <v>50</v>
      </c>
      <c r="BV17" s="34" t="s">
        <v>32</v>
      </c>
      <c r="BW17" s="32">
        <v>20000</v>
      </c>
      <c r="BX17" s="32" t="s">
        <v>82</v>
      </c>
      <c r="BY17" s="29">
        <v>239</v>
      </c>
      <c r="BZ17" s="28">
        <v>580</v>
      </c>
      <c r="CA17" s="26" t="s">
        <v>32</v>
      </c>
      <c r="CB17" s="34" t="s">
        <v>32</v>
      </c>
      <c r="CC17" s="34">
        <v>320</v>
      </c>
      <c r="CD17" s="34" t="s">
        <v>83</v>
      </c>
      <c r="CE17" s="33">
        <f>SUM(BL17:CD17)</f>
        <v>74669</v>
      </c>
      <c r="CF17" s="24"/>
      <c r="CG17" s="25">
        <v>45487</v>
      </c>
      <c r="CH17" s="26">
        <v>0</v>
      </c>
      <c r="CI17" s="26">
        <v>0</v>
      </c>
      <c r="CJ17" s="27">
        <f t="shared" si="3"/>
        <v>0</v>
      </c>
      <c r="CK17" s="28">
        <v>2586</v>
      </c>
      <c r="CL17" s="29">
        <v>0</v>
      </c>
      <c r="CM17" s="29">
        <v>10.25</v>
      </c>
      <c r="CN17" s="34" t="s">
        <v>32</v>
      </c>
      <c r="CO17" s="34"/>
      <c r="CP17" s="31" t="s">
        <v>32</v>
      </c>
      <c r="CQ17" s="34" t="s">
        <v>32</v>
      </c>
      <c r="CR17" s="32" t="s">
        <v>32</v>
      </c>
      <c r="CS17" s="32"/>
      <c r="CT17" s="34"/>
      <c r="CU17" s="28"/>
      <c r="CV17" s="28" t="s">
        <v>32</v>
      </c>
      <c r="CW17" s="34" t="s">
        <v>32</v>
      </c>
      <c r="CX17" s="34" t="s">
        <v>32</v>
      </c>
      <c r="CY17" s="32" t="s">
        <v>32</v>
      </c>
      <c r="CZ17" s="32" t="s">
        <v>32</v>
      </c>
      <c r="DA17" s="29" t="s">
        <v>32</v>
      </c>
      <c r="DB17" s="28" t="s">
        <v>32</v>
      </c>
      <c r="DC17" s="26" t="s">
        <v>32</v>
      </c>
      <c r="DD17" s="34" t="s">
        <v>32</v>
      </c>
      <c r="DE17" s="34" t="s">
        <v>32</v>
      </c>
      <c r="DF17" s="34" t="s">
        <v>32</v>
      </c>
      <c r="DG17" s="33">
        <f>SUM(CN17:DF17)</f>
        <v>0</v>
      </c>
      <c r="DH17" s="24"/>
      <c r="DI17" s="25">
        <v>45518</v>
      </c>
      <c r="DJ17" s="26">
        <v>483</v>
      </c>
      <c r="DK17" s="26">
        <v>26720</v>
      </c>
      <c r="DL17" s="27">
        <f t="shared" si="4"/>
        <v>51265</v>
      </c>
      <c r="DM17" s="28">
        <v>2829</v>
      </c>
      <c r="DN17" s="29">
        <v>3195</v>
      </c>
      <c r="DO17" s="29">
        <v>11</v>
      </c>
      <c r="DP17" s="34" t="s">
        <v>32</v>
      </c>
      <c r="DQ17" s="34"/>
      <c r="DR17" s="31">
        <v>20000</v>
      </c>
      <c r="DS17" s="34" t="s">
        <v>32</v>
      </c>
      <c r="DT17" s="32" t="s">
        <v>32</v>
      </c>
      <c r="DU17" s="32">
        <v>25000</v>
      </c>
      <c r="DV17" s="34"/>
      <c r="DW17" s="28"/>
      <c r="DX17" s="28" t="s">
        <v>32</v>
      </c>
      <c r="DY17" s="34">
        <v>1015</v>
      </c>
      <c r="DZ17" s="34" t="s">
        <v>32</v>
      </c>
      <c r="EA17" s="32">
        <v>5000</v>
      </c>
      <c r="EB17" s="32" t="s">
        <v>88</v>
      </c>
      <c r="EC17" s="29" t="s">
        <v>32</v>
      </c>
      <c r="ED17" s="28">
        <v>250</v>
      </c>
      <c r="EE17" s="26" t="s">
        <v>32</v>
      </c>
      <c r="EF17" s="34" t="s">
        <v>32</v>
      </c>
      <c r="EG17" s="34" t="s">
        <v>32</v>
      </c>
      <c r="EH17" s="34" t="s">
        <v>32</v>
      </c>
      <c r="EI17" s="33">
        <f>SUM(DP17:EH17)</f>
        <v>51265</v>
      </c>
      <c r="EJ17" s="24"/>
      <c r="EK17" s="25">
        <v>45549</v>
      </c>
      <c r="EL17" s="26">
        <v>145</v>
      </c>
      <c r="EM17" s="26">
        <v>8000</v>
      </c>
      <c r="EN17" s="27">
        <f t="shared" si="5"/>
        <v>376860</v>
      </c>
      <c r="EO17" s="28">
        <v>348</v>
      </c>
      <c r="EP17" s="29">
        <v>6449</v>
      </c>
      <c r="EQ17" s="29">
        <v>12</v>
      </c>
      <c r="ER17" s="34" t="s">
        <v>32</v>
      </c>
      <c r="ES17" s="34"/>
      <c r="ET17" s="31" t="s">
        <v>32</v>
      </c>
      <c r="EU17" s="34" t="s">
        <v>32</v>
      </c>
      <c r="EV17" s="32">
        <v>20000</v>
      </c>
      <c r="EW17" s="32">
        <v>355100</v>
      </c>
      <c r="EX17" s="34"/>
      <c r="EY17" s="28"/>
      <c r="EZ17" s="28">
        <v>500</v>
      </c>
      <c r="FA17" s="34">
        <v>1260</v>
      </c>
      <c r="FB17" s="34" t="s">
        <v>32</v>
      </c>
      <c r="FC17" s="32" t="s">
        <v>32</v>
      </c>
      <c r="FD17" s="32" t="s">
        <v>32</v>
      </c>
      <c r="FE17" s="29" t="s">
        <v>32</v>
      </c>
      <c r="FF17" s="28" t="s">
        <v>32</v>
      </c>
      <c r="FG17" s="26" t="s">
        <v>32</v>
      </c>
      <c r="FH17" s="34" t="s">
        <v>32</v>
      </c>
      <c r="FI17" s="34" t="s">
        <v>32</v>
      </c>
      <c r="FJ17" s="34" t="s">
        <v>32</v>
      </c>
      <c r="FK17" s="33">
        <f>SUM(ER17:FJ17)</f>
        <v>376860</v>
      </c>
      <c r="FL17" s="24"/>
      <c r="FM17" s="25">
        <v>45579</v>
      </c>
      <c r="FN17" s="26">
        <v>0</v>
      </c>
      <c r="FO17" s="26">
        <v>0</v>
      </c>
      <c r="FP17" s="27">
        <f t="shared" si="6"/>
        <v>626831</v>
      </c>
      <c r="FQ17" s="28">
        <v>3582</v>
      </c>
      <c r="FR17" s="29">
        <v>2853</v>
      </c>
      <c r="FS17" s="29">
        <v>8.5</v>
      </c>
      <c r="FT17" s="34">
        <v>17106</v>
      </c>
      <c r="FU17" s="34">
        <v>13994</v>
      </c>
      <c r="FV17" s="31">
        <v>100800</v>
      </c>
      <c r="FW17" s="34" t="s">
        <v>32</v>
      </c>
      <c r="FX17" s="32" t="s">
        <v>32</v>
      </c>
      <c r="FY17" s="32"/>
      <c r="FZ17" s="34"/>
      <c r="GA17" s="28"/>
      <c r="GB17" s="28">
        <v>500</v>
      </c>
      <c r="GC17" s="34">
        <v>3735</v>
      </c>
      <c r="GD17" s="34" t="s">
        <v>32</v>
      </c>
      <c r="GE17" s="32">
        <v>490696</v>
      </c>
      <c r="GF17" s="32" t="s">
        <v>43</v>
      </c>
      <c r="GG17" s="29" t="s">
        <v>32</v>
      </c>
      <c r="GH17" s="28" t="s">
        <v>32</v>
      </c>
      <c r="GI17" s="26" t="s">
        <v>32</v>
      </c>
      <c r="GJ17" s="34" t="s">
        <v>32</v>
      </c>
      <c r="GK17" s="34" t="s">
        <v>32</v>
      </c>
      <c r="GL17" s="34" t="s">
        <v>32</v>
      </c>
      <c r="GM17" s="33">
        <f>SUM(FT17:GL17)</f>
        <v>626831</v>
      </c>
      <c r="GN17" s="24"/>
      <c r="GO17" s="25">
        <v>45610</v>
      </c>
      <c r="GP17" s="26">
        <v>0</v>
      </c>
      <c r="GQ17" s="26">
        <v>0</v>
      </c>
      <c r="GR17" s="27">
        <f t="shared" si="7"/>
        <v>11780</v>
      </c>
      <c r="GS17" s="28">
        <v>960</v>
      </c>
      <c r="GT17" s="29">
        <v>3456</v>
      </c>
      <c r="GU17" s="29">
        <v>6.5</v>
      </c>
      <c r="GV17" s="34" t="s">
        <v>32</v>
      </c>
      <c r="GW17" s="34"/>
      <c r="GX17" s="31" t="s">
        <v>32</v>
      </c>
      <c r="GY17" s="34" t="s">
        <v>32</v>
      </c>
      <c r="GZ17" s="32" t="s">
        <v>32</v>
      </c>
      <c r="HA17" s="32">
        <v>9900</v>
      </c>
      <c r="HB17" s="34"/>
      <c r="HC17" s="28"/>
      <c r="HD17" s="28" t="s">
        <v>32</v>
      </c>
      <c r="HE17" s="34">
        <v>1880</v>
      </c>
      <c r="HF17" s="34" t="s">
        <v>32</v>
      </c>
      <c r="HG17" s="32" t="s">
        <v>32</v>
      </c>
      <c r="HH17" s="32" t="s">
        <v>32</v>
      </c>
      <c r="HI17" s="29" t="s">
        <v>32</v>
      </c>
      <c r="HJ17" s="28" t="s">
        <v>32</v>
      </c>
      <c r="HK17" s="26" t="s">
        <v>32</v>
      </c>
      <c r="HL17" s="34" t="s">
        <v>32</v>
      </c>
      <c r="HM17" s="34" t="s">
        <v>32</v>
      </c>
      <c r="HN17" s="34" t="s">
        <v>32</v>
      </c>
      <c r="HO17" s="33">
        <f>SUM(GV17:HN17)</f>
        <v>11780</v>
      </c>
      <c r="HP17" s="24"/>
      <c r="HQ17" s="25">
        <v>45640</v>
      </c>
      <c r="HR17" s="26">
        <v>0</v>
      </c>
      <c r="HS17" s="26">
        <v>0</v>
      </c>
      <c r="HT17" s="27">
        <f t="shared" si="8"/>
        <v>0</v>
      </c>
      <c r="HU17" s="28">
        <v>2897</v>
      </c>
      <c r="HV17" s="29">
        <v>1013</v>
      </c>
      <c r="HW17" s="29">
        <v>5.5</v>
      </c>
      <c r="HX17" s="34" t="s">
        <v>32</v>
      </c>
      <c r="HY17" s="34"/>
      <c r="HZ17" s="31" t="s">
        <v>32</v>
      </c>
      <c r="IA17" s="34" t="s">
        <v>32</v>
      </c>
      <c r="IB17" s="32" t="s">
        <v>32</v>
      </c>
      <c r="IC17" s="32"/>
      <c r="ID17" s="34"/>
      <c r="IE17" s="28"/>
      <c r="IF17" s="28" t="s">
        <v>32</v>
      </c>
      <c r="IG17" s="34" t="s">
        <v>32</v>
      </c>
      <c r="IH17" s="34" t="s">
        <v>32</v>
      </c>
      <c r="II17" s="32" t="s">
        <v>32</v>
      </c>
      <c r="IJ17" s="32" t="s">
        <v>32</v>
      </c>
      <c r="IK17" s="29" t="s">
        <v>32</v>
      </c>
      <c r="IL17" s="28" t="s">
        <v>32</v>
      </c>
      <c r="IM17" s="26" t="s">
        <v>32</v>
      </c>
      <c r="IN17" s="34" t="s">
        <v>32</v>
      </c>
      <c r="IO17" s="34" t="s">
        <v>32</v>
      </c>
      <c r="IP17" s="34" t="s">
        <v>32</v>
      </c>
      <c r="IQ17" s="33">
        <f>SUM(HX17:IP17)</f>
        <v>0</v>
      </c>
      <c r="IR17" s="24"/>
      <c r="IS17" s="25">
        <v>45671</v>
      </c>
      <c r="IT17" s="26">
        <v>0</v>
      </c>
      <c r="IU17" s="26">
        <v>0</v>
      </c>
      <c r="IV17" s="27">
        <f t="shared" si="9"/>
        <v>0</v>
      </c>
      <c r="IW17" s="28">
        <v>3170</v>
      </c>
      <c r="IX17" s="29">
        <v>2832</v>
      </c>
      <c r="IY17" s="29">
        <v>4.5</v>
      </c>
      <c r="IZ17" s="34" t="s">
        <v>32</v>
      </c>
      <c r="JA17" s="34"/>
      <c r="JB17" s="31" t="s">
        <v>32</v>
      </c>
      <c r="JC17" s="34" t="s">
        <v>32</v>
      </c>
      <c r="JD17" s="32" t="s">
        <v>32</v>
      </c>
      <c r="JE17" s="32"/>
      <c r="JF17" s="34"/>
      <c r="JG17" s="28"/>
      <c r="JH17" s="28" t="s">
        <v>32</v>
      </c>
      <c r="JI17" s="34" t="s">
        <v>32</v>
      </c>
      <c r="JJ17" s="34" t="s">
        <v>32</v>
      </c>
      <c r="JK17" s="32" t="s">
        <v>32</v>
      </c>
      <c r="JL17" s="32" t="s">
        <v>32</v>
      </c>
      <c r="JM17" s="29" t="s">
        <v>32</v>
      </c>
      <c r="JN17" s="28" t="s">
        <v>32</v>
      </c>
      <c r="JO17" s="26" t="s">
        <v>32</v>
      </c>
      <c r="JP17" s="34" t="s">
        <v>32</v>
      </c>
      <c r="JQ17" s="34" t="s">
        <v>32</v>
      </c>
      <c r="JR17" s="34" t="s">
        <v>32</v>
      </c>
      <c r="JS17" s="33">
        <f>SUM(IZ17:JR17)</f>
        <v>0</v>
      </c>
      <c r="JT17" s="24"/>
      <c r="JU17" s="25">
        <v>45702</v>
      </c>
      <c r="JV17" s="26">
        <v>817</v>
      </c>
      <c r="JW17" s="26">
        <v>51500</v>
      </c>
      <c r="JX17" s="27">
        <f t="shared" si="10"/>
        <v>49916</v>
      </c>
      <c r="JY17" s="28">
        <v>431</v>
      </c>
      <c r="JZ17" s="29">
        <v>3707</v>
      </c>
      <c r="KA17" s="29">
        <v>10</v>
      </c>
      <c r="KB17" s="34">
        <v>12110</v>
      </c>
      <c r="KC17" s="34">
        <v>14590</v>
      </c>
      <c r="KD17" s="31">
        <v>22400</v>
      </c>
      <c r="KE17" s="34" t="s">
        <v>32</v>
      </c>
      <c r="KF17" s="32" t="s">
        <v>32</v>
      </c>
      <c r="KG17" s="32"/>
      <c r="KH17" s="34"/>
      <c r="KI17" s="28"/>
      <c r="KJ17" s="28" t="s">
        <v>32</v>
      </c>
      <c r="KK17" s="34">
        <v>816</v>
      </c>
      <c r="KL17" s="34" t="s">
        <v>32</v>
      </c>
      <c r="KM17" s="32" t="s">
        <v>32</v>
      </c>
      <c r="KN17" s="32" t="s">
        <v>32</v>
      </c>
      <c r="KO17" s="29" t="s">
        <v>32</v>
      </c>
      <c r="KP17" s="28" t="s">
        <v>32</v>
      </c>
      <c r="KQ17" s="26" t="s">
        <v>32</v>
      </c>
      <c r="KR17" s="34" t="s">
        <v>32</v>
      </c>
      <c r="KS17" s="34" t="s">
        <v>32</v>
      </c>
      <c r="KT17" s="34" t="s">
        <v>32</v>
      </c>
      <c r="KU17" s="33">
        <f>SUM(KB17:KT17)</f>
        <v>49916</v>
      </c>
      <c r="KV17" s="24"/>
      <c r="KW17" s="25">
        <v>45730</v>
      </c>
      <c r="KX17" s="26">
        <v>0</v>
      </c>
      <c r="KY17" s="26">
        <v>0</v>
      </c>
      <c r="KZ17" s="27">
        <f t="shared" si="11"/>
        <v>0</v>
      </c>
      <c r="LA17" s="28">
        <v>0</v>
      </c>
      <c r="LB17" s="29">
        <v>0</v>
      </c>
      <c r="LC17" s="29">
        <v>0</v>
      </c>
      <c r="LD17" s="34" t="s">
        <v>32</v>
      </c>
      <c r="LE17" s="34"/>
      <c r="LF17" s="31" t="s">
        <v>32</v>
      </c>
      <c r="LG17" s="34" t="s">
        <v>32</v>
      </c>
      <c r="LH17" s="32" t="s">
        <v>32</v>
      </c>
      <c r="LI17" s="32"/>
      <c r="LJ17" s="34"/>
      <c r="LK17" s="28"/>
      <c r="LL17" s="28" t="s">
        <v>32</v>
      </c>
      <c r="LM17" s="34" t="s">
        <v>32</v>
      </c>
      <c r="LN17" s="34" t="s">
        <v>32</v>
      </c>
      <c r="LO17" s="32" t="s">
        <v>32</v>
      </c>
      <c r="LP17" s="32" t="s">
        <v>32</v>
      </c>
      <c r="LQ17" s="29" t="s">
        <v>32</v>
      </c>
      <c r="LR17" s="28" t="s">
        <v>32</v>
      </c>
      <c r="LS17" s="26" t="s">
        <v>32</v>
      </c>
      <c r="LT17" s="34" t="s">
        <v>32</v>
      </c>
      <c r="LU17" s="34" t="s">
        <v>32</v>
      </c>
      <c r="LV17" s="34" t="s">
        <v>32</v>
      </c>
      <c r="LW17" s="33">
        <f>SUM(LD17:LV17)</f>
        <v>0</v>
      </c>
      <c r="LX17" s="24"/>
    </row>
    <row r="18" spans="1:336" x14ac:dyDescent="0.3">
      <c r="A18" s="25">
        <v>45397</v>
      </c>
      <c r="B18" s="26">
        <v>0</v>
      </c>
      <c r="C18" s="26">
        <v>0</v>
      </c>
      <c r="D18" s="27">
        <f t="shared" si="0"/>
        <v>0</v>
      </c>
      <c r="E18" s="28">
        <v>3024</v>
      </c>
      <c r="F18" s="29">
        <v>2928</v>
      </c>
      <c r="G18" s="29">
        <v>7.15</v>
      </c>
      <c r="H18" s="34" t="s">
        <v>32</v>
      </c>
      <c r="I18" s="34"/>
      <c r="J18" s="31" t="s">
        <v>32</v>
      </c>
      <c r="K18" s="34" t="s">
        <v>32</v>
      </c>
      <c r="L18" s="32" t="s">
        <v>32</v>
      </c>
      <c r="M18" s="32"/>
      <c r="N18" s="34" t="s">
        <v>32</v>
      </c>
      <c r="O18" s="28" t="s">
        <v>32</v>
      </c>
      <c r="P18" s="28" t="s">
        <v>32</v>
      </c>
      <c r="Q18" s="34" t="s">
        <v>32</v>
      </c>
      <c r="R18" s="34" t="s">
        <v>32</v>
      </c>
      <c r="S18" s="32" t="s">
        <v>32</v>
      </c>
      <c r="T18" s="32" t="s">
        <v>32</v>
      </c>
      <c r="U18" s="29" t="s">
        <v>32</v>
      </c>
      <c r="V18" s="28" t="s">
        <v>32</v>
      </c>
      <c r="W18" s="26" t="s">
        <v>32</v>
      </c>
      <c r="X18" s="34" t="s">
        <v>32</v>
      </c>
      <c r="Y18" s="34" t="s">
        <v>32</v>
      </c>
      <c r="Z18" s="34"/>
      <c r="AA18" s="33">
        <f>SUM(H18:Y18)</f>
        <v>0</v>
      </c>
      <c r="AB18" s="24"/>
      <c r="AC18" s="25">
        <v>45427</v>
      </c>
      <c r="AD18" s="26">
        <v>5346</v>
      </c>
      <c r="AE18" s="26">
        <v>133841</v>
      </c>
      <c r="AF18" s="27">
        <f t="shared" si="1"/>
        <v>285680</v>
      </c>
      <c r="AG18" s="28">
        <v>3779</v>
      </c>
      <c r="AH18" s="29">
        <v>1202</v>
      </c>
      <c r="AI18" s="29">
        <v>5</v>
      </c>
      <c r="AJ18" s="34" t="s">
        <v>32</v>
      </c>
      <c r="AK18" s="34"/>
      <c r="AL18" s="31" t="s">
        <v>32</v>
      </c>
      <c r="AM18" s="34">
        <v>200000</v>
      </c>
      <c r="AN18" s="32">
        <v>20480</v>
      </c>
      <c r="AO18" s="32"/>
      <c r="AP18" s="34">
        <v>65000</v>
      </c>
      <c r="AQ18" s="28" t="s">
        <v>32</v>
      </c>
      <c r="AR18" s="28" t="s">
        <v>32</v>
      </c>
      <c r="AS18" s="34">
        <v>200</v>
      </c>
      <c r="AT18" s="34" t="s">
        <v>32</v>
      </c>
      <c r="AU18" s="32" t="s">
        <v>32</v>
      </c>
      <c r="AV18" s="32" t="s">
        <v>32</v>
      </c>
      <c r="AW18" s="29" t="s">
        <v>32</v>
      </c>
      <c r="AX18" s="28" t="s">
        <v>32</v>
      </c>
      <c r="AY18" s="26" t="s">
        <v>32</v>
      </c>
      <c r="AZ18" s="34" t="s">
        <v>32</v>
      </c>
      <c r="BA18" s="34" t="s">
        <v>32</v>
      </c>
      <c r="BB18" s="34"/>
      <c r="BC18" s="33">
        <f>SUM(AJ18:BA18)</f>
        <v>285680</v>
      </c>
      <c r="BD18" s="24"/>
      <c r="BE18" s="25">
        <v>45458</v>
      </c>
      <c r="BF18" s="26">
        <v>0</v>
      </c>
      <c r="BG18" s="26">
        <v>0</v>
      </c>
      <c r="BH18" s="27">
        <f t="shared" si="2"/>
        <v>0</v>
      </c>
      <c r="BI18" s="28">
        <v>3206</v>
      </c>
      <c r="BJ18" s="29">
        <v>2767</v>
      </c>
      <c r="BK18" s="29">
        <v>7</v>
      </c>
      <c r="BL18" s="34" t="s">
        <v>32</v>
      </c>
      <c r="BM18" s="34"/>
      <c r="BN18" s="31" t="s">
        <v>32</v>
      </c>
      <c r="BO18" s="34" t="s">
        <v>32</v>
      </c>
      <c r="BP18" s="32" t="s">
        <v>32</v>
      </c>
      <c r="BQ18" s="32"/>
      <c r="BR18" s="34" t="s">
        <v>32</v>
      </c>
      <c r="BS18" s="28" t="s">
        <v>32</v>
      </c>
      <c r="BT18" s="28" t="s">
        <v>32</v>
      </c>
      <c r="BU18" s="34" t="s">
        <v>32</v>
      </c>
      <c r="BV18" s="34" t="s">
        <v>32</v>
      </c>
      <c r="BW18" s="32" t="s">
        <v>32</v>
      </c>
      <c r="BX18" s="32" t="s">
        <v>32</v>
      </c>
      <c r="BY18" s="29" t="s">
        <v>32</v>
      </c>
      <c r="BZ18" s="28" t="s">
        <v>32</v>
      </c>
      <c r="CA18" s="26" t="s">
        <v>32</v>
      </c>
      <c r="CB18" s="34" t="s">
        <v>32</v>
      </c>
      <c r="CC18" s="34" t="s">
        <v>32</v>
      </c>
      <c r="CD18" s="34"/>
      <c r="CE18" s="33">
        <f>SUM(BL18:CC18)</f>
        <v>0</v>
      </c>
      <c r="CF18" s="24"/>
      <c r="CG18" s="25">
        <v>45488</v>
      </c>
      <c r="CH18" s="26">
        <v>15572</v>
      </c>
      <c r="CI18" s="26">
        <v>1228555</v>
      </c>
      <c r="CJ18" s="27">
        <f t="shared" si="3"/>
        <v>286423</v>
      </c>
      <c r="CK18" s="28">
        <v>2773</v>
      </c>
      <c r="CL18" s="29">
        <v>1925</v>
      </c>
      <c r="CM18" s="29">
        <v>9.25</v>
      </c>
      <c r="CN18" s="34">
        <v>59169</v>
      </c>
      <c r="CO18" s="34">
        <v>61084</v>
      </c>
      <c r="CP18" s="31">
        <v>163500</v>
      </c>
      <c r="CQ18" s="34" t="s">
        <v>32</v>
      </c>
      <c r="CR18" s="32" t="s">
        <v>32</v>
      </c>
      <c r="CS18" s="32"/>
      <c r="CT18" s="34" t="s">
        <v>32</v>
      </c>
      <c r="CU18" s="28" t="s">
        <v>32</v>
      </c>
      <c r="CV18" s="28" t="s">
        <v>32</v>
      </c>
      <c r="CW18" s="34">
        <v>2670</v>
      </c>
      <c r="CX18" s="34" t="s">
        <v>32</v>
      </c>
      <c r="CY18" s="32" t="s">
        <v>32</v>
      </c>
      <c r="CZ18" s="32" t="s">
        <v>32</v>
      </c>
      <c r="DA18" s="29" t="s">
        <v>32</v>
      </c>
      <c r="DB18" s="28" t="s">
        <v>32</v>
      </c>
      <c r="DC18" s="26" t="s">
        <v>32</v>
      </c>
      <c r="DD18" s="34" t="s">
        <v>32</v>
      </c>
      <c r="DE18" s="34" t="s">
        <v>32</v>
      </c>
      <c r="DF18" s="34"/>
      <c r="DG18" s="33">
        <f>SUM(CN18:DE18)</f>
        <v>286423</v>
      </c>
      <c r="DH18" s="24"/>
      <c r="DI18" s="25">
        <v>45519</v>
      </c>
      <c r="DJ18" s="26">
        <v>0</v>
      </c>
      <c r="DK18" s="26">
        <v>0</v>
      </c>
      <c r="DL18" s="27">
        <f t="shared" si="4"/>
        <v>0</v>
      </c>
      <c r="DM18" s="28">
        <v>1464</v>
      </c>
      <c r="DN18" s="29">
        <v>1653</v>
      </c>
      <c r="DO18" s="29">
        <v>5.25</v>
      </c>
      <c r="DP18" s="34" t="s">
        <v>32</v>
      </c>
      <c r="DQ18" s="34"/>
      <c r="DR18" s="31" t="s">
        <v>32</v>
      </c>
      <c r="DS18" s="34" t="s">
        <v>32</v>
      </c>
      <c r="DT18" s="32" t="s">
        <v>32</v>
      </c>
      <c r="DU18" s="32"/>
      <c r="DV18" s="34" t="s">
        <v>32</v>
      </c>
      <c r="DW18" s="28" t="s">
        <v>32</v>
      </c>
      <c r="DX18" s="28" t="s">
        <v>32</v>
      </c>
      <c r="DY18" s="34" t="s">
        <v>32</v>
      </c>
      <c r="DZ18" s="34" t="s">
        <v>32</v>
      </c>
      <c r="EA18" s="32" t="s">
        <v>32</v>
      </c>
      <c r="EB18" s="32" t="s">
        <v>32</v>
      </c>
      <c r="EC18" s="29" t="s">
        <v>32</v>
      </c>
      <c r="ED18" s="28" t="s">
        <v>32</v>
      </c>
      <c r="EE18" s="26" t="s">
        <v>32</v>
      </c>
      <c r="EF18" s="34" t="s">
        <v>32</v>
      </c>
      <c r="EG18" s="34" t="s">
        <v>32</v>
      </c>
      <c r="EH18" s="34"/>
      <c r="EI18" s="33">
        <f>SUM(DP18:EG18)</f>
        <v>0</v>
      </c>
      <c r="EJ18" s="24"/>
      <c r="EK18" s="25">
        <v>45550</v>
      </c>
      <c r="EL18" s="26">
        <v>6095</v>
      </c>
      <c r="EM18" s="26">
        <v>427074</v>
      </c>
      <c r="EN18" s="27">
        <f t="shared" si="5"/>
        <v>16585</v>
      </c>
      <c r="EO18" s="28">
        <v>1758</v>
      </c>
      <c r="EP18" s="29">
        <v>2431</v>
      </c>
      <c r="EQ18" s="29">
        <v>12</v>
      </c>
      <c r="ER18" s="34" t="s">
        <v>32</v>
      </c>
      <c r="ES18" s="34"/>
      <c r="ET18" s="31" t="s">
        <v>32</v>
      </c>
      <c r="EU18" s="34" t="s">
        <v>32</v>
      </c>
      <c r="EV18" s="32" t="s">
        <v>32</v>
      </c>
      <c r="EW18" s="32">
        <v>13400</v>
      </c>
      <c r="EX18" s="34" t="s">
        <v>32</v>
      </c>
      <c r="EY18" s="28">
        <v>1185</v>
      </c>
      <c r="EZ18" s="28" t="s">
        <v>32</v>
      </c>
      <c r="FA18" s="34">
        <v>2000</v>
      </c>
      <c r="FB18" s="34" t="s">
        <v>32</v>
      </c>
      <c r="FC18" s="32" t="s">
        <v>32</v>
      </c>
      <c r="FD18" s="32" t="s">
        <v>32</v>
      </c>
      <c r="FE18" s="29" t="s">
        <v>32</v>
      </c>
      <c r="FF18" s="28" t="s">
        <v>32</v>
      </c>
      <c r="FG18" s="26" t="s">
        <v>32</v>
      </c>
      <c r="FH18" s="34" t="s">
        <v>32</v>
      </c>
      <c r="FI18" s="34" t="s">
        <v>32</v>
      </c>
      <c r="FJ18" s="34"/>
      <c r="FK18" s="33">
        <f>SUM(ER18:FI18)</f>
        <v>16585</v>
      </c>
      <c r="FL18" s="24"/>
      <c r="FM18" s="25">
        <v>45580</v>
      </c>
      <c r="FN18" s="26">
        <v>0</v>
      </c>
      <c r="FO18" s="26">
        <v>0</v>
      </c>
      <c r="FP18" s="27">
        <f t="shared" si="6"/>
        <v>102535</v>
      </c>
      <c r="FQ18" s="28">
        <v>3330</v>
      </c>
      <c r="FR18" s="29">
        <v>3089</v>
      </c>
      <c r="FS18" s="29">
        <v>5</v>
      </c>
      <c r="FT18" s="34">
        <v>26088</v>
      </c>
      <c r="FU18" s="34">
        <v>24712</v>
      </c>
      <c r="FV18" s="31">
        <v>50300</v>
      </c>
      <c r="FW18" s="34" t="s">
        <v>32</v>
      </c>
      <c r="FX18" s="32" t="s">
        <v>32</v>
      </c>
      <c r="FY18" s="32"/>
      <c r="FZ18" s="34" t="s">
        <v>32</v>
      </c>
      <c r="GA18" s="28" t="s">
        <v>32</v>
      </c>
      <c r="GB18" s="28" t="s">
        <v>32</v>
      </c>
      <c r="GC18" s="34">
        <v>1435</v>
      </c>
      <c r="GD18" s="34" t="s">
        <v>32</v>
      </c>
      <c r="GE18" s="32" t="s">
        <v>32</v>
      </c>
      <c r="GF18" s="32" t="s">
        <v>32</v>
      </c>
      <c r="GG18" s="29" t="s">
        <v>32</v>
      </c>
      <c r="GH18" s="28" t="s">
        <v>32</v>
      </c>
      <c r="GI18" s="26" t="s">
        <v>32</v>
      </c>
      <c r="GJ18" s="34" t="s">
        <v>32</v>
      </c>
      <c r="GK18" s="34" t="s">
        <v>32</v>
      </c>
      <c r="GL18" s="34"/>
      <c r="GM18" s="33">
        <f>SUM(FT18:GK18)</f>
        <v>102535</v>
      </c>
      <c r="GN18" s="24"/>
      <c r="GO18" s="25">
        <v>45611</v>
      </c>
      <c r="GP18" s="26">
        <v>0</v>
      </c>
      <c r="GQ18" s="26">
        <v>0</v>
      </c>
      <c r="GR18" s="27">
        <f t="shared" si="7"/>
        <v>0</v>
      </c>
      <c r="GS18" s="28">
        <v>1102</v>
      </c>
      <c r="GT18" s="29">
        <v>1044</v>
      </c>
      <c r="GU18" s="29">
        <v>4</v>
      </c>
      <c r="GV18" s="34" t="s">
        <v>32</v>
      </c>
      <c r="GW18" s="34"/>
      <c r="GX18" s="31" t="s">
        <v>32</v>
      </c>
      <c r="GY18" s="34" t="s">
        <v>32</v>
      </c>
      <c r="GZ18" s="32" t="s">
        <v>32</v>
      </c>
      <c r="HA18" s="32"/>
      <c r="HB18" s="34" t="s">
        <v>32</v>
      </c>
      <c r="HC18" s="28" t="s">
        <v>32</v>
      </c>
      <c r="HD18" s="28" t="s">
        <v>32</v>
      </c>
      <c r="HE18" s="34" t="s">
        <v>32</v>
      </c>
      <c r="HF18" s="34" t="s">
        <v>32</v>
      </c>
      <c r="HG18" s="32" t="s">
        <v>32</v>
      </c>
      <c r="HH18" s="32" t="s">
        <v>32</v>
      </c>
      <c r="HI18" s="29" t="s">
        <v>32</v>
      </c>
      <c r="HJ18" s="28" t="s">
        <v>32</v>
      </c>
      <c r="HK18" s="26" t="s">
        <v>32</v>
      </c>
      <c r="HL18" s="34" t="s">
        <v>32</v>
      </c>
      <c r="HM18" s="34" t="s">
        <v>32</v>
      </c>
      <c r="HN18" s="34"/>
      <c r="HO18" s="33">
        <f>SUM(GV18:HM18)</f>
        <v>0</v>
      </c>
      <c r="HP18" s="24"/>
      <c r="HQ18" s="25">
        <v>45641</v>
      </c>
      <c r="HR18" s="26">
        <v>1092</v>
      </c>
      <c r="HS18" s="26">
        <v>53000</v>
      </c>
      <c r="HT18" s="27">
        <f t="shared" si="8"/>
        <v>351770</v>
      </c>
      <c r="HU18" s="28">
        <v>1285</v>
      </c>
      <c r="HV18" s="29">
        <v>2965</v>
      </c>
      <c r="HW18" s="29">
        <v>6.5</v>
      </c>
      <c r="HX18" s="34">
        <v>29300</v>
      </c>
      <c r="HY18" s="34">
        <v>33100</v>
      </c>
      <c r="HZ18" s="31">
        <v>80660</v>
      </c>
      <c r="IA18" s="34">
        <v>150000</v>
      </c>
      <c r="IB18" s="32">
        <v>460</v>
      </c>
      <c r="IC18" s="32"/>
      <c r="ID18" s="34">
        <v>29000</v>
      </c>
      <c r="IE18" s="28" t="s">
        <v>32</v>
      </c>
      <c r="IF18" s="28" t="s">
        <v>32</v>
      </c>
      <c r="IG18" s="34">
        <v>4250</v>
      </c>
      <c r="IH18" s="34" t="s">
        <v>32</v>
      </c>
      <c r="II18" s="32" t="s">
        <v>32</v>
      </c>
      <c r="IJ18" s="32" t="s">
        <v>32</v>
      </c>
      <c r="IK18" s="29" t="s">
        <v>32</v>
      </c>
      <c r="IL18" s="28" t="s">
        <v>32</v>
      </c>
      <c r="IM18" s="26">
        <v>25000</v>
      </c>
      <c r="IN18" s="34" t="s">
        <v>47</v>
      </c>
      <c r="IO18" s="34" t="s">
        <v>32</v>
      </c>
      <c r="IP18" s="34"/>
      <c r="IQ18" s="33">
        <f>SUM(HX18:IO18)</f>
        <v>351770</v>
      </c>
      <c r="IR18" s="24"/>
      <c r="IS18" s="25">
        <v>45672</v>
      </c>
      <c r="IT18" s="26">
        <v>14690</v>
      </c>
      <c r="IU18" s="26">
        <v>788537</v>
      </c>
      <c r="IV18" s="27">
        <f t="shared" si="9"/>
        <v>225243</v>
      </c>
      <c r="IW18" s="28">
        <v>2037</v>
      </c>
      <c r="IX18" s="29">
        <v>643</v>
      </c>
      <c r="IY18" s="29">
        <v>1.2</v>
      </c>
      <c r="IZ18" s="34" t="s">
        <v>32</v>
      </c>
      <c r="JA18" s="34">
        <v>65500</v>
      </c>
      <c r="JB18" s="31" t="s">
        <v>32</v>
      </c>
      <c r="JC18" s="34">
        <v>155000</v>
      </c>
      <c r="JD18" s="32" t="s">
        <v>32</v>
      </c>
      <c r="JE18" s="32"/>
      <c r="JF18" s="34" t="s">
        <v>32</v>
      </c>
      <c r="JG18" s="28" t="s">
        <v>32</v>
      </c>
      <c r="JH18" s="28" t="s">
        <v>32</v>
      </c>
      <c r="JI18" s="34">
        <v>2633</v>
      </c>
      <c r="JJ18" s="34" t="s">
        <v>32</v>
      </c>
      <c r="JK18" s="32" t="s">
        <v>32</v>
      </c>
      <c r="JL18" s="32" t="s">
        <v>32</v>
      </c>
      <c r="JM18" s="29" t="s">
        <v>32</v>
      </c>
      <c r="JN18" s="28" t="s">
        <v>32</v>
      </c>
      <c r="JO18" s="26">
        <v>2110</v>
      </c>
      <c r="JP18" s="34" t="s">
        <v>32</v>
      </c>
      <c r="JQ18" s="34" t="s">
        <v>32</v>
      </c>
      <c r="JR18" s="34"/>
      <c r="JS18" s="33">
        <f>SUM(IZ18:JQ18)</f>
        <v>225243</v>
      </c>
      <c r="JT18" s="24"/>
      <c r="JU18" s="25">
        <v>45703</v>
      </c>
      <c r="JV18" s="26">
        <v>0</v>
      </c>
      <c r="JW18" s="26">
        <v>0</v>
      </c>
      <c r="JX18" s="27">
        <f t="shared" si="10"/>
        <v>0</v>
      </c>
      <c r="JY18" s="28">
        <v>1134</v>
      </c>
      <c r="JZ18" s="29">
        <v>3881</v>
      </c>
      <c r="KA18" s="29">
        <v>6.25</v>
      </c>
      <c r="KB18" s="34" t="s">
        <v>32</v>
      </c>
      <c r="KC18" s="34"/>
      <c r="KD18" s="31" t="s">
        <v>32</v>
      </c>
      <c r="KE18" s="34" t="s">
        <v>32</v>
      </c>
      <c r="KF18" s="32" t="s">
        <v>32</v>
      </c>
      <c r="KG18" s="32"/>
      <c r="KH18" s="34" t="s">
        <v>32</v>
      </c>
      <c r="KI18" s="28" t="s">
        <v>32</v>
      </c>
      <c r="KJ18" s="28" t="s">
        <v>32</v>
      </c>
      <c r="KK18" s="34" t="s">
        <v>32</v>
      </c>
      <c r="KL18" s="34" t="s">
        <v>32</v>
      </c>
      <c r="KM18" s="32" t="s">
        <v>32</v>
      </c>
      <c r="KN18" s="32" t="s">
        <v>32</v>
      </c>
      <c r="KO18" s="29" t="s">
        <v>32</v>
      </c>
      <c r="KP18" s="28" t="s">
        <v>32</v>
      </c>
      <c r="KQ18" s="26" t="s">
        <v>32</v>
      </c>
      <c r="KR18" s="34" t="s">
        <v>32</v>
      </c>
      <c r="KS18" s="34" t="s">
        <v>32</v>
      </c>
      <c r="KT18" s="34"/>
      <c r="KU18" s="33">
        <f>SUM(KB18:KS18)</f>
        <v>0</v>
      </c>
      <c r="KV18" s="24"/>
      <c r="KW18" s="25">
        <v>45731</v>
      </c>
      <c r="KX18" s="26">
        <v>0</v>
      </c>
      <c r="KY18" s="26">
        <v>0</v>
      </c>
      <c r="KZ18" s="27">
        <f t="shared" si="11"/>
        <v>0</v>
      </c>
      <c r="LA18" s="28">
        <v>0</v>
      </c>
      <c r="LB18" s="29">
        <v>0</v>
      </c>
      <c r="LC18" s="29">
        <v>0</v>
      </c>
      <c r="LD18" s="34" t="s">
        <v>32</v>
      </c>
      <c r="LE18" s="34"/>
      <c r="LF18" s="31" t="s">
        <v>32</v>
      </c>
      <c r="LG18" s="34" t="s">
        <v>32</v>
      </c>
      <c r="LH18" s="32" t="s">
        <v>32</v>
      </c>
      <c r="LI18" s="32"/>
      <c r="LJ18" s="34" t="s">
        <v>32</v>
      </c>
      <c r="LK18" s="28" t="s">
        <v>32</v>
      </c>
      <c r="LL18" s="28" t="s">
        <v>32</v>
      </c>
      <c r="LM18" s="34" t="s">
        <v>32</v>
      </c>
      <c r="LN18" s="34" t="s">
        <v>32</v>
      </c>
      <c r="LO18" s="32" t="s">
        <v>32</v>
      </c>
      <c r="LP18" s="32" t="s">
        <v>32</v>
      </c>
      <c r="LQ18" s="29" t="s">
        <v>32</v>
      </c>
      <c r="LR18" s="28" t="s">
        <v>32</v>
      </c>
      <c r="LS18" s="26" t="s">
        <v>32</v>
      </c>
      <c r="LT18" s="34" t="s">
        <v>32</v>
      </c>
      <c r="LU18" s="34" t="s">
        <v>32</v>
      </c>
      <c r="LV18" s="34"/>
      <c r="LW18" s="33">
        <f>SUM(LD18:LU18)</f>
        <v>0</v>
      </c>
      <c r="LX18" s="24"/>
    </row>
    <row r="19" spans="1:336" x14ac:dyDescent="0.3">
      <c r="A19" s="25">
        <v>45398</v>
      </c>
      <c r="B19" s="26">
        <v>0</v>
      </c>
      <c r="C19" s="26">
        <v>0</v>
      </c>
      <c r="D19" s="27">
        <f t="shared" si="0"/>
        <v>97600</v>
      </c>
      <c r="E19" s="28">
        <v>1818</v>
      </c>
      <c r="F19" s="29">
        <v>0</v>
      </c>
      <c r="G19" s="29">
        <v>2.35</v>
      </c>
      <c r="H19" s="34">
        <v>18836</v>
      </c>
      <c r="I19" s="34">
        <v>21164</v>
      </c>
      <c r="J19" s="31" t="s">
        <v>32</v>
      </c>
      <c r="K19" s="34" t="s">
        <v>32</v>
      </c>
      <c r="L19" s="32" t="s">
        <v>32</v>
      </c>
      <c r="M19" s="32"/>
      <c r="N19" s="34">
        <v>57600</v>
      </c>
      <c r="O19" s="28" t="s">
        <v>32</v>
      </c>
      <c r="P19" s="28" t="s">
        <v>32</v>
      </c>
      <c r="Q19" s="34" t="s">
        <v>32</v>
      </c>
      <c r="R19" s="34" t="s">
        <v>32</v>
      </c>
      <c r="S19" s="32" t="s">
        <v>32</v>
      </c>
      <c r="T19" s="32" t="s">
        <v>32</v>
      </c>
      <c r="U19" s="29"/>
      <c r="V19" s="28" t="s">
        <v>32</v>
      </c>
      <c r="W19" s="26" t="s">
        <v>32</v>
      </c>
      <c r="X19" s="34" t="s">
        <v>32</v>
      </c>
      <c r="Y19" s="34" t="s">
        <v>32</v>
      </c>
      <c r="Z19" s="34" t="s">
        <v>32</v>
      </c>
      <c r="AA19" s="33">
        <f>SUM(H19:Z19)</f>
        <v>97600</v>
      </c>
      <c r="AB19" s="24"/>
      <c r="AC19" s="25">
        <v>45428</v>
      </c>
      <c r="AD19" s="26">
        <v>0</v>
      </c>
      <c r="AE19" s="26">
        <v>0</v>
      </c>
      <c r="AF19" s="27">
        <f t="shared" si="1"/>
        <v>0</v>
      </c>
      <c r="AG19" s="28">
        <v>3506</v>
      </c>
      <c r="AH19" s="29">
        <v>1763</v>
      </c>
      <c r="AI19" s="29">
        <v>8.4</v>
      </c>
      <c r="AJ19" s="34" t="s">
        <v>32</v>
      </c>
      <c r="AK19" s="34"/>
      <c r="AL19" s="31" t="s">
        <v>32</v>
      </c>
      <c r="AM19" s="34" t="s">
        <v>32</v>
      </c>
      <c r="AN19" s="32" t="s">
        <v>32</v>
      </c>
      <c r="AO19" s="32"/>
      <c r="AP19" s="34" t="s">
        <v>32</v>
      </c>
      <c r="AQ19" s="28" t="s">
        <v>32</v>
      </c>
      <c r="AR19" s="28" t="s">
        <v>32</v>
      </c>
      <c r="AS19" s="34" t="s">
        <v>32</v>
      </c>
      <c r="AT19" s="34" t="s">
        <v>32</v>
      </c>
      <c r="AU19" s="32" t="s">
        <v>32</v>
      </c>
      <c r="AV19" s="32" t="s">
        <v>32</v>
      </c>
      <c r="AW19" s="29"/>
      <c r="AX19" s="28" t="s">
        <v>32</v>
      </c>
      <c r="AY19" s="26" t="s">
        <v>32</v>
      </c>
      <c r="AZ19" s="34" t="s">
        <v>32</v>
      </c>
      <c r="BA19" s="34" t="s">
        <v>32</v>
      </c>
      <c r="BB19" s="34" t="s">
        <v>32</v>
      </c>
      <c r="BC19" s="33">
        <f>SUM(AJ19:BB19)</f>
        <v>0</v>
      </c>
      <c r="BD19" s="24"/>
      <c r="BE19" s="25">
        <v>45459</v>
      </c>
      <c r="BF19" s="26">
        <v>0</v>
      </c>
      <c r="BG19" s="26">
        <v>0</v>
      </c>
      <c r="BH19" s="27">
        <f t="shared" si="2"/>
        <v>0</v>
      </c>
      <c r="BI19" s="28">
        <v>2670</v>
      </c>
      <c r="BJ19" s="29">
        <v>2434</v>
      </c>
      <c r="BK19" s="29">
        <v>6.5</v>
      </c>
      <c r="BL19" s="34" t="s">
        <v>32</v>
      </c>
      <c r="BM19" s="34"/>
      <c r="BN19" s="31" t="s">
        <v>32</v>
      </c>
      <c r="BO19" s="34" t="s">
        <v>32</v>
      </c>
      <c r="BP19" s="32" t="s">
        <v>32</v>
      </c>
      <c r="BQ19" s="32"/>
      <c r="BR19" s="34" t="s">
        <v>32</v>
      </c>
      <c r="BS19" s="28" t="s">
        <v>32</v>
      </c>
      <c r="BT19" s="28" t="s">
        <v>32</v>
      </c>
      <c r="BU19" s="34" t="s">
        <v>32</v>
      </c>
      <c r="BV19" s="34" t="s">
        <v>32</v>
      </c>
      <c r="BW19" s="32" t="s">
        <v>32</v>
      </c>
      <c r="BX19" s="32" t="s">
        <v>32</v>
      </c>
      <c r="BY19" s="29"/>
      <c r="BZ19" s="28" t="s">
        <v>32</v>
      </c>
      <c r="CA19" s="26" t="s">
        <v>32</v>
      </c>
      <c r="CB19" s="34" t="s">
        <v>32</v>
      </c>
      <c r="CC19" s="34" t="s">
        <v>32</v>
      </c>
      <c r="CD19" s="34" t="s">
        <v>32</v>
      </c>
      <c r="CE19" s="33">
        <f>SUM(BL19:CD19)</f>
        <v>0</v>
      </c>
      <c r="CF19" s="24"/>
      <c r="CG19" s="25">
        <v>45489</v>
      </c>
      <c r="CH19" s="26">
        <v>0</v>
      </c>
      <c r="CI19" s="26">
        <v>0</v>
      </c>
      <c r="CJ19" s="27">
        <f t="shared" si="3"/>
        <v>0</v>
      </c>
      <c r="CK19" s="28">
        <v>3072</v>
      </c>
      <c r="CL19" s="29">
        <v>3483</v>
      </c>
      <c r="CM19" s="29">
        <v>9.4</v>
      </c>
      <c r="CN19" s="34" t="s">
        <v>32</v>
      </c>
      <c r="CO19" s="34"/>
      <c r="CP19" s="31" t="s">
        <v>32</v>
      </c>
      <c r="CQ19" s="34" t="s">
        <v>32</v>
      </c>
      <c r="CR19" s="32" t="s">
        <v>32</v>
      </c>
      <c r="CS19" s="32"/>
      <c r="CT19" s="34" t="s">
        <v>32</v>
      </c>
      <c r="CU19" s="28" t="s">
        <v>32</v>
      </c>
      <c r="CV19" s="28" t="s">
        <v>32</v>
      </c>
      <c r="CW19" s="34" t="s">
        <v>32</v>
      </c>
      <c r="CX19" s="34" t="s">
        <v>32</v>
      </c>
      <c r="CY19" s="32" t="s">
        <v>32</v>
      </c>
      <c r="CZ19" s="32" t="s">
        <v>32</v>
      </c>
      <c r="DA19" s="29"/>
      <c r="DB19" s="28" t="s">
        <v>32</v>
      </c>
      <c r="DC19" s="26" t="s">
        <v>32</v>
      </c>
      <c r="DD19" s="34" t="s">
        <v>32</v>
      </c>
      <c r="DE19" s="34" t="s">
        <v>32</v>
      </c>
      <c r="DF19" s="34" t="s">
        <v>32</v>
      </c>
      <c r="DG19" s="33">
        <f>SUM(CN19:DF19)</f>
        <v>0</v>
      </c>
      <c r="DH19" s="24"/>
      <c r="DI19" s="25">
        <v>45520</v>
      </c>
      <c r="DJ19" s="26">
        <v>8102</v>
      </c>
      <c r="DK19" s="26">
        <v>592302</v>
      </c>
      <c r="DL19" s="27">
        <f t="shared" si="4"/>
        <v>62195</v>
      </c>
      <c r="DM19" s="28">
        <v>2269</v>
      </c>
      <c r="DN19" s="29">
        <v>0</v>
      </c>
      <c r="DO19" s="29">
        <v>6</v>
      </c>
      <c r="DP19" s="34" t="s">
        <v>32</v>
      </c>
      <c r="DQ19" s="34"/>
      <c r="DR19" s="31">
        <v>10000</v>
      </c>
      <c r="DS19" s="34" t="s">
        <v>32</v>
      </c>
      <c r="DT19" s="32" t="s">
        <v>32</v>
      </c>
      <c r="DU19" s="32"/>
      <c r="DV19" s="34">
        <v>50000</v>
      </c>
      <c r="DW19" s="28" t="s">
        <v>32</v>
      </c>
      <c r="DX19" s="28" t="s">
        <v>32</v>
      </c>
      <c r="DY19" s="34">
        <v>2195</v>
      </c>
      <c r="DZ19" s="34"/>
      <c r="EA19" s="32" t="s">
        <v>32</v>
      </c>
      <c r="EB19" s="32" t="s">
        <v>32</v>
      </c>
      <c r="EC19" s="29"/>
      <c r="ED19" s="28" t="s">
        <v>32</v>
      </c>
      <c r="EE19" s="26" t="s">
        <v>32</v>
      </c>
      <c r="EF19" s="34" t="s">
        <v>32</v>
      </c>
      <c r="EG19" s="34" t="s">
        <v>32</v>
      </c>
      <c r="EH19" s="34" t="s">
        <v>32</v>
      </c>
      <c r="EI19" s="33">
        <f>SUM(DP19:EH19)</f>
        <v>62195</v>
      </c>
      <c r="EJ19" s="24"/>
      <c r="EK19" s="25">
        <v>45551</v>
      </c>
      <c r="EL19" s="26">
        <v>1193</v>
      </c>
      <c r="EM19" s="26">
        <v>61050</v>
      </c>
      <c r="EN19" s="27">
        <f t="shared" si="5"/>
        <v>120900</v>
      </c>
      <c r="EO19" s="28">
        <v>2659</v>
      </c>
      <c r="EP19" s="29">
        <v>6855</v>
      </c>
      <c r="EQ19" s="29">
        <v>1.4</v>
      </c>
      <c r="ER19" s="34" t="s">
        <v>32</v>
      </c>
      <c r="ES19" s="34"/>
      <c r="ET19" s="31" t="s">
        <v>32</v>
      </c>
      <c r="EU19" s="34">
        <v>100000</v>
      </c>
      <c r="EV19" s="32" t="s">
        <v>32</v>
      </c>
      <c r="EW19" s="32"/>
      <c r="EX19" s="34">
        <v>20000</v>
      </c>
      <c r="EY19" s="28">
        <v>250</v>
      </c>
      <c r="EZ19" s="28" t="s">
        <v>32</v>
      </c>
      <c r="FA19" s="34">
        <v>460</v>
      </c>
      <c r="FB19" s="34" t="s">
        <v>32</v>
      </c>
      <c r="FC19" s="32" t="s">
        <v>32</v>
      </c>
      <c r="FD19" s="32" t="s">
        <v>32</v>
      </c>
      <c r="FE19" s="29"/>
      <c r="FF19" s="28">
        <v>190</v>
      </c>
      <c r="FG19" s="26" t="s">
        <v>32</v>
      </c>
      <c r="FH19" s="34" t="s">
        <v>32</v>
      </c>
      <c r="FI19" s="34" t="s">
        <v>32</v>
      </c>
      <c r="FJ19" s="34" t="s">
        <v>32</v>
      </c>
      <c r="FK19" s="33">
        <f>SUM(ER19:FJ19)</f>
        <v>120900</v>
      </c>
      <c r="FL19" s="24"/>
      <c r="FM19" s="25">
        <v>45581</v>
      </c>
      <c r="FN19" s="26">
        <v>0</v>
      </c>
      <c r="FO19" s="26">
        <v>0</v>
      </c>
      <c r="FP19" s="27">
        <f t="shared" si="6"/>
        <v>120864</v>
      </c>
      <c r="FQ19" s="28">
        <v>3295</v>
      </c>
      <c r="FR19" s="29">
        <v>0</v>
      </c>
      <c r="FS19" s="29">
        <v>3.5</v>
      </c>
      <c r="FT19" s="34" t="s">
        <v>32</v>
      </c>
      <c r="FU19" s="34"/>
      <c r="FV19" s="31">
        <v>30000</v>
      </c>
      <c r="FW19" s="34" t="s">
        <v>32</v>
      </c>
      <c r="FX19" s="32" t="s">
        <v>32</v>
      </c>
      <c r="FY19" s="32">
        <v>90000</v>
      </c>
      <c r="FZ19" s="34" t="s">
        <v>32</v>
      </c>
      <c r="GA19" s="28" t="s">
        <v>32</v>
      </c>
      <c r="GB19" s="28" t="s">
        <v>32</v>
      </c>
      <c r="GC19" s="34">
        <v>864</v>
      </c>
      <c r="GD19" s="34" t="s">
        <v>32</v>
      </c>
      <c r="GE19" s="32" t="s">
        <v>32</v>
      </c>
      <c r="GF19" s="32" t="s">
        <v>32</v>
      </c>
      <c r="GG19" s="29"/>
      <c r="GH19" s="28" t="s">
        <v>32</v>
      </c>
      <c r="GI19" s="26" t="s">
        <v>32</v>
      </c>
      <c r="GJ19" s="34" t="s">
        <v>32</v>
      </c>
      <c r="GK19" s="34" t="s">
        <v>32</v>
      </c>
      <c r="GL19" s="34" t="s">
        <v>32</v>
      </c>
      <c r="GM19" s="33">
        <f>SUM(FT19:GL19)</f>
        <v>120864</v>
      </c>
      <c r="GN19" s="24"/>
      <c r="GO19" s="25">
        <v>45612</v>
      </c>
      <c r="GP19" s="26">
        <v>8190</v>
      </c>
      <c r="GQ19" s="26">
        <v>616767</v>
      </c>
      <c r="GR19" s="27">
        <f t="shared" si="7"/>
        <v>1855</v>
      </c>
      <c r="GS19" s="28">
        <v>2223</v>
      </c>
      <c r="GT19" s="29">
        <v>1065</v>
      </c>
      <c r="GU19" s="29">
        <v>6</v>
      </c>
      <c r="GV19" s="34" t="s">
        <v>32</v>
      </c>
      <c r="GW19" s="34"/>
      <c r="GX19" s="31" t="s">
        <v>32</v>
      </c>
      <c r="GY19" s="34" t="s">
        <v>32</v>
      </c>
      <c r="GZ19" s="32" t="s">
        <v>32</v>
      </c>
      <c r="HA19" s="32"/>
      <c r="HB19" s="34" t="s">
        <v>32</v>
      </c>
      <c r="HC19" s="28" t="s">
        <v>32</v>
      </c>
      <c r="HD19" s="28" t="s">
        <v>32</v>
      </c>
      <c r="HE19" s="34">
        <v>1855</v>
      </c>
      <c r="HF19" s="34" t="s">
        <v>32</v>
      </c>
      <c r="HG19" s="32" t="s">
        <v>32</v>
      </c>
      <c r="HH19" s="32" t="s">
        <v>32</v>
      </c>
      <c r="HI19" s="29"/>
      <c r="HJ19" s="28" t="s">
        <v>32</v>
      </c>
      <c r="HK19" s="26" t="s">
        <v>32</v>
      </c>
      <c r="HL19" s="34" t="s">
        <v>32</v>
      </c>
      <c r="HM19" s="34" t="s">
        <v>32</v>
      </c>
      <c r="HN19" s="34" t="s">
        <v>32</v>
      </c>
      <c r="HO19" s="33">
        <f>SUM(GV19:HN19)</f>
        <v>1855</v>
      </c>
      <c r="HP19" s="24"/>
      <c r="HQ19" s="25">
        <v>45642</v>
      </c>
      <c r="HR19" s="26">
        <v>0</v>
      </c>
      <c r="HS19" s="26">
        <v>0</v>
      </c>
      <c r="HT19" s="27">
        <f t="shared" si="8"/>
        <v>0</v>
      </c>
      <c r="HU19" s="28">
        <v>2747</v>
      </c>
      <c r="HV19" s="29">
        <v>0</v>
      </c>
      <c r="HW19" s="29">
        <v>4.5</v>
      </c>
      <c r="HX19" s="34" t="s">
        <v>32</v>
      </c>
      <c r="HY19" s="34"/>
      <c r="HZ19" s="31" t="s">
        <v>32</v>
      </c>
      <c r="IA19" s="34" t="s">
        <v>32</v>
      </c>
      <c r="IB19" s="32" t="s">
        <v>32</v>
      </c>
      <c r="IC19" s="32"/>
      <c r="ID19" s="34" t="s">
        <v>32</v>
      </c>
      <c r="IE19" s="28" t="s">
        <v>32</v>
      </c>
      <c r="IF19" s="28" t="s">
        <v>32</v>
      </c>
      <c r="IG19" s="34" t="s">
        <v>32</v>
      </c>
      <c r="IH19" s="34" t="s">
        <v>32</v>
      </c>
      <c r="II19" s="32" t="s">
        <v>32</v>
      </c>
      <c r="IJ19" s="32" t="s">
        <v>32</v>
      </c>
      <c r="IK19" s="29"/>
      <c r="IL19" s="28" t="s">
        <v>32</v>
      </c>
      <c r="IM19" s="26" t="s">
        <v>32</v>
      </c>
      <c r="IN19" s="34" t="s">
        <v>32</v>
      </c>
      <c r="IO19" s="34" t="s">
        <v>32</v>
      </c>
      <c r="IP19" s="34" t="s">
        <v>32</v>
      </c>
      <c r="IQ19" s="33">
        <f>SUM(HX19:IP19)</f>
        <v>0</v>
      </c>
      <c r="IR19" s="24"/>
      <c r="IS19" s="25">
        <v>45673</v>
      </c>
      <c r="IT19" s="26">
        <v>0</v>
      </c>
      <c r="IU19" s="26">
        <v>0</v>
      </c>
      <c r="IV19" s="27">
        <f t="shared" si="9"/>
        <v>0</v>
      </c>
      <c r="IW19" s="28">
        <v>3579</v>
      </c>
      <c r="IX19" s="29">
        <v>1814</v>
      </c>
      <c r="IY19" s="29">
        <v>6.5</v>
      </c>
      <c r="IZ19" s="34" t="s">
        <v>32</v>
      </c>
      <c r="JA19" s="34"/>
      <c r="JB19" s="31" t="s">
        <v>32</v>
      </c>
      <c r="JC19" s="34" t="s">
        <v>32</v>
      </c>
      <c r="JD19" s="32" t="s">
        <v>32</v>
      </c>
      <c r="JE19" s="32"/>
      <c r="JF19" s="34" t="s">
        <v>32</v>
      </c>
      <c r="JG19" s="28" t="s">
        <v>32</v>
      </c>
      <c r="JH19" s="28" t="s">
        <v>32</v>
      </c>
      <c r="JI19" s="34" t="s">
        <v>32</v>
      </c>
      <c r="JJ19" s="34" t="s">
        <v>32</v>
      </c>
      <c r="JK19" s="32" t="s">
        <v>32</v>
      </c>
      <c r="JL19" s="32" t="s">
        <v>32</v>
      </c>
      <c r="JM19" s="29"/>
      <c r="JN19" s="28" t="s">
        <v>32</v>
      </c>
      <c r="JO19" s="26" t="s">
        <v>32</v>
      </c>
      <c r="JP19" s="34" t="s">
        <v>32</v>
      </c>
      <c r="JQ19" s="34" t="s">
        <v>32</v>
      </c>
      <c r="JR19" s="34" t="s">
        <v>32</v>
      </c>
      <c r="JS19" s="33">
        <f>SUM(IZ19:JR19)</f>
        <v>0</v>
      </c>
      <c r="JT19" s="24"/>
      <c r="JU19" s="25">
        <v>45704</v>
      </c>
      <c r="JV19" s="26">
        <v>5653</v>
      </c>
      <c r="JW19" s="26">
        <v>154791</v>
      </c>
      <c r="JX19" s="27">
        <f t="shared" si="10"/>
        <v>152512</v>
      </c>
      <c r="JY19" s="28">
        <v>3103</v>
      </c>
      <c r="JZ19" s="29">
        <v>4442</v>
      </c>
      <c r="KA19" s="29">
        <v>7.25</v>
      </c>
      <c r="KB19" s="34" t="s">
        <v>32</v>
      </c>
      <c r="KC19" s="34"/>
      <c r="KD19" s="31">
        <v>150000</v>
      </c>
      <c r="KE19" s="34" t="s">
        <v>32</v>
      </c>
      <c r="KF19" s="32">
        <v>1000</v>
      </c>
      <c r="KG19" s="32"/>
      <c r="KH19" s="34" t="s">
        <v>32</v>
      </c>
      <c r="KI19" s="28" t="s">
        <v>32</v>
      </c>
      <c r="KJ19" s="28" t="s">
        <v>32</v>
      </c>
      <c r="KK19" s="34">
        <v>900</v>
      </c>
      <c r="KL19" s="34" t="s">
        <v>32</v>
      </c>
      <c r="KM19" s="32" t="s">
        <v>32</v>
      </c>
      <c r="KN19" s="32" t="s">
        <v>32</v>
      </c>
      <c r="KO19" s="29">
        <v>612</v>
      </c>
      <c r="KP19" s="28" t="s">
        <v>32</v>
      </c>
      <c r="KQ19" s="26" t="s">
        <v>32</v>
      </c>
      <c r="KR19" s="34" t="s">
        <v>32</v>
      </c>
      <c r="KS19" s="34" t="s">
        <v>32</v>
      </c>
      <c r="KT19" s="34" t="s">
        <v>32</v>
      </c>
      <c r="KU19" s="33">
        <f>SUM(KB19:KT19)</f>
        <v>152512</v>
      </c>
      <c r="KV19" s="24"/>
      <c r="KW19" s="25">
        <v>45732</v>
      </c>
      <c r="KX19" s="26">
        <v>0</v>
      </c>
      <c r="KY19" s="26">
        <v>0</v>
      </c>
      <c r="KZ19" s="27">
        <f t="shared" si="11"/>
        <v>21005</v>
      </c>
      <c r="LA19" s="28">
        <v>1415</v>
      </c>
      <c r="LB19" s="29">
        <v>0</v>
      </c>
      <c r="LC19" s="29">
        <v>0</v>
      </c>
      <c r="LD19" s="34" t="s">
        <v>32</v>
      </c>
      <c r="LE19" s="34"/>
      <c r="LF19" s="31" t="s">
        <v>32</v>
      </c>
      <c r="LG19" s="34" t="s">
        <v>32</v>
      </c>
      <c r="LH19" s="32" t="s">
        <v>32</v>
      </c>
      <c r="LI19" s="32" t="s">
        <v>32</v>
      </c>
      <c r="LJ19" s="34">
        <v>15000</v>
      </c>
      <c r="LK19" s="28">
        <v>500</v>
      </c>
      <c r="LL19" s="28">
        <v>500</v>
      </c>
      <c r="LM19" s="34">
        <v>3155</v>
      </c>
      <c r="LN19" s="34" t="s">
        <v>32</v>
      </c>
      <c r="LO19" s="32" t="s">
        <v>32</v>
      </c>
      <c r="LP19" s="32" t="s">
        <v>32</v>
      </c>
      <c r="LQ19" s="29"/>
      <c r="LR19" s="28" t="s">
        <v>32</v>
      </c>
      <c r="LS19" s="26">
        <v>1850</v>
      </c>
      <c r="LT19" s="34" t="s">
        <v>40</v>
      </c>
      <c r="LU19" s="34" t="s">
        <v>32</v>
      </c>
      <c r="LV19" s="34" t="s">
        <v>32</v>
      </c>
      <c r="LW19" s="33">
        <f>SUM(LD19:LV19)</f>
        <v>21005</v>
      </c>
      <c r="LX19" s="24"/>
    </row>
    <row r="20" spans="1:336" x14ac:dyDescent="0.3">
      <c r="A20" s="25">
        <v>45399</v>
      </c>
      <c r="B20" s="26">
        <v>0</v>
      </c>
      <c r="C20" s="26">
        <v>0</v>
      </c>
      <c r="D20" s="27">
        <f t="shared" si="0"/>
        <v>0</v>
      </c>
      <c r="E20" s="28">
        <v>1719</v>
      </c>
      <c r="F20" s="29">
        <v>3208</v>
      </c>
      <c r="G20" s="29">
        <v>8.25</v>
      </c>
      <c r="H20" s="34" t="s">
        <v>32</v>
      </c>
      <c r="I20" s="34"/>
      <c r="J20" s="31" t="s">
        <v>32</v>
      </c>
      <c r="K20" s="34" t="s">
        <v>32</v>
      </c>
      <c r="L20" s="32" t="s">
        <v>32</v>
      </c>
      <c r="M20" s="32"/>
      <c r="N20" s="34" t="s">
        <v>32</v>
      </c>
      <c r="O20" s="28"/>
      <c r="P20" s="28" t="s">
        <v>32</v>
      </c>
      <c r="Q20" s="34" t="s">
        <v>32</v>
      </c>
      <c r="R20" s="34" t="s">
        <v>32</v>
      </c>
      <c r="S20" s="32" t="s">
        <v>32</v>
      </c>
      <c r="T20" s="32" t="s">
        <v>32</v>
      </c>
      <c r="U20" s="29" t="s">
        <v>32</v>
      </c>
      <c r="V20" s="28" t="s">
        <v>32</v>
      </c>
      <c r="W20" s="26" t="s">
        <v>32</v>
      </c>
      <c r="X20" s="34" t="s">
        <v>32</v>
      </c>
      <c r="Y20" s="34" t="s">
        <v>32</v>
      </c>
      <c r="Z20" s="34"/>
      <c r="AA20" s="33">
        <f t="shared" ref="AA20:AA34" si="24">SUM(H20:Y20)</f>
        <v>0</v>
      </c>
      <c r="AB20" s="24"/>
      <c r="AC20" s="25">
        <v>45429</v>
      </c>
      <c r="AD20" s="26">
        <v>0</v>
      </c>
      <c r="AE20" s="26">
        <v>0</v>
      </c>
      <c r="AF20" s="27">
        <f t="shared" si="1"/>
        <v>0</v>
      </c>
      <c r="AG20" s="28">
        <v>3462</v>
      </c>
      <c r="AH20" s="29">
        <v>971</v>
      </c>
      <c r="AI20" s="29">
        <v>8</v>
      </c>
      <c r="AJ20" s="34" t="s">
        <v>32</v>
      </c>
      <c r="AK20" s="34"/>
      <c r="AL20" s="31" t="s">
        <v>32</v>
      </c>
      <c r="AM20" s="34" t="s">
        <v>32</v>
      </c>
      <c r="AN20" s="32" t="s">
        <v>32</v>
      </c>
      <c r="AO20" s="32"/>
      <c r="AP20" s="34" t="s">
        <v>32</v>
      </c>
      <c r="AQ20" s="28"/>
      <c r="AR20" s="28" t="s">
        <v>32</v>
      </c>
      <c r="AS20" s="34" t="s">
        <v>32</v>
      </c>
      <c r="AT20" s="34" t="s">
        <v>32</v>
      </c>
      <c r="AU20" s="32" t="s">
        <v>32</v>
      </c>
      <c r="AV20" s="32" t="s">
        <v>32</v>
      </c>
      <c r="AW20" s="29" t="s">
        <v>32</v>
      </c>
      <c r="AX20" s="28" t="s">
        <v>32</v>
      </c>
      <c r="AY20" s="26" t="s">
        <v>32</v>
      </c>
      <c r="AZ20" s="34" t="s">
        <v>32</v>
      </c>
      <c r="BA20" s="34" t="s">
        <v>32</v>
      </c>
      <c r="BB20" s="34"/>
      <c r="BC20" s="33">
        <f t="shared" ref="BC20:BC34" si="25">SUM(AJ20:BA20)</f>
        <v>0</v>
      </c>
      <c r="BD20" s="24"/>
      <c r="BE20" s="25">
        <v>45460</v>
      </c>
      <c r="BF20" s="26">
        <v>3450</v>
      </c>
      <c r="BG20" s="26">
        <v>129000</v>
      </c>
      <c r="BH20" s="27">
        <f t="shared" si="2"/>
        <v>166950</v>
      </c>
      <c r="BI20" s="28">
        <v>4134</v>
      </c>
      <c r="BJ20" s="29">
        <v>1424</v>
      </c>
      <c r="BK20" s="29">
        <v>10</v>
      </c>
      <c r="BL20" s="34" t="s">
        <v>32</v>
      </c>
      <c r="BM20" s="34"/>
      <c r="BN20" s="31" t="s">
        <v>32</v>
      </c>
      <c r="BO20" s="34">
        <v>150000</v>
      </c>
      <c r="BP20" s="32" t="s">
        <v>32</v>
      </c>
      <c r="BQ20" s="32">
        <v>16950</v>
      </c>
      <c r="BR20" s="34" t="s">
        <v>32</v>
      </c>
      <c r="BS20" s="28"/>
      <c r="BT20" s="28" t="s">
        <v>32</v>
      </c>
      <c r="BU20" s="34" t="s">
        <v>32</v>
      </c>
      <c r="BV20" s="34" t="s">
        <v>32</v>
      </c>
      <c r="BW20" s="32" t="s">
        <v>32</v>
      </c>
      <c r="BX20" s="32" t="s">
        <v>32</v>
      </c>
      <c r="BY20" s="29" t="s">
        <v>32</v>
      </c>
      <c r="BZ20" s="28" t="s">
        <v>32</v>
      </c>
      <c r="CA20" s="26" t="s">
        <v>32</v>
      </c>
      <c r="CB20" s="34" t="s">
        <v>32</v>
      </c>
      <c r="CC20" s="34" t="s">
        <v>32</v>
      </c>
      <c r="CD20" s="34"/>
      <c r="CE20" s="33">
        <f t="shared" ref="CE20:CE34" si="26">SUM(BL20:CC20)</f>
        <v>166950</v>
      </c>
      <c r="CF20" s="24"/>
      <c r="CG20" s="25">
        <v>45490</v>
      </c>
      <c r="CH20" s="26">
        <v>0</v>
      </c>
      <c r="CI20" s="26">
        <v>0</v>
      </c>
      <c r="CJ20" s="27">
        <f t="shared" si="3"/>
        <v>139739</v>
      </c>
      <c r="CK20" s="28">
        <v>2074</v>
      </c>
      <c r="CL20" s="29">
        <v>4003</v>
      </c>
      <c r="CM20" s="29">
        <v>8.6999999999999993</v>
      </c>
      <c r="CN20" s="34">
        <v>35500</v>
      </c>
      <c r="CO20" s="34">
        <v>39764</v>
      </c>
      <c r="CP20" s="31">
        <v>32060</v>
      </c>
      <c r="CQ20" s="34" t="s">
        <v>32</v>
      </c>
      <c r="CR20" s="32" t="s">
        <v>32</v>
      </c>
      <c r="CS20" s="32">
        <v>2900</v>
      </c>
      <c r="CT20" s="34">
        <v>20000</v>
      </c>
      <c r="CU20" s="28">
        <v>1100</v>
      </c>
      <c r="CV20" s="28">
        <v>60</v>
      </c>
      <c r="CW20" s="34">
        <v>2355</v>
      </c>
      <c r="CX20" s="34" t="s">
        <v>32</v>
      </c>
      <c r="CY20" s="32" t="s">
        <v>32</v>
      </c>
      <c r="CZ20" s="32" t="s">
        <v>32</v>
      </c>
      <c r="DA20" s="29" t="s">
        <v>32</v>
      </c>
      <c r="DB20" s="28" t="s">
        <v>32</v>
      </c>
      <c r="DC20" s="26">
        <v>2400</v>
      </c>
      <c r="DD20" s="34" t="s">
        <v>40</v>
      </c>
      <c r="DE20" s="34">
        <v>3600</v>
      </c>
      <c r="DF20" s="34" t="s">
        <v>86</v>
      </c>
      <c r="DG20" s="33">
        <f t="shared" ref="DG20:DG34" si="27">SUM(CN20:DE20)</f>
        <v>139739</v>
      </c>
      <c r="DH20" s="24"/>
      <c r="DI20" s="25">
        <v>45521</v>
      </c>
      <c r="DJ20" s="26">
        <v>1681</v>
      </c>
      <c r="DK20" s="26">
        <v>105534</v>
      </c>
      <c r="DL20" s="27">
        <f t="shared" si="4"/>
        <v>371550</v>
      </c>
      <c r="DM20" s="28">
        <v>2719</v>
      </c>
      <c r="DN20" s="29">
        <v>5592</v>
      </c>
      <c r="DO20" s="29">
        <v>10</v>
      </c>
      <c r="DP20" s="34" t="s">
        <v>32</v>
      </c>
      <c r="DQ20" s="34"/>
      <c r="DR20" s="31">
        <v>300000</v>
      </c>
      <c r="DS20" s="34" t="s">
        <v>32</v>
      </c>
      <c r="DT20" s="32" t="s">
        <v>32</v>
      </c>
      <c r="DU20" s="32"/>
      <c r="DV20" s="34">
        <v>70000</v>
      </c>
      <c r="DW20" s="28"/>
      <c r="DX20" s="28">
        <v>500</v>
      </c>
      <c r="DY20" s="34">
        <v>250</v>
      </c>
      <c r="DZ20" s="34">
        <v>800</v>
      </c>
      <c r="EA20" s="32" t="s">
        <v>32</v>
      </c>
      <c r="EB20" s="32" t="s">
        <v>32</v>
      </c>
      <c r="EC20" s="29" t="s">
        <v>32</v>
      </c>
      <c r="ED20" s="28" t="s">
        <v>32</v>
      </c>
      <c r="EE20" s="26" t="s">
        <v>32</v>
      </c>
      <c r="EF20" s="34" t="s">
        <v>32</v>
      </c>
      <c r="EG20" s="34" t="s">
        <v>32</v>
      </c>
      <c r="EH20" s="34"/>
      <c r="EI20" s="33">
        <f t="shared" ref="EI20:EI34" si="28">SUM(DP20:EG20)</f>
        <v>371550</v>
      </c>
      <c r="EJ20" s="24"/>
      <c r="EK20" s="25">
        <v>45552</v>
      </c>
      <c r="EL20" s="26">
        <v>0</v>
      </c>
      <c r="EM20" s="26">
        <v>0</v>
      </c>
      <c r="EN20" s="27">
        <f t="shared" si="5"/>
        <v>0</v>
      </c>
      <c r="EO20" s="28">
        <v>1323</v>
      </c>
      <c r="EP20" s="29">
        <v>3332</v>
      </c>
      <c r="EQ20" s="29">
        <v>7</v>
      </c>
      <c r="ER20" s="34" t="s">
        <v>32</v>
      </c>
      <c r="ES20" s="34"/>
      <c r="ET20" s="31" t="s">
        <v>32</v>
      </c>
      <c r="EU20" s="34" t="s">
        <v>32</v>
      </c>
      <c r="EV20" s="32" t="s">
        <v>32</v>
      </c>
      <c r="EW20" s="32"/>
      <c r="EX20" s="34" t="s">
        <v>32</v>
      </c>
      <c r="EY20" s="28"/>
      <c r="EZ20" s="28" t="s">
        <v>32</v>
      </c>
      <c r="FA20" s="34" t="s">
        <v>32</v>
      </c>
      <c r="FB20" s="34" t="s">
        <v>32</v>
      </c>
      <c r="FC20" s="32" t="s">
        <v>32</v>
      </c>
      <c r="FD20" s="32" t="s">
        <v>32</v>
      </c>
      <c r="FE20" s="29" t="s">
        <v>32</v>
      </c>
      <c r="FF20" s="28" t="s">
        <v>32</v>
      </c>
      <c r="FG20" s="26" t="s">
        <v>32</v>
      </c>
      <c r="FH20" s="34" t="s">
        <v>32</v>
      </c>
      <c r="FI20" s="34" t="s">
        <v>32</v>
      </c>
      <c r="FJ20" s="34"/>
      <c r="FK20" s="33">
        <f t="shared" ref="FK20:FK34" si="29">SUM(ER20:FI20)</f>
        <v>0</v>
      </c>
      <c r="FL20" s="24"/>
      <c r="FM20" s="25">
        <v>45582</v>
      </c>
      <c r="FN20" s="26">
        <v>0</v>
      </c>
      <c r="FO20" s="26">
        <v>0</v>
      </c>
      <c r="FP20" s="27">
        <f t="shared" si="6"/>
        <v>0</v>
      </c>
      <c r="FQ20" s="28">
        <v>0</v>
      </c>
      <c r="FR20" s="29">
        <v>2572</v>
      </c>
      <c r="FS20" s="29">
        <v>10.1</v>
      </c>
      <c r="FT20" s="34" t="s">
        <v>32</v>
      </c>
      <c r="FU20" s="34"/>
      <c r="FV20" s="31" t="s">
        <v>32</v>
      </c>
      <c r="FW20" s="34" t="s">
        <v>32</v>
      </c>
      <c r="FX20" s="32" t="s">
        <v>32</v>
      </c>
      <c r="FY20" s="32"/>
      <c r="FZ20" s="34" t="s">
        <v>32</v>
      </c>
      <c r="GA20" s="28"/>
      <c r="GB20" s="28" t="s">
        <v>32</v>
      </c>
      <c r="GC20" s="34" t="s">
        <v>32</v>
      </c>
      <c r="GD20" s="34" t="s">
        <v>32</v>
      </c>
      <c r="GE20" s="32" t="s">
        <v>32</v>
      </c>
      <c r="GF20" s="32" t="s">
        <v>32</v>
      </c>
      <c r="GG20" s="29" t="s">
        <v>32</v>
      </c>
      <c r="GH20" s="28" t="s">
        <v>32</v>
      </c>
      <c r="GI20" s="26" t="s">
        <v>32</v>
      </c>
      <c r="GJ20" s="34" t="s">
        <v>32</v>
      </c>
      <c r="GK20" s="34" t="s">
        <v>32</v>
      </c>
      <c r="GL20" s="34"/>
      <c r="GM20" s="33">
        <f t="shared" ref="GM20:GM34" si="30">SUM(FT20:GK20)</f>
        <v>0</v>
      </c>
      <c r="GN20" s="24"/>
      <c r="GO20" s="25">
        <v>45613</v>
      </c>
      <c r="GP20" s="26">
        <v>4736</v>
      </c>
      <c r="GQ20" s="26">
        <v>133536</v>
      </c>
      <c r="GR20" s="27">
        <f t="shared" si="7"/>
        <v>162</v>
      </c>
      <c r="GS20" s="28">
        <v>1443</v>
      </c>
      <c r="GT20" s="29">
        <v>888</v>
      </c>
      <c r="GU20" s="29">
        <v>6.5</v>
      </c>
      <c r="GV20" s="34" t="s">
        <v>32</v>
      </c>
      <c r="GW20" s="34"/>
      <c r="GX20" s="31" t="s">
        <v>32</v>
      </c>
      <c r="GY20" s="34" t="s">
        <v>32</v>
      </c>
      <c r="GZ20" s="32" t="s">
        <v>32</v>
      </c>
      <c r="HA20" s="32"/>
      <c r="HB20" s="34" t="s">
        <v>32</v>
      </c>
      <c r="HC20" s="28"/>
      <c r="HD20" s="28" t="s">
        <v>32</v>
      </c>
      <c r="HE20" s="34">
        <v>162</v>
      </c>
      <c r="HF20" s="34" t="s">
        <v>32</v>
      </c>
      <c r="HG20" s="32" t="s">
        <v>32</v>
      </c>
      <c r="HH20" s="32" t="s">
        <v>32</v>
      </c>
      <c r="HI20" s="29" t="s">
        <v>32</v>
      </c>
      <c r="HJ20" s="28" t="s">
        <v>32</v>
      </c>
      <c r="HK20" s="26" t="s">
        <v>32</v>
      </c>
      <c r="HL20" s="34" t="s">
        <v>32</v>
      </c>
      <c r="HM20" s="34" t="s">
        <v>32</v>
      </c>
      <c r="HN20" s="34"/>
      <c r="HO20" s="33">
        <f t="shared" ref="HO20:HO34" si="31">SUM(GV20:HM20)</f>
        <v>162</v>
      </c>
      <c r="HP20" s="24"/>
      <c r="HQ20" s="25">
        <v>45643</v>
      </c>
      <c r="HR20" s="26">
        <v>4049</v>
      </c>
      <c r="HS20" s="26">
        <v>610451</v>
      </c>
      <c r="HT20" s="27">
        <f t="shared" si="8"/>
        <v>150460</v>
      </c>
      <c r="HU20" s="28">
        <v>3339</v>
      </c>
      <c r="HV20" s="29">
        <v>1546</v>
      </c>
      <c r="HW20" s="29">
        <v>5.35</v>
      </c>
      <c r="HX20" s="34" t="s">
        <v>32</v>
      </c>
      <c r="HY20" s="34"/>
      <c r="HZ20" s="31">
        <v>100000</v>
      </c>
      <c r="IA20" s="34" t="s">
        <v>32</v>
      </c>
      <c r="IB20" s="32">
        <v>49000</v>
      </c>
      <c r="IC20" s="32"/>
      <c r="ID20" s="34" t="s">
        <v>32</v>
      </c>
      <c r="IE20" s="28"/>
      <c r="IF20" s="28">
        <v>500</v>
      </c>
      <c r="IG20" s="34">
        <v>960</v>
      </c>
      <c r="IH20" s="34" t="s">
        <v>32</v>
      </c>
      <c r="II20" s="32" t="s">
        <v>32</v>
      </c>
      <c r="IJ20" s="32" t="s">
        <v>32</v>
      </c>
      <c r="IK20" s="29" t="s">
        <v>32</v>
      </c>
      <c r="IL20" s="28" t="s">
        <v>32</v>
      </c>
      <c r="IM20" s="26" t="s">
        <v>32</v>
      </c>
      <c r="IN20" s="34" t="s">
        <v>32</v>
      </c>
      <c r="IO20" s="34" t="s">
        <v>32</v>
      </c>
      <c r="IP20" s="34"/>
      <c r="IQ20" s="33">
        <f t="shared" ref="IQ20:IQ34" si="32">SUM(HX20:IO20)</f>
        <v>150460</v>
      </c>
      <c r="IR20" s="24"/>
      <c r="IS20" s="25">
        <v>45674</v>
      </c>
      <c r="IT20" s="26">
        <v>1375</v>
      </c>
      <c r="IU20" s="26">
        <v>93700</v>
      </c>
      <c r="IV20" s="27">
        <f t="shared" si="9"/>
        <v>363738</v>
      </c>
      <c r="IW20" s="28">
        <v>3003</v>
      </c>
      <c r="IX20" s="29">
        <v>174</v>
      </c>
      <c r="IY20" s="29">
        <v>4.1500000000000004</v>
      </c>
      <c r="IZ20" s="34" t="s">
        <v>32</v>
      </c>
      <c r="JA20" s="34">
        <v>20000</v>
      </c>
      <c r="JB20" s="31" t="s">
        <v>32</v>
      </c>
      <c r="JC20" s="34">
        <v>207900</v>
      </c>
      <c r="JD20" s="32">
        <v>1400</v>
      </c>
      <c r="JE20" s="32"/>
      <c r="JF20" s="34">
        <v>133680</v>
      </c>
      <c r="JG20" s="28"/>
      <c r="JH20" s="28" t="s">
        <v>32</v>
      </c>
      <c r="JI20" s="34">
        <v>758</v>
      </c>
      <c r="JJ20" s="34" t="s">
        <v>32</v>
      </c>
      <c r="JK20" s="32" t="s">
        <v>32</v>
      </c>
      <c r="JL20" s="32" t="s">
        <v>32</v>
      </c>
      <c r="JM20" s="29" t="s">
        <v>32</v>
      </c>
      <c r="JN20" s="28" t="s">
        <v>32</v>
      </c>
      <c r="JO20" s="26" t="s">
        <v>32</v>
      </c>
      <c r="JP20" s="34" t="s">
        <v>32</v>
      </c>
      <c r="JQ20" s="34" t="s">
        <v>32</v>
      </c>
      <c r="JR20" s="34"/>
      <c r="JS20" s="33">
        <f t="shared" ref="JS20:JS34" si="33">SUM(IZ20:JQ20)</f>
        <v>363738</v>
      </c>
      <c r="JT20" s="24"/>
      <c r="JU20" s="25">
        <v>45705</v>
      </c>
      <c r="JV20" s="26">
        <v>5681</v>
      </c>
      <c r="JW20" s="26">
        <v>385302</v>
      </c>
      <c r="JX20" s="27">
        <f t="shared" si="10"/>
        <v>60900</v>
      </c>
      <c r="JY20" s="28">
        <v>3469</v>
      </c>
      <c r="JZ20" s="29">
        <v>1275</v>
      </c>
      <c r="KA20" s="29">
        <v>7.5</v>
      </c>
      <c r="KB20" s="34">
        <v>12900</v>
      </c>
      <c r="KC20" s="34">
        <v>15500</v>
      </c>
      <c r="KD20" s="31">
        <v>32500</v>
      </c>
      <c r="KE20" s="34" t="s">
        <v>32</v>
      </c>
      <c r="KF20" s="32" t="s">
        <v>32</v>
      </c>
      <c r="KG20" s="32"/>
      <c r="KH20" s="34" t="s">
        <v>32</v>
      </c>
      <c r="KI20" s="28"/>
      <c r="KJ20" s="28" t="s">
        <v>32</v>
      </c>
      <c r="KK20" s="34" t="s">
        <v>32</v>
      </c>
      <c r="KL20" s="34" t="s">
        <v>32</v>
      </c>
      <c r="KM20" s="32" t="s">
        <v>32</v>
      </c>
      <c r="KN20" s="32" t="s">
        <v>32</v>
      </c>
      <c r="KO20" s="29" t="s">
        <v>32</v>
      </c>
      <c r="KP20" s="28" t="s">
        <v>32</v>
      </c>
      <c r="KQ20" s="26" t="s">
        <v>32</v>
      </c>
      <c r="KR20" s="34" t="s">
        <v>32</v>
      </c>
      <c r="KS20" s="34" t="s">
        <v>32</v>
      </c>
      <c r="KT20" s="34"/>
      <c r="KU20" s="33">
        <f t="shared" ref="KU20:KU34" si="34">SUM(KB20:KS20)</f>
        <v>60900</v>
      </c>
      <c r="KV20" s="24"/>
      <c r="KW20" s="25">
        <v>45733</v>
      </c>
      <c r="KX20" s="26">
        <v>0</v>
      </c>
      <c r="KY20" s="26">
        <v>0</v>
      </c>
      <c r="KZ20" s="27">
        <f t="shared" si="11"/>
        <v>0</v>
      </c>
      <c r="LA20" s="28">
        <v>2272</v>
      </c>
      <c r="LB20" s="29">
        <v>0</v>
      </c>
      <c r="LC20" s="29">
        <v>3.25</v>
      </c>
      <c r="LD20" s="34" t="s">
        <v>32</v>
      </c>
      <c r="LE20" s="34"/>
      <c r="LF20" s="31" t="s">
        <v>32</v>
      </c>
      <c r="LG20" s="34" t="s">
        <v>32</v>
      </c>
      <c r="LH20" s="32" t="s">
        <v>32</v>
      </c>
      <c r="LI20" s="32"/>
      <c r="LJ20" s="34" t="s">
        <v>32</v>
      </c>
      <c r="LK20" s="28"/>
      <c r="LL20" s="28" t="s">
        <v>32</v>
      </c>
      <c r="LM20" s="34" t="s">
        <v>32</v>
      </c>
      <c r="LN20" s="34" t="s">
        <v>32</v>
      </c>
      <c r="LO20" s="32" t="s">
        <v>32</v>
      </c>
      <c r="LP20" s="32" t="s">
        <v>32</v>
      </c>
      <c r="LQ20" s="29" t="s">
        <v>32</v>
      </c>
      <c r="LR20" s="28" t="s">
        <v>32</v>
      </c>
      <c r="LS20" s="26" t="s">
        <v>32</v>
      </c>
      <c r="LT20" s="34" t="s">
        <v>32</v>
      </c>
      <c r="LU20" s="34" t="s">
        <v>32</v>
      </c>
      <c r="LV20" s="34"/>
      <c r="LW20" s="33">
        <f t="shared" ref="LW20:LW34" si="35">SUM(LD20:LU20)</f>
        <v>0</v>
      </c>
      <c r="LX20" s="24"/>
    </row>
    <row r="21" spans="1:336" x14ac:dyDescent="0.3">
      <c r="A21" s="25">
        <v>45400</v>
      </c>
      <c r="B21" s="26">
        <v>503</v>
      </c>
      <c r="C21" s="26">
        <v>27200</v>
      </c>
      <c r="D21" s="27">
        <f t="shared" si="0"/>
        <v>18895</v>
      </c>
      <c r="E21" s="28">
        <v>1967</v>
      </c>
      <c r="F21" s="29">
        <v>1668</v>
      </c>
      <c r="G21" s="29">
        <v>7.5</v>
      </c>
      <c r="H21" s="34">
        <v>600</v>
      </c>
      <c r="I21" s="34"/>
      <c r="J21" s="31" t="s">
        <v>32</v>
      </c>
      <c r="K21" s="34" t="s">
        <v>32</v>
      </c>
      <c r="L21" s="32" t="s">
        <v>32</v>
      </c>
      <c r="M21" s="32"/>
      <c r="N21" s="34">
        <v>4630</v>
      </c>
      <c r="O21" s="28">
        <v>4550</v>
      </c>
      <c r="P21" s="28">
        <v>400</v>
      </c>
      <c r="Q21" s="34">
        <v>8200</v>
      </c>
      <c r="R21" s="34" t="s">
        <v>32</v>
      </c>
      <c r="S21" s="32" t="s">
        <v>32</v>
      </c>
      <c r="T21" s="32" t="s">
        <v>32</v>
      </c>
      <c r="U21" s="29" t="s">
        <v>32</v>
      </c>
      <c r="V21" s="28">
        <v>515</v>
      </c>
      <c r="W21" s="26" t="s">
        <v>32</v>
      </c>
      <c r="X21" s="34" t="s">
        <v>32</v>
      </c>
      <c r="Y21" s="34" t="s">
        <v>32</v>
      </c>
      <c r="Z21" s="34"/>
      <c r="AA21" s="33">
        <f t="shared" si="24"/>
        <v>18895</v>
      </c>
      <c r="AB21" s="24"/>
      <c r="AC21" s="25">
        <v>45430</v>
      </c>
      <c r="AD21" s="26">
        <v>575</v>
      </c>
      <c r="AE21" s="26">
        <v>30926</v>
      </c>
      <c r="AF21" s="27">
        <f t="shared" si="1"/>
        <v>3275</v>
      </c>
      <c r="AG21" s="28">
        <v>3145</v>
      </c>
      <c r="AH21" s="29">
        <v>5878</v>
      </c>
      <c r="AI21" s="29">
        <v>7.75</v>
      </c>
      <c r="AJ21" s="34" t="s">
        <v>32</v>
      </c>
      <c r="AK21" s="34"/>
      <c r="AL21" s="31" t="s">
        <v>32</v>
      </c>
      <c r="AM21" s="34" t="s">
        <v>32</v>
      </c>
      <c r="AN21" s="32">
        <v>150</v>
      </c>
      <c r="AO21" s="32"/>
      <c r="AP21" s="34" t="s">
        <v>32</v>
      </c>
      <c r="AQ21" s="28" t="s">
        <v>32</v>
      </c>
      <c r="AR21" s="28">
        <v>500</v>
      </c>
      <c r="AS21" s="34">
        <v>1250</v>
      </c>
      <c r="AT21" s="34">
        <v>750</v>
      </c>
      <c r="AU21" s="32" t="s">
        <v>32</v>
      </c>
      <c r="AV21" s="32" t="s">
        <v>32</v>
      </c>
      <c r="AW21" s="29" t="s">
        <v>32</v>
      </c>
      <c r="AX21" s="28">
        <v>125</v>
      </c>
      <c r="AY21" s="26">
        <v>500</v>
      </c>
      <c r="AZ21" s="34" t="s">
        <v>40</v>
      </c>
      <c r="BA21" s="34" t="s">
        <v>32</v>
      </c>
      <c r="BB21" s="34"/>
      <c r="BC21" s="33">
        <f t="shared" si="25"/>
        <v>3275</v>
      </c>
      <c r="BD21" s="24"/>
      <c r="BE21" s="25">
        <v>45461</v>
      </c>
      <c r="BF21" s="26">
        <v>0</v>
      </c>
      <c r="BG21" s="26">
        <v>0</v>
      </c>
      <c r="BH21" s="27">
        <f t="shared" si="2"/>
        <v>0</v>
      </c>
      <c r="BI21" s="28">
        <v>4092</v>
      </c>
      <c r="BJ21" s="29">
        <v>3362</v>
      </c>
      <c r="BK21" s="29">
        <v>8.75</v>
      </c>
      <c r="BL21" s="34" t="s">
        <v>32</v>
      </c>
      <c r="BM21" s="34"/>
      <c r="BN21" s="31" t="s">
        <v>32</v>
      </c>
      <c r="BO21" s="34" t="s">
        <v>32</v>
      </c>
      <c r="BP21" s="32" t="s">
        <v>32</v>
      </c>
      <c r="BQ21" s="32"/>
      <c r="BR21" s="34" t="s">
        <v>32</v>
      </c>
      <c r="BS21" s="28" t="s">
        <v>32</v>
      </c>
      <c r="BT21" s="28" t="s">
        <v>32</v>
      </c>
      <c r="BU21" s="34" t="s">
        <v>32</v>
      </c>
      <c r="BV21" s="34" t="s">
        <v>32</v>
      </c>
      <c r="BW21" s="32" t="s">
        <v>32</v>
      </c>
      <c r="BX21" s="32" t="s">
        <v>32</v>
      </c>
      <c r="BY21" s="29" t="s">
        <v>32</v>
      </c>
      <c r="BZ21" s="28" t="s">
        <v>32</v>
      </c>
      <c r="CA21" s="26" t="s">
        <v>32</v>
      </c>
      <c r="CB21" s="34" t="s">
        <v>32</v>
      </c>
      <c r="CC21" s="34" t="s">
        <v>32</v>
      </c>
      <c r="CD21" s="34"/>
      <c r="CE21" s="33">
        <f t="shared" si="26"/>
        <v>0</v>
      </c>
      <c r="CF21" s="24"/>
      <c r="CG21" s="25">
        <v>45491</v>
      </c>
      <c r="CH21" s="26">
        <v>0</v>
      </c>
      <c r="CI21" s="26">
        <v>0</v>
      </c>
      <c r="CJ21" s="27">
        <f t="shared" si="3"/>
        <v>144961</v>
      </c>
      <c r="CK21" s="28">
        <v>3274</v>
      </c>
      <c r="CL21" s="29">
        <v>3645</v>
      </c>
      <c r="CM21" s="29">
        <v>6.25</v>
      </c>
      <c r="CN21" s="34">
        <v>9892</v>
      </c>
      <c r="CO21" s="34">
        <v>11908</v>
      </c>
      <c r="CP21" s="31">
        <v>100000</v>
      </c>
      <c r="CQ21" s="34" t="s">
        <v>32</v>
      </c>
      <c r="CR21" s="32">
        <v>1050</v>
      </c>
      <c r="CS21" s="32">
        <v>20000</v>
      </c>
      <c r="CT21" s="34" t="s">
        <v>32</v>
      </c>
      <c r="CU21" s="28" t="s">
        <v>32</v>
      </c>
      <c r="CV21" s="28" t="s">
        <v>32</v>
      </c>
      <c r="CW21" s="34">
        <v>2111</v>
      </c>
      <c r="CX21" s="34" t="s">
        <v>32</v>
      </c>
      <c r="CY21" s="32" t="s">
        <v>32</v>
      </c>
      <c r="CZ21" s="32" t="s">
        <v>32</v>
      </c>
      <c r="DA21" s="29" t="s">
        <v>32</v>
      </c>
      <c r="DB21" s="28" t="s">
        <v>32</v>
      </c>
      <c r="DC21" s="26" t="s">
        <v>32</v>
      </c>
      <c r="DD21" s="34" t="s">
        <v>32</v>
      </c>
      <c r="DE21" s="34" t="s">
        <v>32</v>
      </c>
      <c r="DF21" s="34" t="s">
        <v>32</v>
      </c>
      <c r="DG21" s="33">
        <f t="shared" si="27"/>
        <v>144961</v>
      </c>
      <c r="DH21" s="24"/>
      <c r="DI21" s="25">
        <v>45522</v>
      </c>
      <c r="DJ21" s="26">
        <v>8175</v>
      </c>
      <c r="DK21" s="26">
        <v>652827</v>
      </c>
      <c r="DL21" s="27">
        <f t="shared" si="4"/>
        <v>4060</v>
      </c>
      <c r="DM21" s="28">
        <v>3147</v>
      </c>
      <c r="DN21" s="29">
        <v>866</v>
      </c>
      <c r="DO21" s="29">
        <v>6.25</v>
      </c>
      <c r="DP21" s="34" t="s">
        <v>32</v>
      </c>
      <c r="DQ21" s="34"/>
      <c r="DR21" s="31" t="s">
        <v>32</v>
      </c>
      <c r="DS21" s="34" t="s">
        <v>32</v>
      </c>
      <c r="DT21" s="32" t="s">
        <v>32</v>
      </c>
      <c r="DU21" s="32">
        <v>2840</v>
      </c>
      <c r="DV21" s="34" t="s">
        <v>32</v>
      </c>
      <c r="DW21" s="28" t="s">
        <v>32</v>
      </c>
      <c r="DX21" s="28" t="s">
        <v>32</v>
      </c>
      <c r="DY21" s="34">
        <v>920</v>
      </c>
      <c r="DZ21" s="34" t="s">
        <v>32</v>
      </c>
      <c r="EA21" s="32">
        <v>300</v>
      </c>
      <c r="EB21" s="32" t="s">
        <v>89</v>
      </c>
      <c r="EC21" s="29" t="s">
        <v>32</v>
      </c>
      <c r="ED21" s="28" t="s">
        <v>32</v>
      </c>
      <c r="EE21" s="26" t="s">
        <v>32</v>
      </c>
      <c r="EF21" s="34" t="s">
        <v>32</v>
      </c>
      <c r="EG21" s="34" t="s">
        <v>32</v>
      </c>
      <c r="EH21" s="34"/>
      <c r="EI21" s="33">
        <f t="shared" si="28"/>
        <v>4060</v>
      </c>
      <c r="EJ21" s="24"/>
      <c r="EK21" s="25">
        <v>45553</v>
      </c>
      <c r="EL21" s="26">
        <v>0</v>
      </c>
      <c r="EM21" s="26">
        <v>0</v>
      </c>
      <c r="EN21" s="27">
        <f t="shared" si="5"/>
        <v>109380</v>
      </c>
      <c r="EO21" s="28">
        <v>3581</v>
      </c>
      <c r="EP21" s="29">
        <v>1705</v>
      </c>
      <c r="EQ21" s="29">
        <v>7.25</v>
      </c>
      <c r="ER21" s="34">
        <v>11049</v>
      </c>
      <c r="ES21" s="34">
        <v>13351</v>
      </c>
      <c r="ET21" s="31">
        <v>51500</v>
      </c>
      <c r="EU21" s="34">
        <v>200</v>
      </c>
      <c r="EV21" s="32">
        <v>400</v>
      </c>
      <c r="EW21" s="32"/>
      <c r="EX21" s="34" t="s">
        <v>32</v>
      </c>
      <c r="EY21" s="28">
        <v>21000</v>
      </c>
      <c r="EZ21" s="28" t="s">
        <v>32</v>
      </c>
      <c r="FA21" s="34">
        <v>2130</v>
      </c>
      <c r="FB21" s="34" t="s">
        <v>32</v>
      </c>
      <c r="FC21" s="32">
        <v>9750</v>
      </c>
      <c r="FD21" s="32" t="s">
        <v>96</v>
      </c>
      <c r="FE21" s="29" t="s">
        <v>32</v>
      </c>
      <c r="FF21" s="28" t="s">
        <v>32</v>
      </c>
      <c r="FG21" s="26" t="s">
        <v>32</v>
      </c>
      <c r="FH21" s="34" t="s">
        <v>32</v>
      </c>
      <c r="FI21" s="34" t="s">
        <v>32</v>
      </c>
      <c r="FJ21" s="34"/>
      <c r="FK21" s="33">
        <f t="shared" si="29"/>
        <v>109380</v>
      </c>
      <c r="FL21" s="24"/>
      <c r="FM21" s="25">
        <v>45583</v>
      </c>
      <c r="FN21" s="26">
        <v>9404</v>
      </c>
      <c r="FO21" s="26">
        <v>698219</v>
      </c>
      <c r="FP21" s="27">
        <f t="shared" si="6"/>
        <v>380870</v>
      </c>
      <c r="FQ21" s="28">
        <v>2049</v>
      </c>
      <c r="FR21" s="29">
        <v>3730</v>
      </c>
      <c r="FS21" s="29">
        <v>9.5</v>
      </c>
      <c r="FT21" s="34">
        <v>73500</v>
      </c>
      <c r="FU21" s="34">
        <v>80000</v>
      </c>
      <c r="FV21" s="31">
        <v>5500</v>
      </c>
      <c r="FW21" s="34">
        <v>40000</v>
      </c>
      <c r="FX21" s="32">
        <v>8360</v>
      </c>
      <c r="FY21" s="32"/>
      <c r="FZ21" s="34" t="s">
        <v>32</v>
      </c>
      <c r="GA21" s="28" t="s">
        <v>32</v>
      </c>
      <c r="GB21" s="28">
        <v>600</v>
      </c>
      <c r="GC21" s="34">
        <v>1910</v>
      </c>
      <c r="GD21" s="34" t="s">
        <v>32</v>
      </c>
      <c r="GE21" s="32">
        <v>4000</v>
      </c>
      <c r="GF21" s="32" t="s">
        <v>101</v>
      </c>
      <c r="GG21" s="29" t="s">
        <v>32</v>
      </c>
      <c r="GH21" s="28" t="s">
        <v>32</v>
      </c>
      <c r="GI21" s="26">
        <v>167000</v>
      </c>
      <c r="GJ21" s="34" t="s">
        <v>103</v>
      </c>
      <c r="GK21" s="34" t="s">
        <v>32</v>
      </c>
      <c r="GL21" s="34"/>
      <c r="GM21" s="33">
        <f t="shared" si="30"/>
        <v>380870</v>
      </c>
      <c r="GN21" s="24"/>
      <c r="GO21" s="25">
        <v>45614</v>
      </c>
      <c r="GP21" s="26">
        <v>0</v>
      </c>
      <c r="GQ21" s="26">
        <v>0</v>
      </c>
      <c r="GR21" s="27">
        <f t="shared" si="7"/>
        <v>0</v>
      </c>
      <c r="GS21" s="28">
        <v>481</v>
      </c>
      <c r="GT21" s="29">
        <v>3327</v>
      </c>
      <c r="GU21" s="29">
        <v>6</v>
      </c>
      <c r="GV21" s="34" t="s">
        <v>32</v>
      </c>
      <c r="GW21" s="34"/>
      <c r="GX21" s="31" t="s">
        <v>32</v>
      </c>
      <c r="GY21" s="34" t="s">
        <v>32</v>
      </c>
      <c r="GZ21" s="32" t="s">
        <v>32</v>
      </c>
      <c r="HA21" s="32"/>
      <c r="HB21" s="34" t="s">
        <v>32</v>
      </c>
      <c r="HC21" s="28" t="s">
        <v>32</v>
      </c>
      <c r="HD21" s="28" t="s">
        <v>32</v>
      </c>
      <c r="HE21" s="34" t="s">
        <v>32</v>
      </c>
      <c r="HF21" s="34" t="s">
        <v>32</v>
      </c>
      <c r="HG21" s="32" t="s">
        <v>32</v>
      </c>
      <c r="HH21" s="32" t="s">
        <v>32</v>
      </c>
      <c r="HI21" s="29" t="s">
        <v>32</v>
      </c>
      <c r="HJ21" s="28" t="s">
        <v>32</v>
      </c>
      <c r="HK21" s="26" t="s">
        <v>32</v>
      </c>
      <c r="HL21" s="34" t="s">
        <v>32</v>
      </c>
      <c r="HM21" s="34" t="s">
        <v>32</v>
      </c>
      <c r="HN21" s="34"/>
      <c r="HO21" s="33">
        <f t="shared" si="31"/>
        <v>0</v>
      </c>
      <c r="HP21" s="24"/>
      <c r="HQ21" s="25">
        <v>45644</v>
      </c>
      <c r="HR21" s="26">
        <v>0</v>
      </c>
      <c r="HS21" s="26">
        <v>0</v>
      </c>
      <c r="HT21" s="27">
        <f t="shared" si="8"/>
        <v>0</v>
      </c>
      <c r="HU21" s="28">
        <v>1894</v>
      </c>
      <c r="HV21" s="29">
        <v>2815</v>
      </c>
      <c r="HW21" s="29">
        <v>5</v>
      </c>
      <c r="HX21" s="34" t="s">
        <v>32</v>
      </c>
      <c r="HY21" s="34"/>
      <c r="HZ21" s="31" t="s">
        <v>32</v>
      </c>
      <c r="IA21" s="34" t="s">
        <v>32</v>
      </c>
      <c r="IB21" s="32" t="s">
        <v>32</v>
      </c>
      <c r="IC21" s="32"/>
      <c r="ID21" s="34" t="s">
        <v>32</v>
      </c>
      <c r="IE21" s="28" t="s">
        <v>32</v>
      </c>
      <c r="IF21" s="28" t="s">
        <v>32</v>
      </c>
      <c r="IG21" s="34" t="s">
        <v>32</v>
      </c>
      <c r="IH21" s="34" t="s">
        <v>32</v>
      </c>
      <c r="II21" s="32" t="s">
        <v>32</v>
      </c>
      <c r="IJ21" s="32" t="s">
        <v>32</v>
      </c>
      <c r="IK21" s="29" t="s">
        <v>32</v>
      </c>
      <c r="IL21" s="28" t="s">
        <v>32</v>
      </c>
      <c r="IM21" s="26" t="s">
        <v>32</v>
      </c>
      <c r="IN21" s="34" t="s">
        <v>32</v>
      </c>
      <c r="IO21" s="34" t="s">
        <v>32</v>
      </c>
      <c r="IP21" s="34"/>
      <c r="IQ21" s="33">
        <f t="shared" si="32"/>
        <v>0</v>
      </c>
      <c r="IR21" s="24"/>
      <c r="IS21" s="25">
        <v>45675</v>
      </c>
      <c r="IT21" s="26">
        <v>0</v>
      </c>
      <c r="IU21" s="26">
        <v>0</v>
      </c>
      <c r="IV21" s="27">
        <f t="shared" si="9"/>
        <v>0</v>
      </c>
      <c r="IW21" s="28">
        <v>3678</v>
      </c>
      <c r="IX21" s="29">
        <v>1392</v>
      </c>
      <c r="IY21" s="29">
        <v>6.1</v>
      </c>
      <c r="IZ21" s="34" t="s">
        <v>32</v>
      </c>
      <c r="JA21" s="34"/>
      <c r="JB21" s="31" t="s">
        <v>32</v>
      </c>
      <c r="JC21" s="34" t="s">
        <v>32</v>
      </c>
      <c r="JD21" s="32" t="s">
        <v>32</v>
      </c>
      <c r="JE21" s="32"/>
      <c r="JF21" s="34" t="s">
        <v>32</v>
      </c>
      <c r="JG21" s="28" t="s">
        <v>32</v>
      </c>
      <c r="JH21" s="28" t="s">
        <v>32</v>
      </c>
      <c r="JI21" s="34" t="s">
        <v>32</v>
      </c>
      <c r="JJ21" s="34" t="s">
        <v>32</v>
      </c>
      <c r="JK21" s="32" t="s">
        <v>32</v>
      </c>
      <c r="JL21" s="32" t="s">
        <v>32</v>
      </c>
      <c r="JM21" s="29" t="s">
        <v>32</v>
      </c>
      <c r="JN21" s="28" t="s">
        <v>32</v>
      </c>
      <c r="JO21" s="26" t="s">
        <v>32</v>
      </c>
      <c r="JP21" s="34" t="s">
        <v>32</v>
      </c>
      <c r="JQ21" s="34" t="s">
        <v>32</v>
      </c>
      <c r="JR21" s="34"/>
      <c r="JS21" s="33">
        <f t="shared" si="33"/>
        <v>0</v>
      </c>
      <c r="JT21" s="24"/>
      <c r="JU21" s="25">
        <v>45706</v>
      </c>
      <c r="JV21" s="26">
        <v>6980</v>
      </c>
      <c r="JW21" s="26">
        <v>233316</v>
      </c>
      <c r="JX21" s="27">
        <f t="shared" si="10"/>
        <v>136245</v>
      </c>
      <c r="JY21" s="28">
        <v>4241</v>
      </c>
      <c r="JZ21" s="29">
        <v>0</v>
      </c>
      <c r="KA21" s="29">
        <v>11.5</v>
      </c>
      <c r="KB21" s="34" t="s">
        <v>32</v>
      </c>
      <c r="KC21" s="34"/>
      <c r="KD21" s="31">
        <v>84500</v>
      </c>
      <c r="KE21" s="34" t="s">
        <v>32</v>
      </c>
      <c r="KF21" s="32">
        <v>320</v>
      </c>
      <c r="KG21" s="32"/>
      <c r="KH21" s="34">
        <v>33500</v>
      </c>
      <c r="KI21" s="28" t="s">
        <v>32</v>
      </c>
      <c r="KJ21" s="28" t="s">
        <v>32</v>
      </c>
      <c r="KK21" s="34">
        <v>2925</v>
      </c>
      <c r="KL21" s="34" t="s">
        <v>32</v>
      </c>
      <c r="KM21" s="32" t="s">
        <v>32</v>
      </c>
      <c r="KN21" s="32" t="s">
        <v>32</v>
      </c>
      <c r="KQ21" s="29">
        <v>15000</v>
      </c>
      <c r="KR21" s="28" t="s">
        <v>93</v>
      </c>
      <c r="KS21" s="34" t="s">
        <v>32</v>
      </c>
      <c r="KT21" s="34"/>
      <c r="KU21" s="33">
        <f t="shared" si="34"/>
        <v>136245</v>
      </c>
      <c r="KV21" s="24"/>
      <c r="KW21" s="25">
        <v>45734</v>
      </c>
      <c r="KX21" s="26">
        <v>0</v>
      </c>
      <c r="KY21" s="26">
        <v>0</v>
      </c>
      <c r="KZ21" s="27">
        <f t="shared" si="11"/>
        <v>0</v>
      </c>
      <c r="LA21" s="28">
        <v>2655</v>
      </c>
      <c r="LB21" s="29">
        <v>0</v>
      </c>
      <c r="LC21" s="29">
        <v>8.25</v>
      </c>
      <c r="LD21" s="34" t="s">
        <v>32</v>
      </c>
      <c r="LE21" s="34"/>
      <c r="LF21" s="31" t="s">
        <v>32</v>
      </c>
      <c r="LG21" s="34" t="s">
        <v>32</v>
      </c>
      <c r="LH21" s="32" t="s">
        <v>32</v>
      </c>
      <c r="LI21" s="32"/>
      <c r="LJ21" s="34" t="s">
        <v>32</v>
      </c>
      <c r="LK21" s="28" t="s">
        <v>32</v>
      </c>
      <c r="LL21" s="28" t="s">
        <v>32</v>
      </c>
      <c r="LM21" s="34" t="s">
        <v>32</v>
      </c>
      <c r="LN21" s="34" t="s">
        <v>32</v>
      </c>
      <c r="LO21" s="32" t="s">
        <v>32</v>
      </c>
      <c r="LP21" s="32" t="s">
        <v>32</v>
      </c>
      <c r="LQ21" s="29" t="s">
        <v>32</v>
      </c>
      <c r="LR21" s="28" t="s">
        <v>32</v>
      </c>
      <c r="LS21" s="26" t="s">
        <v>32</v>
      </c>
      <c r="LT21" s="34" t="s">
        <v>32</v>
      </c>
      <c r="LU21" s="34" t="s">
        <v>32</v>
      </c>
      <c r="LV21" s="34"/>
      <c r="LW21" s="33">
        <f t="shared" si="35"/>
        <v>0</v>
      </c>
      <c r="LX21" s="24"/>
    </row>
    <row r="22" spans="1:336" x14ac:dyDescent="0.3">
      <c r="A22" s="25">
        <v>45401</v>
      </c>
      <c r="B22" s="26">
        <v>0</v>
      </c>
      <c r="C22" s="26">
        <v>0</v>
      </c>
      <c r="D22" s="27">
        <f t="shared" si="0"/>
        <v>0</v>
      </c>
      <c r="E22" s="28">
        <v>1320</v>
      </c>
      <c r="F22" s="29">
        <v>1121</v>
      </c>
      <c r="G22" s="29">
        <v>4.1500000000000004</v>
      </c>
      <c r="H22" s="34" t="s">
        <v>32</v>
      </c>
      <c r="I22" s="34" t="s">
        <v>32</v>
      </c>
      <c r="J22" s="31" t="s">
        <v>32</v>
      </c>
      <c r="K22" s="34" t="s">
        <v>32</v>
      </c>
      <c r="L22" s="32" t="s">
        <v>32</v>
      </c>
      <c r="M22" s="32" t="s">
        <v>32</v>
      </c>
      <c r="N22" s="34" t="s">
        <v>32</v>
      </c>
      <c r="O22" s="28" t="s">
        <v>32</v>
      </c>
      <c r="P22" s="28" t="s">
        <v>32</v>
      </c>
      <c r="Q22" s="34" t="s">
        <v>32</v>
      </c>
      <c r="R22" s="34" t="s">
        <v>32</v>
      </c>
      <c r="S22" s="32" t="s">
        <v>32</v>
      </c>
      <c r="T22" s="32" t="s">
        <v>32</v>
      </c>
      <c r="U22" s="29" t="s">
        <v>32</v>
      </c>
      <c r="V22" s="28" t="s">
        <v>32</v>
      </c>
      <c r="W22" s="26" t="s">
        <v>32</v>
      </c>
      <c r="X22" s="34" t="s">
        <v>32</v>
      </c>
      <c r="Y22" s="34" t="s">
        <v>32</v>
      </c>
      <c r="Z22" s="34"/>
      <c r="AA22" s="33">
        <f t="shared" si="24"/>
        <v>0</v>
      </c>
      <c r="AB22" s="24"/>
      <c r="AC22" s="25">
        <v>45431</v>
      </c>
      <c r="AD22" s="26">
        <v>0</v>
      </c>
      <c r="AE22" s="26">
        <v>0</v>
      </c>
      <c r="AF22" s="27">
        <f t="shared" si="1"/>
        <v>0</v>
      </c>
      <c r="AG22" s="28">
        <v>4106</v>
      </c>
      <c r="AH22" s="29">
        <v>0</v>
      </c>
      <c r="AI22" s="29">
        <v>7.75</v>
      </c>
      <c r="AJ22" s="34" t="s">
        <v>32</v>
      </c>
      <c r="AK22" s="34" t="s">
        <v>32</v>
      </c>
      <c r="AL22" s="31" t="s">
        <v>32</v>
      </c>
      <c r="AM22" s="34" t="s">
        <v>32</v>
      </c>
      <c r="AN22" s="32" t="s">
        <v>32</v>
      </c>
      <c r="AO22" s="32" t="s">
        <v>32</v>
      </c>
      <c r="AP22" s="34" t="s">
        <v>32</v>
      </c>
      <c r="AQ22" s="28" t="s">
        <v>32</v>
      </c>
      <c r="AR22" s="28" t="s">
        <v>32</v>
      </c>
      <c r="AS22" s="34" t="s">
        <v>32</v>
      </c>
      <c r="AT22" s="34" t="s">
        <v>32</v>
      </c>
      <c r="AU22" s="32" t="s">
        <v>32</v>
      </c>
      <c r="AV22" s="32" t="s">
        <v>32</v>
      </c>
      <c r="AW22" s="29" t="s">
        <v>32</v>
      </c>
      <c r="AX22" s="28" t="s">
        <v>32</v>
      </c>
      <c r="AY22" s="26" t="s">
        <v>32</v>
      </c>
      <c r="AZ22" s="34" t="s">
        <v>32</v>
      </c>
      <c r="BA22" s="34" t="s">
        <v>32</v>
      </c>
      <c r="BB22" s="34"/>
      <c r="BC22" s="33">
        <f t="shared" si="25"/>
        <v>0</v>
      </c>
      <c r="BD22" s="24"/>
      <c r="BE22" s="25">
        <v>45462</v>
      </c>
      <c r="BF22" s="26">
        <v>0</v>
      </c>
      <c r="BG22" s="26">
        <v>0</v>
      </c>
      <c r="BH22" s="27">
        <f t="shared" si="2"/>
        <v>0</v>
      </c>
      <c r="BI22" s="28">
        <v>3070</v>
      </c>
      <c r="BJ22" s="29">
        <v>3725</v>
      </c>
      <c r="BK22" s="29">
        <v>8.5</v>
      </c>
      <c r="BL22" s="34" t="s">
        <v>32</v>
      </c>
      <c r="BM22" s="34" t="s">
        <v>32</v>
      </c>
      <c r="BN22" s="31" t="s">
        <v>32</v>
      </c>
      <c r="BO22" s="34" t="s">
        <v>32</v>
      </c>
      <c r="BP22" s="32" t="s">
        <v>32</v>
      </c>
      <c r="BQ22" s="32" t="s">
        <v>32</v>
      </c>
      <c r="BR22" s="34" t="s">
        <v>32</v>
      </c>
      <c r="BS22" s="28" t="s">
        <v>32</v>
      </c>
      <c r="BT22" s="28" t="s">
        <v>32</v>
      </c>
      <c r="BU22" s="34" t="s">
        <v>32</v>
      </c>
      <c r="BV22" s="34" t="s">
        <v>32</v>
      </c>
      <c r="BW22" s="32" t="s">
        <v>32</v>
      </c>
      <c r="BX22" s="32" t="s">
        <v>32</v>
      </c>
      <c r="BY22" s="29" t="s">
        <v>32</v>
      </c>
      <c r="BZ22" s="28" t="s">
        <v>32</v>
      </c>
      <c r="CA22" s="26" t="s">
        <v>32</v>
      </c>
      <c r="CB22" s="34" t="s">
        <v>32</v>
      </c>
      <c r="CC22" s="34" t="s">
        <v>32</v>
      </c>
      <c r="CD22" s="34"/>
      <c r="CE22" s="33">
        <f t="shared" si="26"/>
        <v>0</v>
      </c>
      <c r="CF22" s="24"/>
      <c r="CG22" s="25">
        <v>45492</v>
      </c>
      <c r="CH22" s="26">
        <v>0</v>
      </c>
      <c r="CI22" s="26">
        <v>0</v>
      </c>
      <c r="CJ22" s="27">
        <f t="shared" si="3"/>
        <v>0</v>
      </c>
      <c r="CK22" s="28">
        <v>2995</v>
      </c>
      <c r="CL22" s="29">
        <v>0</v>
      </c>
      <c r="CM22" s="29">
        <v>0</v>
      </c>
      <c r="CN22" s="34" t="s">
        <v>32</v>
      </c>
      <c r="CO22" s="34" t="s">
        <v>32</v>
      </c>
      <c r="CP22" s="31" t="s">
        <v>32</v>
      </c>
      <c r="CQ22" s="34" t="s">
        <v>32</v>
      </c>
      <c r="CR22" s="32" t="s">
        <v>32</v>
      </c>
      <c r="CS22" s="32" t="s">
        <v>32</v>
      </c>
      <c r="CT22" s="34" t="s">
        <v>32</v>
      </c>
      <c r="CU22" s="28" t="s">
        <v>32</v>
      </c>
      <c r="CV22" s="28" t="s">
        <v>32</v>
      </c>
      <c r="CW22" s="34" t="s">
        <v>32</v>
      </c>
      <c r="CX22" s="34" t="s">
        <v>32</v>
      </c>
      <c r="CY22" s="32" t="s">
        <v>32</v>
      </c>
      <c r="CZ22" s="32" t="s">
        <v>32</v>
      </c>
      <c r="DA22" s="29" t="s">
        <v>32</v>
      </c>
      <c r="DB22" s="28" t="s">
        <v>32</v>
      </c>
      <c r="DC22" s="26" t="s">
        <v>32</v>
      </c>
      <c r="DD22" s="34" t="s">
        <v>32</v>
      </c>
      <c r="DE22" s="34" t="s">
        <v>32</v>
      </c>
      <c r="DF22" s="34"/>
      <c r="DG22" s="33">
        <f t="shared" si="27"/>
        <v>0</v>
      </c>
      <c r="DH22" s="24"/>
      <c r="DI22" s="25">
        <v>45523</v>
      </c>
      <c r="DJ22" s="26">
        <v>0</v>
      </c>
      <c r="DK22" s="26">
        <v>0</v>
      </c>
      <c r="DL22" s="27">
        <f t="shared" si="4"/>
        <v>0</v>
      </c>
      <c r="DM22" s="28">
        <v>3418</v>
      </c>
      <c r="DN22" s="29">
        <v>4468</v>
      </c>
      <c r="DO22" s="29">
        <v>7.5</v>
      </c>
      <c r="DP22" s="34" t="s">
        <v>32</v>
      </c>
      <c r="DQ22" s="34" t="s">
        <v>32</v>
      </c>
      <c r="DR22" s="31" t="s">
        <v>32</v>
      </c>
      <c r="DS22" s="34" t="s">
        <v>32</v>
      </c>
      <c r="DT22" s="32" t="s">
        <v>32</v>
      </c>
      <c r="DU22" s="32" t="s">
        <v>32</v>
      </c>
      <c r="DV22" s="34" t="s">
        <v>32</v>
      </c>
      <c r="DW22" s="28" t="s">
        <v>32</v>
      </c>
      <c r="DX22" s="28" t="s">
        <v>32</v>
      </c>
      <c r="DY22" s="34" t="s">
        <v>32</v>
      </c>
      <c r="DZ22" s="34" t="s">
        <v>32</v>
      </c>
      <c r="EA22" s="32" t="s">
        <v>32</v>
      </c>
      <c r="EB22" s="32" t="s">
        <v>32</v>
      </c>
      <c r="EC22" s="29" t="s">
        <v>32</v>
      </c>
      <c r="ED22" s="28" t="s">
        <v>32</v>
      </c>
      <c r="EE22" s="26" t="s">
        <v>32</v>
      </c>
      <c r="EF22" s="34" t="s">
        <v>32</v>
      </c>
      <c r="EG22" s="34" t="s">
        <v>32</v>
      </c>
      <c r="EH22" s="34"/>
      <c r="EI22" s="33">
        <f t="shared" si="28"/>
        <v>0</v>
      </c>
      <c r="EJ22" s="24"/>
      <c r="EK22" s="25">
        <v>45554</v>
      </c>
      <c r="EL22" s="26">
        <v>7572</v>
      </c>
      <c r="EM22" s="26">
        <v>430770</v>
      </c>
      <c r="EN22" s="27">
        <f t="shared" si="5"/>
        <v>249606</v>
      </c>
      <c r="EO22" s="28">
        <v>4155</v>
      </c>
      <c r="EP22" s="29">
        <v>2959</v>
      </c>
      <c r="EQ22" s="29">
        <v>11</v>
      </c>
      <c r="ER22" s="34">
        <v>21872</v>
      </c>
      <c r="ES22" s="34">
        <v>26428</v>
      </c>
      <c r="ET22" s="31">
        <v>162616</v>
      </c>
      <c r="EU22" s="34" t="s">
        <v>32</v>
      </c>
      <c r="EV22" s="32" t="s">
        <v>32</v>
      </c>
      <c r="EW22" s="32" t="s">
        <v>32</v>
      </c>
      <c r="EX22" s="34">
        <v>37500</v>
      </c>
      <c r="EY22" s="28" t="s">
        <v>32</v>
      </c>
      <c r="EZ22" s="28" t="s">
        <v>32</v>
      </c>
      <c r="FA22" s="34">
        <v>1190</v>
      </c>
      <c r="FB22" s="34" t="s">
        <v>32</v>
      </c>
      <c r="FC22" s="32" t="s">
        <v>32</v>
      </c>
      <c r="FD22" s="32" t="s">
        <v>32</v>
      </c>
      <c r="FE22" s="29" t="s">
        <v>32</v>
      </c>
      <c r="FF22" s="28" t="s">
        <v>32</v>
      </c>
      <c r="FG22" s="26" t="s">
        <v>32</v>
      </c>
      <c r="FH22" s="34" t="s">
        <v>32</v>
      </c>
      <c r="FI22" s="34" t="s">
        <v>32</v>
      </c>
      <c r="FJ22" s="34"/>
      <c r="FK22" s="33">
        <f t="shared" si="29"/>
        <v>249606</v>
      </c>
      <c r="FL22" s="24"/>
      <c r="FM22" s="25">
        <v>45584</v>
      </c>
      <c r="FN22" s="26">
        <v>0</v>
      </c>
      <c r="FO22" s="26">
        <v>0</v>
      </c>
      <c r="FP22" s="27">
        <f t="shared" si="6"/>
        <v>0</v>
      </c>
      <c r="FQ22" s="28">
        <v>2611</v>
      </c>
      <c r="FR22" s="29">
        <v>4893</v>
      </c>
      <c r="FS22" s="29">
        <v>9</v>
      </c>
      <c r="FT22" s="34" t="s">
        <v>32</v>
      </c>
      <c r="FU22" s="34" t="s">
        <v>32</v>
      </c>
      <c r="FV22" s="31" t="s">
        <v>32</v>
      </c>
      <c r="FW22" s="34" t="s">
        <v>32</v>
      </c>
      <c r="FX22" s="32" t="s">
        <v>32</v>
      </c>
      <c r="FY22" s="32" t="s">
        <v>32</v>
      </c>
      <c r="FZ22" s="34" t="s">
        <v>32</v>
      </c>
      <c r="GA22" s="28" t="s">
        <v>32</v>
      </c>
      <c r="GB22" s="28" t="s">
        <v>32</v>
      </c>
      <c r="GC22" s="34" t="s">
        <v>32</v>
      </c>
      <c r="GD22" s="34" t="s">
        <v>32</v>
      </c>
      <c r="GE22" s="32" t="s">
        <v>32</v>
      </c>
      <c r="GF22" s="32" t="s">
        <v>32</v>
      </c>
      <c r="GG22" s="29" t="s">
        <v>32</v>
      </c>
      <c r="GH22" s="28" t="s">
        <v>32</v>
      </c>
      <c r="GI22" s="26" t="s">
        <v>32</v>
      </c>
      <c r="GJ22" s="34" t="s">
        <v>32</v>
      </c>
      <c r="GK22" s="34" t="s">
        <v>32</v>
      </c>
      <c r="GL22" s="34"/>
      <c r="GM22" s="33">
        <f t="shared" si="30"/>
        <v>0</v>
      </c>
      <c r="GN22" s="24"/>
      <c r="GO22" s="25">
        <v>45615</v>
      </c>
      <c r="GP22" s="26">
        <v>7311</v>
      </c>
      <c r="GQ22" s="26">
        <v>197187</v>
      </c>
      <c r="GR22" s="27">
        <f t="shared" si="7"/>
        <v>2115</v>
      </c>
      <c r="GS22" s="28">
        <v>1091</v>
      </c>
      <c r="GT22" s="29">
        <v>0</v>
      </c>
      <c r="GU22" s="29">
        <v>7</v>
      </c>
      <c r="GV22" s="34" t="s">
        <v>32</v>
      </c>
      <c r="GW22" s="34" t="s">
        <v>32</v>
      </c>
      <c r="GX22" s="31" t="s">
        <v>32</v>
      </c>
      <c r="GY22" s="34" t="s">
        <v>32</v>
      </c>
      <c r="GZ22" s="32" t="s">
        <v>32</v>
      </c>
      <c r="HA22" s="32" t="s">
        <v>32</v>
      </c>
      <c r="HB22" s="34" t="s">
        <v>32</v>
      </c>
      <c r="HC22" s="28" t="s">
        <v>32</v>
      </c>
      <c r="HD22" s="28">
        <v>500</v>
      </c>
      <c r="HE22" s="34">
        <v>1615</v>
      </c>
      <c r="HF22" s="34" t="s">
        <v>32</v>
      </c>
      <c r="HG22" s="32" t="s">
        <v>32</v>
      </c>
      <c r="HH22" s="32" t="s">
        <v>32</v>
      </c>
      <c r="HI22" s="29" t="s">
        <v>32</v>
      </c>
      <c r="HJ22" s="28" t="s">
        <v>32</v>
      </c>
      <c r="HK22" s="26" t="s">
        <v>32</v>
      </c>
      <c r="HL22" s="34" t="s">
        <v>32</v>
      </c>
      <c r="HM22" s="34" t="s">
        <v>32</v>
      </c>
      <c r="HN22" s="34"/>
      <c r="HO22" s="33">
        <f t="shared" si="31"/>
        <v>2115</v>
      </c>
      <c r="HP22" s="24"/>
      <c r="HQ22" s="25">
        <v>45645</v>
      </c>
      <c r="HR22" s="26">
        <v>0</v>
      </c>
      <c r="HS22" s="26">
        <v>0</v>
      </c>
      <c r="HT22" s="27">
        <f t="shared" si="8"/>
        <v>138450</v>
      </c>
      <c r="HU22" s="28">
        <v>2656</v>
      </c>
      <c r="HV22" s="29">
        <v>0</v>
      </c>
      <c r="HW22" s="29">
        <v>5.5</v>
      </c>
      <c r="HX22" s="34" t="s">
        <v>32</v>
      </c>
      <c r="HY22" s="34" t="s">
        <v>32</v>
      </c>
      <c r="HZ22" s="31" t="s">
        <v>32</v>
      </c>
      <c r="IA22" s="34">
        <v>20000</v>
      </c>
      <c r="IB22" s="32">
        <v>100000</v>
      </c>
      <c r="IC22" s="32" t="s">
        <v>32</v>
      </c>
      <c r="ID22" s="34">
        <v>16500</v>
      </c>
      <c r="IE22" s="28" t="s">
        <v>32</v>
      </c>
      <c r="IF22" s="28" t="s">
        <v>32</v>
      </c>
      <c r="IG22" s="34">
        <v>1950</v>
      </c>
      <c r="IH22" s="34" t="s">
        <v>32</v>
      </c>
      <c r="II22" s="32" t="s">
        <v>32</v>
      </c>
      <c r="IJ22" s="32" t="s">
        <v>32</v>
      </c>
      <c r="IK22" s="29" t="s">
        <v>32</v>
      </c>
      <c r="IL22" s="28" t="s">
        <v>32</v>
      </c>
      <c r="IM22" s="26" t="s">
        <v>32</v>
      </c>
      <c r="IN22" s="34" t="s">
        <v>32</v>
      </c>
      <c r="IO22" s="34" t="s">
        <v>32</v>
      </c>
      <c r="IP22" s="34"/>
      <c r="IQ22" s="33">
        <f t="shared" si="32"/>
        <v>138450</v>
      </c>
      <c r="IR22" s="24"/>
      <c r="IS22" s="25">
        <v>45676</v>
      </c>
      <c r="IT22" s="26">
        <v>0</v>
      </c>
      <c r="IU22" s="26">
        <v>0</v>
      </c>
      <c r="IV22" s="27">
        <f t="shared" si="9"/>
        <v>0</v>
      </c>
      <c r="IW22" s="28">
        <v>2320</v>
      </c>
      <c r="IX22" s="29">
        <v>0</v>
      </c>
      <c r="IY22" s="29">
        <v>4.4000000000000004</v>
      </c>
      <c r="IZ22" s="34" t="s">
        <v>32</v>
      </c>
      <c r="JA22" s="34" t="s">
        <v>32</v>
      </c>
      <c r="JB22" s="31" t="s">
        <v>32</v>
      </c>
      <c r="JC22" s="34" t="s">
        <v>32</v>
      </c>
      <c r="JD22" s="32" t="s">
        <v>32</v>
      </c>
      <c r="JE22" s="32" t="s">
        <v>32</v>
      </c>
      <c r="JF22" s="34" t="s">
        <v>32</v>
      </c>
      <c r="JG22" s="28" t="s">
        <v>32</v>
      </c>
      <c r="JH22" s="28" t="s">
        <v>32</v>
      </c>
      <c r="JI22" s="34" t="s">
        <v>32</v>
      </c>
      <c r="JJ22" s="34" t="s">
        <v>32</v>
      </c>
      <c r="JK22" s="32" t="s">
        <v>32</v>
      </c>
      <c r="JL22" s="32" t="s">
        <v>32</v>
      </c>
      <c r="JM22" s="29" t="s">
        <v>32</v>
      </c>
      <c r="JN22" s="28" t="s">
        <v>32</v>
      </c>
      <c r="JO22" s="26" t="s">
        <v>32</v>
      </c>
      <c r="JP22" s="34" t="s">
        <v>32</v>
      </c>
      <c r="JQ22" s="34" t="s">
        <v>32</v>
      </c>
      <c r="JR22" s="34"/>
      <c r="JS22" s="33">
        <f t="shared" si="33"/>
        <v>0</v>
      </c>
      <c r="JT22" s="24"/>
      <c r="JU22" s="25">
        <v>45707</v>
      </c>
      <c r="JV22" s="26">
        <v>800</v>
      </c>
      <c r="JW22" s="26">
        <v>53000</v>
      </c>
      <c r="JX22" s="27">
        <f t="shared" si="10"/>
        <v>48295</v>
      </c>
      <c r="JY22" s="28">
        <v>3273</v>
      </c>
      <c r="JZ22" s="29">
        <v>2699</v>
      </c>
      <c r="KA22" s="29">
        <v>8.5</v>
      </c>
      <c r="KB22" s="34" t="s">
        <v>32</v>
      </c>
      <c r="KC22" s="34" t="s">
        <v>32</v>
      </c>
      <c r="KD22" s="31">
        <v>20000</v>
      </c>
      <c r="KE22" s="34" t="s">
        <v>32</v>
      </c>
      <c r="KF22" s="32">
        <v>10000</v>
      </c>
      <c r="KG22" s="32">
        <v>5000</v>
      </c>
      <c r="KH22" s="34" t="s">
        <v>32</v>
      </c>
      <c r="KI22" s="28" t="s">
        <v>32</v>
      </c>
      <c r="KJ22" s="28" t="s">
        <v>32</v>
      </c>
      <c r="KK22" s="34">
        <v>295</v>
      </c>
      <c r="KL22" s="34" t="s">
        <v>32</v>
      </c>
      <c r="KM22" s="32" t="s">
        <v>32</v>
      </c>
      <c r="KN22" s="32" t="s">
        <v>32</v>
      </c>
      <c r="KQ22" s="29">
        <v>13000</v>
      </c>
      <c r="KR22" s="28" t="s">
        <v>93</v>
      </c>
      <c r="KS22" s="34" t="s">
        <v>32</v>
      </c>
      <c r="KT22" s="34"/>
      <c r="KU22" s="33">
        <f t="shared" si="34"/>
        <v>48295</v>
      </c>
      <c r="KV22" s="24"/>
      <c r="KW22" s="25">
        <v>45735</v>
      </c>
      <c r="KX22" s="26">
        <v>16601</v>
      </c>
      <c r="KY22" s="26">
        <v>1243687</v>
      </c>
      <c r="KZ22" s="27">
        <f t="shared" si="11"/>
        <v>3089</v>
      </c>
      <c r="LA22" s="28">
        <v>1373</v>
      </c>
      <c r="LB22" s="29">
        <v>2787</v>
      </c>
      <c r="LC22" s="29">
        <v>9</v>
      </c>
      <c r="LD22" s="34" t="s">
        <v>32</v>
      </c>
      <c r="LE22" s="34" t="s">
        <v>32</v>
      </c>
      <c r="LF22" s="31" t="s">
        <v>32</v>
      </c>
      <c r="LG22" s="34" t="s">
        <v>32</v>
      </c>
      <c r="LH22" s="32" t="s">
        <v>32</v>
      </c>
      <c r="LI22" s="32" t="s">
        <v>32</v>
      </c>
      <c r="LJ22" s="34" t="s">
        <v>32</v>
      </c>
      <c r="LK22" s="28" t="s">
        <v>32</v>
      </c>
      <c r="LL22" s="28" t="s">
        <v>32</v>
      </c>
      <c r="LM22" s="34">
        <v>3089</v>
      </c>
      <c r="LN22" s="34" t="s">
        <v>32</v>
      </c>
      <c r="LO22" s="32" t="s">
        <v>32</v>
      </c>
      <c r="LP22" s="32" t="s">
        <v>32</v>
      </c>
      <c r="LQ22" s="29" t="s">
        <v>32</v>
      </c>
      <c r="LR22" s="28" t="s">
        <v>32</v>
      </c>
      <c r="LS22" s="26" t="s">
        <v>32</v>
      </c>
      <c r="LT22" s="34" t="s">
        <v>32</v>
      </c>
      <c r="LU22" s="34" t="s">
        <v>32</v>
      </c>
      <c r="LV22" s="34"/>
      <c r="LW22" s="33">
        <f t="shared" si="35"/>
        <v>3089</v>
      </c>
      <c r="LX22" s="24"/>
    </row>
    <row r="23" spans="1:336" x14ac:dyDescent="0.3">
      <c r="A23" s="25">
        <v>45402</v>
      </c>
      <c r="B23" s="26">
        <v>938</v>
      </c>
      <c r="C23" s="26">
        <v>50020</v>
      </c>
      <c r="D23" s="27">
        <f t="shared" si="0"/>
        <v>21280</v>
      </c>
      <c r="E23" s="28">
        <v>2041</v>
      </c>
      <c r="F23" s="29">
        <v>707</v>
      </c>
      <c r="G23" s="29">
        <v>5.15</v>
      </c>
      <c r="H23" s="30" t="s">
        <v>32</v>
      </c>
      <c r="I23" s="30"/>
      <c r="J23" s="31" t="s">
        <v>33</v>
      </c>
      <c r="K23" s="30" t="s">
        <v>32</v>
      </c>
      <c r="L23" s="32" t="s">
        <v>32</v>
      </c>
      <c r="M23" s="32"/>
      <c r="N23" s="30">
        <v>20000</v>
      </c>
      <c r="O23" s="28"/>
      <c r="P23" s="28" t="s">
        <v>32</v>
      </c>
      <c r="Q23" s="30">
        <v>330</v>
      </c>
      <c r="R23" s="30" t="s">
        <v>32</v>
      </c>
      <c r="S23" s="32" t="s">
        <v>32</v>
      </c>
      <c r="T23" s="32" t="s">
        <v>32</v>
      </c>
      <c r="U23" s="29" t="s">
        <v>32</v>
      </c>
      <c r="V23" s="28" t="s">
        <v>32</v>
      </c>
      <c r="W23" s="26" t="s">
        <v>32</v>
      </c>
      <c r="X23" s="30" t="s">
        <v>32</v>
      </c>
      <c r="Y23" s="30">
        <v>950</v>
      </c>
      <c r="Z23" s="30" t="s">
        <v>74</v>
      </c>
      <c r="AA23" s="33">
        <f t="shared" si="24"/>
        <v>21280</v>
      </c>
      <c r="AB23" s="24"/>
      <c r="AC23" s="25">
        <v>45432</v>
      </c>
      <c r="AD23" s="26">
        <v>1057</v>
      </c>
      <c r="AE23" s="26">
        <v>54456</v>
      </c>
      <c r="AF23" s="27">
        <f t="shared" si="1"/>
        <v>91877</v>
      </c>
      <c r="AG23" s="28">
        <v>4100</v>
      </c>
      <c r="AH23" s="29">
        <v>0</v>
      </c>
      <c r="AI23" s="29">
        <v>3.35</v>
      </c>
      <c r="AJ23" s="30" t="s">
        <v>32</v>
      </c>
      <c r="AK23" s="30"/>
      <c r="AL23" s="31" t="s">
        <v>33</v>
      </c>
      <c r="AM23" s="30" t="s">
        <v>32</v>
      </c>
      <c r="AN23" s="32">
        <v>2600</v>
      </c>
      <c r="AO23" s="32"/>
      <c r="AP23" s="30" t="s">
        <v>32</v>
      </c>
      <c r="AQ23" s="28">
        <v>72137</v>
      </c>
      <c r="AR23" s="28" t="s">
        <v>32</v>
      </c>
      <c r="AS23" s="30" t="s">
        <v>32</v>
      </c>
      <c r="AT23" s="30" t="s">
        <v>32</v>
      </c>
      <c r="AU23" s="32" t="s">
        <v>32</v>
      </c>
      <c r="AV23" s="32" t="s">
        <v>32</v>
      </c>
      <c r="AW23" s="29" t="s">
        <v>32</v>
      </c>
      <c r="AX23" s="28" t="s">
        <v>32</v>
      </c>
      <c r="AY23" s="26" t="s">
        <v>32</v>
      </c>
      <c r="AZ23" s="30" t="s">
        <v>32</v>
      </c>
      <c r="BA23" s="30">
        <v>17140</v>
      </c>
      <c r="BB23" s="30" t="s">
        <v>77</v>
      </c>
      <c r="BC23" s="33">
        <f t="shared" si="25"/>
        <v>91877</v>
      </c>
      <c r="BD23" s="24"/>
      <c r="BE23" s="25">
        <v>45463</v>
      </c>
      <c r="BF23" s="26">
        <v>10369</v>
      </c>
      <c r="BG23" s="26">
        <v>548557</v>
      </c>
      <c r="BH23" s="27">
        <f t="shared" si="2"/>
        <v>367199</v>
      </c>
      <c r="BI23" s="28">
        <v>3666</v>
      </c>
      <c r="BJ23" s="29">
        <v>3690</v>
      </c>
      <c r="BK23" s="29">
        <v>9.5</v>
      </c>
      <c r="BL23" s="30">
        <v>29405</v>
      </c>
      <c r="BM23" s="30">
        <v>24894</v>
      </c>
      <c r="BN23" s="31">
        <v>59700</v>
      </c>
      <c r="BO23" s="30">
        <v>125000</v>
      </c>
      <c r="BP23" s="32" t="s">
        <v>32</v>
      </c>
      <c r="BQ23" s="32">
        <v>128200</v>
      </c>
      <c r="BR23" s="30" t="s">
        <v>32</v>
      </c>
      <c r="BS23" s="28"/>
      <c r="BT23" s="28" t="s">
        <v>32</v>
      </c>
      <c r="BU23" s="30" t="s">
        <v>32</v>
      </c>
      <c r="BV23" s="30" t="s">
        <v>32</v>
      </c>
      <c r="BW23" s="32" t="s">
        <v>32</v>
      </c>
      <c r="BX23" s="32" t="s">
        <v>32</v>
      </c>
      <c r="BY23" s="29" t="s">
        <v>32</v>
      </c>
      <c r="BZ23" s="28" t="s">
        <v>32</v>
      </c>
      <c r="CA23" s="26" t="s">
        <v>32</v>
      </c>
      <c r="CB23" s="30" t="s">
        <v>32</v>
      </c>
      <c r="CC23" s="30" t="s">
        <v>32</v>
      </c>
      <c r="CD23" s="30"/>
      <c r="CE23" s="33">
        <f t="shared" si="26"/>
        <v>367199</v>
      </c>
      <c r="CF23" s="24"/>
      <c r="CG23" s="25">
        <v>45493</v>
      </c>
      <c r="CH23" s="26">
        <v>132</v>
      </c>
      <c r="CI23" s="26">
        <v>6200</v>
      </c>
      <c r="CJ23" s="27">
        <f t="shared" si="3"/>
        <v>334180</v>
      </c>
      <c r="CK23" s="28">
        <v>3689</v>
      </c>
      <c r="CL23" s="29">
        <v>0</v>
      </c>
      <c r="CM23" s="29">
        <v>3.5</v>
      </c>
      <c r="CN23" s="30" t="s">
        <v>32</v>
      </c>
      <c r="CO23" s="30"/>
      <c r="CP23" s="31">
        <v>125238</v>
      </c>
      <c r="CQ23" s="30">
        <v>200000</v>
      </c>
      <c r="CR23" s="32">
        <v>8510</v>
      </c>
      <c r="CS23" s="32" t="s">
        <v>32</v>
      </c>
      <c r="CT23" s="30" t="s">
        <v>32</v>
      </c>
      <c r="CU23" s="28"/>
      <c r="CV23" s="28" t="s">
        <v>32</v>
      </c>
      <c r="CW23" s="30">
        <v>432</v>
      </c>
      <c r="CX23" s="30" t="s">
        <v>32</v>
      </c>
      <c r="CY23" s="32" t="s">
        <v>32</v>
      </c>
      <c r="CZ23" s="32" t="s">
        <v>32</v>
      </c>
      <c r="DA23" s="29" t="s">
        <v>32</v>
      </c>
      <c r="DB23" s="28" t="s">
        <v>32</v>
      </c>
      <c r="DC23" s="26" t="s">
        <v>32</v>
      </c>
      <c r="DD23" s="30" t="s">
        <v>32</v>
      </c>
      <c r="DE23" s="30" t="s">
        <v>32</v>
      </c>
      <c r="DF23" s="30"/>
      <c r="DG23" s="33">
        <f t="shared" si="27"/>
        <v>334180</v>
      </c>
      <c r="DH23" s="24"/>
      <c r="DI23" s="25">
        <v>45524</v>
      </c>
      <c r="DJ23" s="26">
        <v>0</v>
      </c>
      <c r="DK23" s="26">
        <v>0</v>
      </c>
      <c r="DL23" s="27">
        <f t="shared" si="4"/>
        <v>50852</v>
      </c>
      <c r="DM23" s="28">
        <v>3113</v>
      </c>
      <c r="DN23" s="29">
        <v>0</v>
      </c>
      <c r="DO23" s="29">
        <v>7</v>
      </c>
      <c r="DP23" s="30" t="s">
        <v>32</v>
      </c>
      <c r="DQ23" s="30"/>
      <c r="DR23" s="31">
        <v>10000</v>
      </c>
      <c r="DS23" s="30" t="s">
        <v>32</v>
      </c>
      <c r="DT23" s="32" t="s">
        <v>32</v>
      </c>
      <c r="DU23" s="32">
        <v>17800</v>
      </c>
      <c r="DV23" s="30" t="s">
        <v>32</v>
      </c>
      <c r="DW23" s="28"/>
      <c r="DX23" s="28">
        <v>3890</v>
      </c>
      <c r="DY23" s="30">
        <v>2162</v>
      </c>
      <c r="DZ23" s="30" t="s">
        <v>32</v>
      </c>
      <c r="EA23" s="32" t="s">
        <v>32</v>
      </c>
      <c r="EB23" s="32" t="s">
        <v>32</v>
      </c>
      <c r="EC23" s="29" t="s">
        <v>32</v>
      </c>
      <c r="ED23" s="28" t="s">
        <v>32</v>
      </c>
      <c r="EE23" s="26">
        <v>17000</v>
      </c>
      <c r="EF23" s="30" t="s">
        <v>90</v>
      </c>
      <c r="EG23" s="30" t="s">
        <v>32</v>
      </c>
      <c r="EH23" s="30"/>
      <c r="EI23" s="33">
        <f t="shared" si="28"/>
        <v>50852</v>
      </c>
      <c r="EJ23" s="24"/>
      <c r="EK23" s="25">
        <v>45555</v>
      </c>
      <c r="EL23" s="26">
        <v>1510</v>
      </c>
      <c r="EM23" s="26">
        <v>77580</v>
      </c>
      <c r="EN23" s="27">
        <f t="shared" si="5"/>
        <v>1165</v>
      </c>
      <c r="EO23" s="28">
        <v>3309</v>
      </c>
      <c r="EP23" s="29">
        <v>5869</v>
      </c>
      <c r="EQ23" s="29">
        <v>10.5</v>
      </c>
      <c r="ER23" s="30" t="s">
        <v>32</v>
      </c>
      <c r="ES23" s="30"/>
      <c r="ET23" s="31" t="s">
        <v>33</v>
      </c>
      <c r="EU23" s="30" t="s">
        <v>32</v>
      </c>
      <c r="EV23" s="32" t="s">
        <v>32</v>
      </c>
      <c r="EW23" s="32"/>
      <c r="EX23" s="30" t="s">
        <v>32</v>
      </c>
      <c r="EY23" s="28"/>
      <c r="EZ23" s="28" t="s">
        <v>32</v>
      </c>
      <c r="FA23" s="30">
        <v>1165</v>
      </c>
      <c r="FB23" s="30" t="s">
        <v>32</v>
      </c>
      <c r="FC23" s="32" t="s">
        <v>32</v>
      </c>
      <c r="FD23" s="32" t="s">
        <v>32</v>
      </c>
      <c r="FE23" s="29" t="s">
        <v>32</v>
      </c>
      <c r="FF23" s="28" t="s">
        <v>32</v>
      </c>
      <c r="FG23" s="26" t="s">
        <v>32</v>
      </c>
      <c r="FH23" s="30" t="s">
        <v>32</v>
      </c>
      <c r="FI23" s="30" t="s">
        <v>32</v>
      </c>
      <c r="FJ23" s="30"/>
      <c r="FK23" s="33">
        <f t="shared" si="29"/>
        <v>1165</v>
      </c>
      <c r="FL23" s="24"/>
      <c r="FM23" s="25">
        <v>45585</v>
      </c>
      <c r="FN23" s="26">
        <v>0</v>
      </c>
      <c r="FO23" s="26">
        <v>0</v>
      </c>
      <c r="FP23" s="27">
        <f t="shared" si="6"/>
        <v>77215</v>
      </c>
      <c r="FQ23" s="28">
        <v>3076</v>
      </c>
      <c r="FR23" s="29">
        <v>2637</v>
      </c>
      <c r="FS23" s="29">
        <v>7.25</v>
      </c>
      <c r="FT23" s="30">
        <v>10608</v>
      </c>
      <c r="FU23" s="30">
        <v>13792</v>
      </c>
      <c r="FV23" s="31">
        <v>50000</v>
      </c>
      <c r="FW23" s="30" t="s">
        <v>32</v>
      </c>
      <c r="FX23" s="32" t="s">
        <v>32</v>
      </c>
      <c r="FY23" s="32"/>
      <c r="FZ23" s="30" t="s">
        <v>32</v>
      </c>
      <c r="GA23" s="28"/>
      <c r="GB23" s="28" t="s">
        <v>32</v>
      </c>
      <c r="GC23" s="30">
        <v>2815</v>
      </c>
      <c r="GD23" s="30" t="s">
        <v>32</v>
      </c>
      <c r="GE23" s="32" t="s">
        <v>32</v>
      </c>
      <c r="GF23" s="32" t="s">
        <v>32</v>
      </c>
      <c r="GG23" s="29" t="s">
        <v>32</v>
      </c>
      <c r="GH23" s="28" t="s">
        <v>32</v>
      </c>
      <c r="GI23" s="26" t="s">
        <v>32</v>
      </c>
      <c r="GJ23" s="30" t="s">
        <v>32</v>
      </c>
      <c r="GK23" s="30" t="s">
        <v>32</v>
      </c>
      <c r="GL23" s="30"/>
      <c r="GM23" s="33">
        <f t="shared" si="30"/>
        <v>77215</v>
      </c>
      <c r="GN23" s="24"/>
      <c r="GO23" s="25">
        <v>45616</v>
      </c>
      <c r="GP23" s="26">
        <v>27</v>
      </c>
      <c r="GQ23" s="26">
        <v>1200</v>
      </c>
      <c r="GR23" s="27">
        <f t="shared" si="7"/>
        <v>11050</v>
      </c>
      <c r="GS23" s="28">
        <v>1153</v>
      </c>
      <c r="GT23" s="29">
        <v>1155</v>
      </c>
      <c r="GU23" s="29">
        <v>6.75</v>
      </c>
      <c r="GV23" s="30" t="s">
        <v>32</v>
      </c>
      <c r="GW23" s="30"/>
      <c r="GX23" s="31" t="s">
        <v>33</v>
      </c>
      <c r="GY23" s="30" t="s">
        <v>32</v>
      </c>
      <c r="GZ23" s="32">
        <v>900</v>
      </c>
      <c r="HA23" s="32"/>
      <c r="HB23" s="30" t="s">
        <v>32</v>
      </c>
      <c r="HC23" s="28"/>
      <c r="HD23" s="28" t="s">
        <v>32</v>
      </c>
      <c r="HE23" s="30">
        <v>2450</v>
      </c>
      <c r="HF23" s="30" t="s">
        <v>32</v>
      </c>
      <c r="HG23" s="32" t="s">
        <v>32</v>
      </c>
      <c r="HH23" s="32" t="s">
        <v>32</v>
      </c>
      <c r="HI23" s="29" t="s">
        <v>32</v>
      </c>
      <c r="HJ23" s="28" t="s">
        <v>40</v>
      </c>
      <c r="HK23" s="26">
        <v>4000</v>
      </c>
      <c r="HL23" s="30" t="s">
        <v>40</v>
      </c>
      <c r="HM23" s="30">
        <v>3700</v>
      </c>
      <c r="HN23" s="30" t="s">
        <v>116</v>
      </c>
      <c r="HO23" s="33">
        <f t="shared" si="31"/>
        <v>11050</v>
      </c>
      <c r="HP23" s="24"/>
      <c r="HQ23" s="25">
        <v>45646</v>
      </c>
      <c r="HR23" s="26">
        <v>0</v>
      </c>
      <c r="HS23" s="26">
        <v>0</v>
      </c>
      <c r="HT23" s="27">
        <f t="shared" si="8"/>
        <v>0</v>
      </c>
      <c r="HU23" s="28">
        <v>1523</v>
      </c>
      <c r="HV23" s="29">
        <v>0</v>
      </c>
      <c r="HW23" s="29">
        <v>3</v>
      </c>
      <c r="HX23" s="30" t="s">
        <v>32</v>
      </c>
      <c r="HY23" s="30"/>
      <c r="HZ23" s="31" t="s">
        <v>33</v>
      </c>
      <c r="IA23" s="30" t="s">
        <v>32</v>
      </c>
      <c r="IB23" s="32" t="s">
        <v>32</v>
      </c>
      <c r="IC23" s="32"/>
      <c r="ID23" s="30" t="s">
        <v>32</v>
      </c>
      <c r="IE23" s="28"/>
      <c r="IF23" s="28" t="s">
        <v>32</v>
      </c>
      <c r="IG23" s="30" t="s">
        <v>32</v>
      </c>
      <c r="IH23" s="30" t="s">
        <v>32</v>
      </c>
      <c r="II23" s="32" t="s">
        <v>32</v>
      </c>
      <c r="IJ23" s="32" t="s">
        <v>32</v>
      </c>
      <c r="IK23" s="29" t="s">
        <v>32</v>
      </c>
      <c r="IL23" s="28" t="s">
        <v>32</v>
      </c>
      <c r="IM23" s="26" t="s">
        <v>32</v>
      </c>
      <c r="IN23" s="30" t="s">
        <v>32</v>
      </c>
      <c r="IO23" s="30" t="s">
        <v>32</v>
      </c>
      <c r="IP23" s="30"/>
      <c r="IQ23" s="33">
        <f t="shared" si="32"/>
        <v>0</v>
      </c>
      <c r="IR23" s="24"/>
      <c r="IS23" s="25">
        <v>45677</v>
      </c>
      <c r="IT23" s="26">
        <v>2911</v>
      </c>
      <c r="IU23" s="26">
        <v>204602</v>
      </c>
      <c r="IV23" s="27">
        <f t="shared" si="9"/>
        <v>165071</v>
      </c>
      <c r="IW23" s="28">
        <v>2497</v>
      </c>
      <c r="IX23" s="29">
        <v>620</v>
      </c>
      <c r="IY23" s="29">
        <v>5.0999999999999996</v>
      </c>
      <c r="IZ23" s="30">
        <v>21228</v>
      </c>
      <c r="JA23" s="30">
        <v>40148</v>
      </c>
      <c r="JB23" s="31" t="s">
        <v>33</v>
      </c>
      <c r="JC23" s="30">
        <v>100000</v>
      </c>
      <c r="JD23" s="32">
        <v>300</v>
      </c>
      <c r="JE23" s="32"/>
      <c r="JF23" s="30" t="s">
        <v>32</v>
      </c>
      <c r="JG23" s="28"/>
      <c r="JH23" s="28" t="s">
        <v>32</v>
      </c>
      <c r="JI23" s="30">
        <v>3395</v>
      </c>
      <c r="JJ23" s="30" t="s">
        <v>32</v>
      </c>
      <c r="JK23" s="32" t="s">
        <v>32</v>
      </c>
      <c r="JL23" s="32" t="s">
        <v>32</v>
      </c>
      <c r="JM23" s="29" t="s">
        <v>32</v>
      </c>
      <c r="JN23" s="28" t="s">
        <v>32</v>
      </c>
      <c r="JO23" s="26" t="s">
        <v>32</v>
      </c>
      <c r="JP23" s="30" t="s">
        <v>32</v>
      </c>
      <c r="JQ23" s="30" t="s">
        <v>32</v>
      </c>
      <c r="JR23" s="30"/>
      <c r="JS23" s="33">
        <f t="shared" si="33"/>
        <v>165071</v>
      </c>
      <c r="JT23" s="24"/>
      <c r="JU23" s="25">
        <v>45708</v>
      </c>
      <c r="JV23" s="26">
        <v>0</v>
      </c>
      <c r="JW23" s="26">
        <v>0</v>
      </c>
      <c r="JX23" s="27">
        <f t="shared" si="10"/>
        <v>0</v>
      </c>
      <c r="JY23" s="28">
        <v>2475</v>
      </c>
      <c r="JZ23" s="29">
        <v>6011</v>
      </c>
      <c r="KA23" s="29">
        <v>8.75</v>
      </c>
      <c r="KB23" s="30" t="s">
        <v>32</v>
      </c>
      <c r="KC23" s="30"/>
      <c r="KD23" s="31" t="s">
        <v>33</v>
      </c>
      <c r="KE23" s="30" t="s">
        <v>32</v>
      </c>
      <c r="KF23" s="32" t="s">
        <v>32</v>
      </c>
      <c r="KG23" s="32"/>
      <c r="KH23" s="30" t="s">
        <v>32</v>
      </c>
      <c r="KI23" s="28"/>
      <c r="KJ23" s="28" t="s">
        <v>32</v>
      </c>
      <c r="KK23" s="30" t="s">
        <v>32</v>
      </c>
      <c r="KL23" s="30" t="s">
        <v>32</v>
      </c>
      <c r="KM23" s="32" t="s">
        <v>32</v>
      </c>
      <c r="KN23" s="32" t="s">
        <v>32</v>
      </c>
      <c r="KO23" s="29" t="s">
        <v>32</v>
      </c>
      <c r="KP23" s="28" t="s">
        <v>32</v>
      </c>
      <c r="KQ23" s="26" t="s">
        <v>32</v>
      </c>
      <c r="KR23" s="30" t="s">
        <v>32</v>
      </c>
      <c r="KS23" s="30" t="s">
        <v>32</v>
      </c>
      <c r="KT23" s="30"/>
      <c r="KU23" s="33">
        <f t="shared" si="34"/>
        <v>0</v>
      </c>
      <c r="KV23" s="24"/>
      <c r="KW23" s="25">
        <v>45736</v>
      </c>
      <c r="KX23" s="26">
        <v>0</v>
      </c>
      <c r="KY23" s="26">
        <v>0</v>
      </c>
      <c r="KZ23" s="27">
        <f t="shared" si="11"/>
        <v>0</v>
      </c>
      <c r="LA23" s="28">
        <v>0</v>
      </c>
      <c r="LB23" s="29">
        <v>4087</v>
      </c>
      <c r="LC23" s="29">
        <v>8.25</v>
      </c>
      <c r="LD23" s="30" t="s">
        <v>32</v>
      </c>
      <c r="LE23" s="30"/>
      <c r="LF23" s="31" t="s">
        <v>33</v>
      </c>
      <c r="LG23" s="30" t="s">
        <v>32</v>
      </c>
      <c r="LH23" s="32" t="s">
        <v>32</v>
      </c>
      <c r="LI23" s="32"/>
      <c r="LJ23" s="30" t="s">
        <v>32</v>
      </c>
      <c r="LK23" s="28"/>
      <c r="LL23" s="28" t="s">
        <v>32</v>
      </c>
      <c r="LM23" s="30" t="s">
        <v>32</v>
      </c>
      <c r="LN23" s="30" t="s">
        <v>32</v>
      </c>
      <c r="LO23" s="32" t="s">
        <v>32</v>
      </c>
      <c r="LP23" s="32" t="s">
        <v>32</v>
      </c>
      <c r="LQ23" s="29" t="s">
        <v>32</v>
      </c>
      <c r="LR23" s="28" t="s">
        <v>32</v>
      </c>
      <c r="LS23" s="26" t="s">
        <v>32</v>
      </c>
      <c r="LT23" s="30" t="s">
        <v>32</v>
      </c>
      <c r="LU23" s="30" t="s">
        <v>32</v>
      </c>
      <c r="LV23" s="30"/>
      <c r="LW23" s="33">
        <f t="shared" si="35"/>
        <v>0</v>
      </c>
      <c r="LX23" s="24"/>
    </row>
    <row r="24" spans="1:336" x14ac:dyDescent="0.3">
      <c r="A24" s="25">
        <v>45403</v>
      </c>
      <c r="B24" s="26">
        <v>0</v>
      </c>
      <c r="C24" s="26">
        <v>0</v>
      </c>
      <c r="D24" s="27">
        <f t="shared" si="0"/>
        <v>0</v>
      </c>
      <c r="E24" s="28">
        <v>3191</v>
      </c>
      <c r="F24" s="29">
        <v>2866</v>
      </c>
      <c r="G24" s="29">
        <v>8.75</v>
      </c>
      <c r="H24" s="34"/>
      <c r="I24" s="34"/>
      <c r="J24" s="31" t="s">
        <v>32</v>
      </c>
      <c r="K24" s="34" t="s">
        <v>32</v>
      </c>
      <c r="L24" s="32" t="s">
        <v>32</v>
      </c>
      <c r="M24" s="32"/>
      <c r="N24" s="34" t="s">
        <v>32</v>
      </c>
      <c r="O24" s="28" t="s">
        <v>32</v>
      </c>
      <c r="P24" s="28" t="s">
        <v>32</v>
      </c>
      <c r="Q24" s="34" t="s">
        <v>32</v>
      </c>
      <c r="R24" s="34" t="s">
        <v>32</v>
      </c>
      <c r="S24" s="32"/>
      <c r="T24" s="32" t="s">
        <v>32</v>
      </c>
      <c r="U24" s="29" t="s">
        <v>32</v>
      </c>
      <c r="V24" s="28" t="s">
        <v>32</v>
      </c>
      <c r="W24" s="26" t="s">
        <v>32</v>
      </c>
      <c r="X24" s="34" t="s">
        <v>32</v>
      </c>
      <c r="Y24" s="34" t="s">
        <v>32</v>
      </c>
      <c r="Z24" s="34"/>
      <c r="AA24" s="33">
        <f t="shared" si="24"/>
        <v>0</v>
      </c>
      <c r="AB24" s="24"/>
      <c r="AC24" s="25">
        <v>45433</v>
      </c>
      <c r="AD24" s="26">
        <v>0</v>
      </c>
      <c r="AE24" s="26">
        <v>0</v>
      </c>
      <c r="AF24" s="27">
        <f t="shared" si="1"/>
        <v>0</v>
      </c>
      <c r="AG24" s="28">
        <v>0</v>
      </c>
      <c r="AH24" s="29">
        <v>3378</v>
      </c>
      <c r="AI24" s="29">
        <v>6</v>
      </c>
      <c r="AJ24" s="34"/>
      <c r="AK24" s="34"/>
      <c r="AL24" s="31" t="s">
        <v>32</v>
      </c>
      <c r="AM24" s="34" t="s">
        <v>32</v>
      </c>
      <c r="AN24" s="32" t="s">
        <v>32</v>
      </c>
      <c r="AO24" s="32"/>
      <c r="AP24" s="34" t="s">
        <v>32</v>
      </c>
      <c r="AQ24" s="28" t="s">
        <v>32</v>
      </c>
      <c r="AR24" s="28" t="s">
        <v>32</v>
      </c>
      <c r="AS24" s="34" t="s">
        <v>32</v>
      </c>
      <c r="AT24" s="34" t="s">
        <v>32</v>
      </c>
      <c r="AU24" s="32"/>
      <c r="AV24" s="32" t="s">
        <v>32</v>
      </c>
      <c r="AW24" s="29" t="s">
        <v>32</v>
      </c>
      <c r="AX24" s="28" t="s">
        <v>32</v>
      </c>
      <c r="AY24" s="26" t="s">
        <v>32</v>
      </c>
      <c r="AZ24" s="34" t="s">
        <v>32</v>
      </c>
      <c r="BA24" s="34" t="s">
        <v>32</v>
      </c>
      <c r="BB24" s="34"/>
      <c r="BC24" s="33">
        <f t="shared" si="25"/>
        <v>0</v>
      </c>
      <c r="BD24" s="24"/>
      <c r="BE24" s="25">
        <v>45464</v>
      </c>
      <c r="BF24" s="26">
        <v>0</v>
      </c>
      <c r="BG24" s="26">
        <v>0</v>
      </c>
      <c r="BH24" s="27">
        <f t="shared" si="2"/>
        <v>0</v>
      </c>
      <c r="BI24" s="28">
        <v>1560</v>
      </c>
      <c r="BJ24" s="29">
        <v>684</v>
      </c>
      <c r="BK24" s="29">
        <v>9</v>
      </c>
      <c r="BL24" s="34"/>
      <c r="BM24" s="34"/>
      <c r="BN24" s="31" t="s">
        <v>32</v>
      </c>
      <c r="BO24" s="34" t="s">
        <v>32</v>
      </c>
      <c r="BP24" s="32" t="s">
        <v>32</v>
      </c>
      <c r="BQ24" s="32"/>
      <c r="BR24" s="34" t="s">
        <v>32</v>
      </c>
      <c r="BS24" s="28" t="s">
        <v>32</v>
      </c>
      <c r="BT24" s="28" t="s">
        <v>32</v>
      </c>
      <c r="BU24" s="34" t="s">
        <v>32</v>
      </c>
      <c r="BV24" s="34" t="s">
        <v>32</v>
      </c>
      <c r="BW24" s="32"/>
      <c r="BX24" s="32" t="s">
        <v>32</v>
      </c>
      <c r="BY24" s="29" t="s">
        <v>32</v>
      </c>
      <c r="BZ24" s="28" t="s">
        <v>32</v>
      </c>
      <c r="CA24" s="26" t="s">
        <v>32</v>
      </c>
      <c r="CB24" s="34" t="s">
        <v>32</v>
      </c>
      <c r="CC24" s="34" t="s">
        <v>32</v>
      </c>
      <c r="CD24" s="34"/>
      <c r="CE24" s="33">
        <f t="shared" si="26"/>
        <v>0</v>
      </c>
      <c r="CF24" s="24"/>
      <c r="CG24" s="25">
        <v>45494</v>
      </c>
      <c r="CH24" s="26">
        <v>0</v>
      </c>
      <c r="CI24" s="26">
        <v>0</v>
      </c>
      <c r="CJ24" s="27">
        <f t="shared" si="3"/>
        <v>0</v>
      </c>
      <c r="CK24" s="28">
        <v>714</v>
      </c>
      <c r="CL24" s="29">
        <v>0</v>
      </c>
      <c r="CM24" s="29">
        <v>6.15</v>
      </c>
      <c r="CN24" s="34"/>
      <c r="CO24" s="34"/>
      <c r="CP24" s="31" t="s">
        <v>32</v>
      </c>
      <c r="CQ24" s="34" t="s">
        <v>32</v>
      </c>
      <c r="CR24" s="32" t="s">
        <v>32</v>
      </c>
      <c r="CS24" s="32"/>
      <c r="CT24" s="34" t="s">
        <v>32</v>
      </c>
      <c r="CU24" s="28" t="s">
        <v>32</v>
      </c>
      <c r="CV24" s="28" t="s">
        <v>32</v>
      </c>
      <c r="CW24" s="34" t="s">
        <v>32</v>
      </c>
      <c r="CX24" s="34" t="s">
        <v>32</v>
      </c>
      <c r="CY24" s="32"/>
      <c r="CZ24" s="32" t="s">
        <v>32</v>
      </c>
      <c r="DA24" s="29" t="s">
        <v>32</v>
      </c>
      <c r="DB24" s="28" t="s">
        <v>32</v>
      </c>
      <c r="DC24" s="26" t="s">
        <v>32</v>
      </c>
      <c r="DD24" s="34" t="s">
        <v>32</v>
      </c>
      <c r="DE24" s="34" t="s">
        <v>32</v>
      </c>
      <c r="DF24" s="34"/>
      <c r="DG24" s="33">
        <f t="shared" si="27"/>
        <v>0</v>
      </c>
      <c r="DH24" s="24"/>
      <c r="DI24" s="25">
        <v>45525</v>
      </c>
      <c r="DJ24" s="26">
        <v>0</v>
      </c>
      <c r="DK24" s="26">
        <v>0</v>
      </c>
      <c r="DL24" s="27">
        <f t="shared" si="4"/>
        <v>0</v>
      </c>
      <c r="DM24" s="28">
        <v>771</v>
      </c>
      <c r="DN24" s="29">
        <v>0</v>
      </c>
      <c r="DO24" s="29">
        <v>6</v>
      </c>
      <c r="DP24" s="34"/>
      <c r="DQ24" s="34"/>
      <c r="DR24" s="31" t="s">
        <v>32</v>
      </c>
      <c r="DS24" s="34" t="s">
        <v>32</v>
      </c>
      <c r="DT24" s="32" t="s">
        <v>32</v>
      </c>
      <c r="DU24" s="32"/>
      <c r="DV24" s="34" t="s">
        <v>32</v>
      </c>
      <c r="DW24" s="28" t="s">
        <v>32</v>
      </c>
      <c r="DX24" s="28" t="s">
        <v>32</v>
      </c>
      <c r="DY24" s="34" t="s">
        <v>32</v>
      </c>
      <c r="DZ24" s="34" t="s">
        <v>32</v>
      </c>
      <c r="EA24" s="32"/>
      <c r="EB24" s="32" t="s">
        <v>32</v>
      </c>
      <c r="EC24" s="29" t="s">
        <v>32</v>
      </c>
      <c r="ED24" s="28" t="s">
        <v>32</v>
      </c>
      <c r="EE24" s="26" t="s">
        <v>32</v>
      </c>
      <c r="EF24" s="34" t="s">
        <v>32</v>
      </c>
      <c r="EG24" s="34" t="s">
        <v>32</v>
      </c>
      <c r="EH24" s="34"/>
      <c r="EI24" s="33">
        <f t="shared" si="28"/>
        <v>0</v>
      </c>
      <c r="EJ24" s="24"/>
      <c r="EK24" s="25">
        <v>45556</v>
      </c>
      <c r="EL24" s="26">
        <v>0</v>
      </c>
      <c r="EM24" s="26">
        <v>0</v>
      </c>
      <c r="EN24" s="27">
        <f t="shared" si="5"/>
        <v>0</v>
      </c>
      <c r="EO24" s="28">
        <v>3635</v>
      </c>
      <c r="EP24" s="29">
        <v>0</v>
      </c>
      <c r="EQ24" s="29">
        <v>10</v>
      </c>
      <c r="ER24" s="34"/>
      <c r="ES24" s="34"/>
      <c r="ET24" s="31" t="s">
        <v>32</v>
      </c>
      <c r="EU24" s="34" t="s">
        <v>32</v>
      </c>
      <c r="EV24" s="32" t="s">
        <v>32</v>
      </c>
      <c r="EW24" s="32"/>
      <c r="EX24" s="34" t="s">
        <v>32</v>
      </c>
      <c r="EY24" s="28" t="s">
        <v>32</v>
      </c>
      <c r="EZ24" s="28" t="s">
        <v>32</v>
      </c>
      <c r="FA24" s="34" t="s">
        <v>32</v>
      </c>
      <c r="FB24" s="34" t="s">
        <v>32</v>
      </c>
      <c r="FC24" s="32"/>
      <c r="FD24" s="32" t="s">
        <v>32</v>
      </c>
      <c r="FE24" s="29" t="s">
        <v>32</v>
      </c>
      <c r="FF24" s="28" t="s">
        <v>32</v>
      </c>
      <c r="FG24" s="26" t="s">
        <v>32</v>
      </c>
      <c r="FH24" s="34" t="s">
        <v>32</v>
      </c>
      <c r="FI24" s="34" t="s">
        <v>32</v>
      </c>
      <c r="FJ24" s="34"/>
      <c r="FK24" s="33">
        <f t="shared" si="29"/>
        <v>0</v>
      </c>
      <c r="FL24" s="24"/>
      <c r="FM24" s="25">
        <v>45586</v>
      </c>
      <c r="FN24" s="26">
        <v>233</v>
      </c>
      <c r="FO24" s="26">
        <v>12900</v>
      </c>
      <c r="FP24" s="27">
        <f t="shared" si="6"/>
        <v>32487</v>
      </c>
      <c r="FQ24" s="28">
        <v>3205</v>
      </c>
      <c r="FR24" s="29">
        <v>3526</v>
      </c>
      <c r="FS24" s="29">
        <v>10</v>
      </c>
      <c r="FT24" s="34"/>
      <c r="FU24" s="34"/>
      <c r="FV24" s="31" t="s">
        <v>32</v>
      </c>
      <c r="FW24" s="34" t="s">
        <v>32</v>
      </c>
      <c r="FX24" s="32" t="s">
        <v>32</v>
      </c>
      <c r="FY24" s="32">
        <v>1000</v>
      </c>
      <c r="FZ24" s="34" t="s">
        <v>32</v>
      </c>
      <c r="GA24" s="28">
        <v>500</v>
      </c>
      <c r="GB24" s="28">
        <v>500</v>
      </c>
      <c r="GC24" s="34">
        <v>487</v>
      </c>
      <c r="GD24" s="34" t="s">
        <v>32</v>
      </c>
      <c r="GE24" s="32">
        <v>20000</v>
      </c>
      <c r="GF24" s="32" t="s">
        <v>102</v>
      </c>
      <c r="GG24" s="29">
        <v>10000</v>
      </c>
      <c r="GH24" s="28" t="s">
        <v>32</v>
      </c>
      <c r="GI24" s="26" t="s">
        <v>32</v>
      </c>
      <c r="GJ24" s="34" t="s">
        <v>32</v>
      </c>
      <c r="GK24" s="34" t="s">
        <v>32</v>
      </c>
      <c r="GL24" s="34"/>
      <c r="GM24" s="33">
        <f t="shared" si="30"/>
        <v>32487</v>
      </c>
      <c r="GN24" s="24"/>
      <c r="GO24" s="25">
        <v>45617</v>
      </c>
      <c r="GP24" s="26">
        <v>0</v>
      </c>
      <c r="GQ24" s="26">
        <v>0</v>
      </c>
      <c r="GR24" s="27">
        <f t="shared" si="7"/>
        <v>0</v>
      </c>
      <c r="GS24" s="28">
        <v>1134</v>
      </c>
      <c r="GT24" s="29">
        <v>1443</v>
      </c>
      <c r="GU24" s="29">
        <v>8</v>
      </c>
      <c r="GV24" s="34"/>
      <c r="GW24" s="34"/>
      <c r="GX24" s="31" t="s">
        <v>32</v>
      </c>
      <c r="GY24" s="34" t="s">
        <v>32</v>
      </c>
      <c r="GZ24" s="32" t="s">
        <v>32</v>
      </c>
      <c r="HA24" s="32"/>
      <c r="HB24" s="34" t="s">
        <v>32</v>
      </c>
      <c r="HC24" s="28" t="s">
        <v>32</v>
      </c>
      <c r="HD24" s="28" t="s">
        <v>32</v>
      </c>
      <c r="HE24" s="34" t="s">
        <v>32</v>
      </c>
      <c r="HF24" s="34" t="s">
        <v>32</v>
      </c>
      <c r="HG24" s="32"/>
      <c r="HH24" s="32" t="s">
        <v>32</v>
      </c>
      <c r="HI24" s="29" t="s">
        <v>32</v>
      </c>
      <c r="HJ24" s="28" t="s">
        <v>32</v>
      </c>
      <c r="HK24" s="26" t="s">
        <v>32</v>
      </c>
      <c r="HL24" s="34" t="s">
        <v>32</v>
      </c>
      <c r="HM24" s="34" t="s">
        <v>32</v>
      </c>
      <c r="HN24" s="34"/>
      <c r="HO24" s="33">
        <f t="shared" si="31"/>
        <v>0</v>
      </c>
      <c r="HP24" s="24"/>
      <c r="HQ24" s="25">
        <v>45647</v>
      </c>
      <c r="HR24" s="26">
        <v>40</v>
      </c>
      <c r="HS24" s="26">
        <v>3000</v>
      </c>
      <c r="HT24" s="27">
        <f t="shared" si="8"/>
        <v>113570</v>
      </c>
      <c r="HU24" s="28">
        <v>3649</v>
      </c>
      <c r="HV24" s="29">
        <v>3847</v>
      </c>
      <c r="HW24" s="29">
        <v>6.5</v>
      </c>
      <c r="HX24" s="34">
        <v>40300</v>
      </c>
      <c r="HY24" s="34">
        <v>43700</v>
      </c>
      <c r="HZ24" s="31" t="s">
        <v>32</v>
      </c>
      <c r="IA24" s="34" t="s">
        <v>32</v>
      </c>
      <c r="IB24" s="32">
        <v>6690</v>
      </c>
      <c r="IC24" s="32">
        <v>20000</v>
      </c>
      <c r="ID24" s="34" t="s">
        <v>32</v>
      </c>
      <c r="IE24" s="28" t="s">
        <v>32</v>
      </c>
      <c r="IF24" s="28" t="s">
        <v>32</v>
      </c>
      <c r="IG24" s="34">
        <v>1380</v>
      </c>
      <c r="IH24" s="34" t="s">
        <v>32</v>
      </c>
      <c r="II24" s="32"/>
      <c r="IJ24" s="32" t="s">
        <v>32</v>
      </c>
      <c r="IK24" s="29" t="s">
        <v>32</v>
      </c>
      <c r="IL24" s="28" t="s">
        <v>32</v>
      </c>
      <c r="IM24" s="26">
        <v>1500</v>
      </c>
      <c r="IN24" s="34" t="s">
        <v>40</v>
      </c>
      <c r="IO24" s="34" t="s">
        <v>32</v>
      </c>
      <c r="IP24" s="34"/>
      <c r="IQ24" s="33">
        <f t="shared" si="32"/>
        <v>113570</v>
      </c>
      <c r="IR24" s="24"/>
      <c r="IS24" s="25">
        <v>45678</v>
      </c>
      <c r="IT24" s="26">
        <v>0</v>
      </c>
      <c r="IU24" s="26">
        <v>0</v>
      </c>
      <c r="IV24" s="27">
        <f t="shared" si="9"/>
        <v>0</v>
      </c>
      <c r="IW24" s="28">
        <v>3429</v>
      </c>
      <c r="IX24" s="29">
        <v>3017</v>
      </c>
      <c r="IY24" s="29">
        <v>8.15</v>
      </c>
      <c r="IZ24" s="34"/>
      <c r="JA24" s="34"/>
      <c r="JB24" s="31" t="s">
        <v>32</v>
      </c>
      <c r="JC24" s="34" t="s">
        <v>32</v>
      </c>
      <c r="JD24" s="32" t="s">
        <v>32</v>
      </c>
      <c r="JE24" s="32"/>
      <c r="JF24" s="34" t="s">
        <v>32</v>
      </c>
      <c r="JG24" s="28" t="s">
        <v>32</v>
      </c>
      <c r="JH24" s="28" t="s">
        <v>32</v>
      </c>
      <c r="JI24" s="34" t="s">
        <v>32</v>
      </c>
      <c r="JJ24" s="34" t="s">
        <v>32</v>
      </c>
      <c r="JK24" s="32"/>
      <c r="JL24" s="32" t="s">
        <v>32</v>
      </c>
      <c r="JM24" s="29" t="s">
        <v>32</v>
      </c>
      <c r="JN24" s="28" t="s">
        <v>32</v>
      </c>
      <c r="JO24" s="26" t="s">
        <v>32</v>
      </c>
      <c r="JP24" s="34" t="s">
        <v>32</v>
      </c>
      <c r="JQ24" s="34" t="s">
        <v>32</v>
      </c>
      <c r="JR24" s="34"/>
      <c r="JS24" s="33">
        <f t="shared" si="33"/>
        <v>0</v>
      </c>
      <c r="JT24" s="24"/>
      <c r="JU24" s="25">
        <v>45709</v>
      </c>
      <c r="JV24" s="26">
        <v>7628</v>
      </c>
      <c r="JW24" s="26">
        <v>497972</v>
      </c>
      <c r="JX24" s="27">
        <f t="shared" si="10"/>
        <v>11856</v>
      </c>
      <c r="JY24" s="28">
        <v>2223</v>
      </c>
      <c r="JZ24" s="29">
        <v>1015</v>
      </c>
      <c r="KA24" s="29">
        <v>6.75</v>
      </c>
      <c r="KB24" s="34"/>
      <c r="KC24" s="34"/>
      <c r="KD24" s="31" t="s">
        <v>32</v>
      </c>
      <c r="KE24" s="34">
        <v>340</v>
      </c>
      <c r="KF24" s="32">
        <v>8250</v>
      </c>
      <c r="KG24" s="32"/>
      <c r="KH24" s="34" t="s">
        <v>32</v>
      </c>
      <c r="KI24" s="28" t="s">
        <v>32</v>
      </c>
      <c r="KJ24" s="28">
        <v>500</v>
      </c>
      <c r="KK24" s="34">
        <v>566</v>
      </c>
      <c r="KL24" s="34" t="s">
        <v>32</v>
      </c>
      <c r="KM24" s="32"/>
      <c r="KN24" s="32" t="s">
        <v>32</v>
      </c>
      <c r="KQ24" s="29">
        <v>2200</v>
      </c>
      <c r="KR24" s="28" t="s">
        <v>40</v>
      </c>
      <c r="KS24" s="34" t="s">
        <v>32</v>
      </c>
      <c r="KT24" s="34"/>
      <c r="KU24" s="33">
        <f t="shared" si="34"/>
        <v>11856</v>
      </c>
      <c r="KV24" s="24"/>
      <c r="KW24" s="25">
        <v>45737</v>
      </c>
      <c r="KX24" s="26">
        <v>7755</v>
      </c>
      <c r="KY24" s="26">
        <v>560006</v>
      </c>
      <c r="KZ24" s="27">
        <f t="shared" si="11"/>
        <v>49125</v>
      </c>
      <c r="LA24" s="28">
        <v>2217</v>
      </c>
      <c r="LB24" s="29">
        <v>1168</v>
      </c>
      <c r="LC24" s="29">
        <v>11.75</v>
      </c>
      <c r="LD24" s="34"/>
      <c r="LE24" s="34"/>
      <c r="LF24" s="31">
        <v>22000</v>
      </c>
      <c r="LG24" s="34" t="s">
        <v>32</v>
      </c>
      <c r="LH24" s="32">
        <v>1600</v>
      </c>
      <c r="LI24" s="32"/>
      <c r="LJ24" s="34">
        <v>22500</v>
      </c>
      <c r="LK24" s="28" t="s">
        <v>32</v>
      </c>
      <c r="LL24" s="28" t="s">
        <v>32</v>
      </c>
      <c r="LM24" s="34">
        <v>925</v>
      </c>
      <c r="LN24" s="34" t="s">
        <v>32</v>
      </c>
      <c r="LO24" s="32"/>
      <c r="LP24" s="32" t="s">
        <v>32</v>
      </c>
      <c r="LQ24" s="29" t="s">
        <v>32</v>
      </c>
      <c r="LR24" s="28" t="s">
        <v>32</v>
      </c>
      <c r="LS24" s="26" t="s">
        <v>32</v>
      </c>
      <c r="LT24" s="34" t="s">
        <v>32</v>
      </c>
      <c r="LU24" s="34">
        <v>2100</v>
      </c>
      <c r="LV24" s="34" t="s">
        <v>74</v>
      </c>
      <c r="LW24" s="33">
        <f t="shared" si="35"/>
        <v>49125</v>
      </c>
      <c r="LX24" s="24"/>
    </row>
    <row r="25" spans="1:336" x14ac:dyDescent="0.3">
      <c r="A25" s="25">
        <v>45404</v>
      </c>
      <c r="B25" s="26">
        <v>17.100000000000001</v>
      </c>
      <c r="C25" s="26">
        <v>1100</v>
      </c>
      <c r="D25" s="27">
        <f t="shared" si="0"/>
        <v>312280</v>
      </c>
      <c r="E25" s="28">
        <v>0</v>
      </c>
      <c r="F25" s="29">
        <v>3079</v>
      </c>
      <c r="G25" s="29">
        <v>9</v>
      </c>
      <c r="H25" s="34">
        <v>9528</v>
      </c>
      <c r="I25" s="34">
        <v>11472</v>
      </c>
      <c r="J25" s="31">
        <v>100000</v>
      </c>
      <c r="K25" s="34">
        <v>140000</v>
      </c>
      <c r="L25" s="32" t="s">
        <v>32</v>
      </c>
      <c r="M25" s="32" t="s">
        <v>32</v>
      </c>
      <c r="N25" s="34">
        <v>50000</v>
      </c>
      <c r="O25" s="28" t="s">
        <v>32</v>
      </c>
      <c r="P25" s="28" t="s">
        <v>32</v>
      </c>
      <c r="Q25" s="34">
        <v>460</v>
      </c>
      <c r="R25" s="34" t="s">
        <v>32</v>
      </c>
      <c r="S25" s="32" t="s">
        <v>32</v>
      </c>
      <c r="T25" s="32" t="s">
        <v>32</v>
      </c>
      <c r="U25" s="29">
        <v>820</v>
      </c>
      <c r="V25" s="28" t="s">
        <v>32</v>
      </c>
      <c r="W25" s="26" t="s">
        <v>32</v>
      </c>
      <c r="X25" s="34" t="s">
        <v>32</v>
      </c>
      <c r="Y25" s="34" t="s">
        <v>32</v>
      </c>
      <c r="Z25" s="34"/>
      <c r="AA25" s="33">
        <f t="shared" si="24"/>
        <v>312280</v>
      </c>
      <c r="AB25" s="24"/>
      <c r="AC25" s="25">
        <v>45434</v>
      </c>
      <c r="AD25" s="26">
        <v>11934</v>
      </c>
      <c r="AE25" s="26">
        <v>944321</v>
      </c>
      <c r="AF25" s="27">
        <f t="shared" si="1"/>
        <v>8850</v>
      </c>
      <c r="AG25" s="28">
        <v>0</v>
      </c>
      <c r="AH25" s="29">
        <v>4253</v>
      </c>
      <c r="AI25" s="29">
        <v>9</v>
      </c>
      <c r="AJ25" s="34" t="s">
        <v>32</v>
      </c>
      <c r="AK25" s="34"/>
      <c r="AL25" s="31" t="s">
        <v>32</v>
      </c>
      <c r="AM25" s="34" t="s">
        <v>32</v>
      </c>
      <c r="AN25" s="32" t="s">
        <v>32</v>
      </c>
      <c r="AO25" s="32" t="s">
        <v>32</v>
      </c>
      <c r="AP25" s="34"/>
      <c r="AQ25" s="28" t="s">
        <v>32</v>
      </c>
      <c r="AR25" s="28" t="s">
        <v>32</v>
      </c>
      <c r="AS25" s="34" t="s">
        <v>32</v>
      </c>
      <c r="AT25" s="34" t="s">
        <v>32</v>
      </c>
      <c r="AU25" s="32" t="s">
        <v>32</v>
      </c>
      <c r="AV25" s="32" t="s">
        <v>32</v>
      </c>
      <c r="AW25" s="29" t="s">
        <v>32</v>
      </c>
      <c r="AX25" s="28" t="s">
        <v>32</v>
      </c>
      <c r="AY25" s="26">
        <v>8850</v>
      </c>
      <c r="AZ25" s="34" t="s">
        <v>32</v>
      </c>
      <c r="BA25" s="34" t="s">
        <v>32</v>
      </c>
      <c r="BB25" s="34"/>
      <c r="BC25" s="33">
        <f t="shared" si="25"/>
        <v>8850</v>
      </c>
      <c r="BD25" s="24"/>
      <c r="BE25" s="25">
        <v>45465</v>
      </c>
      <c r="BF25" s="26">
        <v>9006</v>
      </c>
      <c r="BG25" s="26">
        <v>740463</v>
      </c>
      <c r="BH25" s="27">
        <f t="shared" si="2"/>
        <v>148546</v>
      </c>
      <c r="BI25" s="28">
        <v>618</v>
      </c>
      <c r="BJ25" s="29">
        <v>3424</v>
      </c>
      <c r="BK25" s="29">
        <v>7.5</v>
      </c>
      <c r="BL25" s="34" t="s">
        <v>32</v>
      </c>
      <c r="BM25" s="34"/>
      <c r="BN25" s="31">
        <v>124600</v>
      </c>
      <c r="BO25" s="34" t="s">
        <v>32</v>
      </c>
      <c r="BP25" s="32">
        <v>7561</v>
      </c>
      <c r="BQ25" s="32">
        <v>8825</v>
      </c>
      <c r="BR25" s="34"/>
      <c r="BS25" s="28" t="s">
        <v>32</v>
      </c>
      <c r="BT25" s="28">
        <v>700</v>
      </c>
      <c r="BU25" s="34">
        <v>1160</v>
      </c>
      <c r="BV25" s="34" t="s">
        <v>32</v>
      </c>
      <c r="BW25" s="32" t="s">
        <v>32</v>
      </c>
      <c r="BX25" s="32" t="s">
        <v>32</v>
      </c>
      <c r="BY25" s="29" t="s">
        <v>32</v>
      </c>
      <c r="BZ25" s="28" t="s">
        <v>32</v>
      </c>
      <c r="CA25" s="26">
        <v>5700</v>
      </c>
      <c r="CB25" s="34" t="s">
        <v>40</v>
      </c>
      <c r="CC25" s="34" t="s">
        <v>32</v>
      </c>
      <c r="CD25" s="34"/>
      <c r="CE25" s="33">
        <f t="shared" si="26"/>
        <v>148546</v>
      </c>
      <c r="CF25" s="24"/>
      <c r="CG25" s="25">
        <v>45495</v>
      </c>
      <c r="CH25" s="26">
        <v>8532</v>
      </c>
      <c r="CI25" s="26">
        <v>631031</v>
      </c>
      <c r="CJ25" s="27">
        <f t="shared" si="3"/>
        <v>71885</v>
      </c>
      <c r="CK25" s="28">
        <v>3387</v>
      </c>
      <c r="CL25" s="29">
        <v>3876</v>
      </c>
      <c r="CM25" s="29">
        <v>9.5</v>
      </c>
      <c r="CN25" s="34" t="s">
        <v>32</v>
      </c>
      <c r="CO25" s="34"/>
      <c r="CP25" s="31" t="s">
        <v>32</v>
      </c>
      <c r="CQ25" s="34" t="s">
        <v>32</v>
      </c>
      <c r="CR25" s="32" t="s">
        <v>32</v>
      </c>
      <c r="CS25" s="32">
        <v>18900</v>
      </c>
      <c r="CT25" s="34">
        <v>50000</v>
      </c>
      <c r="CU25" s="28" t="s">
        <v>32</v>
      </c>
      <c r="CV25" s="28" t="s">
        <v>32</v>
      </c>
      <c r="CW25" s="34">
        <v>1085</v>
      </c>
      <c r="CX25" s="34" t="s">
        <v>32</v>
      </c>
      <c r="CY25" s="32" t="s">
        <v>32</v>
      </c>
      <c r="CZ25" s="32" t="s">
        <v>32</v>
      </c>
      <c r="DA25" s="29">
        <v>1900</v>
      </c>
      <c r="DB25" s="28" t="s">
        <v>32</v>
      </c>
      <c r="DC25" s="26" t="s">
        <v>32</v>
      </c>
      <c r="DD25" s="34" t="s">
        <v>32</v>
      </c>
      <c r="DE25" s="34" t="s">
        <v>32</v>
      </c>
      <c r="DF25" s="34"/>
      <c r="DG25" s="33">
        <f t="shared" si="27"/>
        <v>71885</v>
      </c>
      <c r="DH25" s="24"/>
      <c r="DI25" s="25">
        <v>45526</v>
      </c>
      <c r="DJ25" s="26">
        <v>0</v>
      </c>
      <c r="DK25" s="26">
        <v>0</v>
      </c>
      <c r="DL25" s="27">
        <f t="shared" si="4"/>
        <v>51280</v>
      </c>
      <c r="DM25" s="28">
        <v>2600</v>
      </c>
      <c r="DN25" s="29">
        <v>3655</v>
      </c>
      <c r="DO25" s="29">
        <v>7.5</v>
      </c>
      <c r="DP25" s="34" t="s">
        <v>32</v>
      </c>
      <c r="DQ25" s="34"/>
      <c r="DR25" s="31" t="s">
        <v>32</v>
      </c>
      <c r="DS25" s="34" t="s">
        <v>32</v>
      </c>
      <c r="DT25" s="32">
        <v>350</v>
      </c>
      <c r="DU25" s="32" t="s">
        <v>32</v>
      </c>
      <c r="DV25" s="34">
        <v>50000</v>
      </c>
      <c r="DW25" s="28" t="s">
        <v>32</v>
      </c>
      <c r="DX25" s="28" t="s">
        <v>32</v>
      </c>
      <c r="DY25" s="34">
        <v>930</v>
      </c>
      <c r="DZ25" s="34" t="s">
        <v>32</v>
      </c>
      <c r="EA25" s="32" t="s">
        <v>32</v>
      </c>
      <c r="EB25" s="32" t="s">
        <v>32</v>
      </c>
      <c r="EC25" s="29" t="s">
        <v>32</v>
      </c>
      <c r="ED25" s="28" t="s">
        <v>32</v>
      </c>
      <c r="EE25" s="26" t="s">
        <v>32</v>
      </c>
      <c r="EF25" s="34" t="s">
        <v>32</v>
      </c>
      <c r="EG25" s="34" t="s">
        <v>32</v>
      </c>
      <c r="EH25" s="34"/>
      <c r="EI25" s="33">
        <f t="shared" si="28"/>
        <v>51280</v>
      </c>
      <c r="EJ25" s="24"/>
      <c r="EK25" s="25">
        <v>45557</v>
      </c>
      <c r="EL25" s="26">
        <v>22248</v>
      </c>
      <c r="EM25" s="26">
        <v>1216519</v>
      </c>
      <c r="EN25" s="27">
        <f t="shared" si="5"/>
        <v>176168</v>
      </c>
      <c r="EO25" s="28">
        <v>3558</v>
      </c>
      <c r="EP25" s="29">
        <v>5859</v>
      </c>
      <c r="EQ25" s="29">
        <v>11</v>
      </c>
      <c r="ER25" s="34" t="s">
        <v>32</v>
      </c>
      <c r="ES25" s="34"/>
      <c r="ET25" s="31">
        <v>31000</v>
      </c>
      <c r="EU25" s="34">
        <v>128840</v>
      </c>
      <c r="EV25" s="32">
        <v>390</v>
      </c>
      <c r="EW25" s="32">
        <v>8090</v>
      </c>
      <c r="EX25" s="34"/>
      <c r="EY25" s="28" t="s">
        <v>32</v>
      </c>
      <c r="EZ25" s="28">
        <v>500</v>
      </c>
      <c r="FA25" s="34">
        <v>7348</v>
      </c>
      <c r="FB25" s="34" t="s">
        <v>32</v>
      </c>
      <c r="FC25" s="32" t="s">
        <v>32</v>
      </c>
      <c r="FD25" s="32" t="s">
        <v>32</v>
      </c>
      <c r="FE25" s="29" t="s">
        <v>32</v>
      </c>
      <c r="FF25" s="28" t="s">
        <v>32</v>
      </c>
      <c r="FG25" s="26" t="s">
        <v>32</v>
      </c>
      <c r="FH25" s="34" t="s">
        <v>32</v>
      </c>
      <c r="FI25" s="34" t="s">
        <v>32</v>
      </c>
      <c r="FJ25" s="34"/>
      <c r="FK25" s="33">
        <f t="shared" si="29"/>
        <v>176168</v>
      </c>
      <c r="FL25" s="24"/>
      <c r="FM25" s="25">
        <v>45587</v>
      </c>
      <c r="FN25" s="26">
        <v>167</v>
      </c>
      <c r="FO25" s="26">
        <v>9350</v>
      </c>
      <c r="FP25" s="27">
        <f t="shared" si="6"/>
        <v>223428</v>
      </c>
      <c r="FQ25" s="28">
        <v>3723</v>
      </c>
      <c r="FR25" s="29">
        <v>1254</v>
      </c>
      <c r="FS25" s="29">
        <v>8</v>
      </c>
      <c r="FT25" s="34" t="s">
        <v>32</v>
      </c>
      <c r="FU25" s="34"/>
      <c r="FV25" s="31" t="s">
        <v>32</v>
      </c>
      <c r="FW25" s="34">
        <v>180000</v>
      </c>
      <c r="FX25" s="32" t="s">
        <v>32</v>
      </c>
      <c r="FY25" s="32">
        <v>3000</v>
      </c>
      <c r="FZ25" s="34"/>
      <c r="GA25" s="28" t="s">
        <v>32</v>
      </c>
      <c r="GB25" s="28" t="s">
        <v>32</v>
      </c>
      <c r="GC25" s="34">
        <v>428</v>
      </c>
      <c r="GD25" s="34" t="s">
        <v>32</v>
      </c>
      <c r="GE25" s="32" t="s">
        <v>32</v>
      </c>
      <c r="GF25" s="32" t="s">
        <v>32</v>
      </c>
      <c r="GG25" s="29" t="s">
        <v>32</v>
      </c>
      <c r="GH25" s="28" t="s">
        <v>32</v>
      </c>
      <c r="GI25" s="26">
        <v>40000</v>
      </c>
      <c r="GJ25" s="34" t="s">
        <v>57</v>
      </c>
      <c r="GK25" s="34" t="s">
        <v>32</v>
      </c>
      <c r="GL25" s="34"/>
      <c r="GM25" s="33">
        <f t="shared" si="30"/>
        <v>223428</v>
      </c>
      <c r="GN25" s="24"/>
      <c r="GO25" s="25">
        <v>45618</v>
      </c>
      <c r="GP25" s="26">
        <v>0</v>
      </c>
      <c r="GQ25" s="26">
        <v>0</v>
      </c>
      <c r="GR25" s="27">
        <f t="shared" si="7"/>
        <v>348804</v>
      </c>
      <c r="GS25" s="28">
        <v>3851</v>
      </c>
      <c r="GT25" s="29">
        <v>0</v>
      </c>
      <c r="GU25" s="29">
        <v>4</v>
      </c>
      <c r="GV25" s="34">
        <v>25000</v>
      </c>
      <c r="GW25" s="34">
        <v>30200</v>
      </c>
      <c r="GX25" s="31">
        <v>150000</v>
      </c>
      <c r="GY25" s="34">
        <v>80000</v>
      </c>
      <c r="GZ25" s="32" t="s">
        <v>32</v>
      </c>
      <c r="HA25" s="32" t="s">
        <v>32</v>
      </c>
      <c r="HB25" s="34">
        <v>49000</v>
      </c>
      <c r="HC25" s="28" t="s">
        <v>32</v>
      </c>
      <c r="HD25" s="28" t="s">
        <v>32</v>
      </c>
      <c r="HE25" s="34">
        <v>604</v>
      </c>
      <c r="HF25" s="34" t="s">
        <v>32</v>
      </c>
      <c r="HG25" s="32">
        <v>14000</v>
      </c>
      <c r="HH25" s="32" t="s">
        <v>107</v>
      </c>
      <c r="HI25" s="29" t="s">
        <v>32</v>
      </c>
      <c r="HJ25" s="28" t="s">
        <v>32</v>
      </c>
      <c r="HK25" s="26" t="s">
        <v>32</v>
      </c>
      <c r="HL25" s="34" t="s">
        <v>32</v>
      </c>
      <c r="HM25" s="34" t="s">
        <v>32</v>
      </c>
      <c r="HN25" s="34"/>
      <c r="HO25" s="33">
        <f t="shared" si="31"/>
        <v>348804</v>
      </c>
      <c r="HP25" s="24"/>
      <c r="HQ25" s="25">
        <v>45648</v>
      </c>
      <c r="HR25" s="26">
        <v>8189</v>
      </c>
      <c r="HS25" s="26">
        <v>540341</v>
      </c>
      <c r="HT25" s="27">
        <f t="shared" si="8"/>
        <v>62330</v>
      </c>
      <c r="HU25" s="28">
        <v>2798</v>
      </c>
      <c r="HV25" s="29">
        <v>4245</v>
      </c>
      <c r="HW25" s="29">
        <v>7</v>
      </c>
      <c r="HX25" s="34">
        <v>18000</v>
      </c>
      <c r="HY25" s="34">
        <v>15000</v>
      </c>
      <c r="HZ25" s="31" t="s">
        <v>32</v>
      </c>
      <c r="IA25" s="34" t="s">
        <v>32</v>
      </c>
      <c r="IB25" s="32">
        <v>2930</v>
      </c>
      <c r="IC25" s="32" t="s">
        <v>32</v>
      </c>
      <c r="ID25" s="34">
        <v>20000</v>
      </c>
      <c r="IE25" s="28" t="s">
        <v>32</v>
      </c>
      <c r="IF25" s="28" t="s">
        <v>32</v>
      </c>
      <c r="IG25" s="34">
        <v>5300</v>
      </c>
      <c r="IH25" s="34" t="s">
        <v>32</v>
      </c>
      <c r="II25" s="32" t="s">
        <v>32</v>
      </c>
      <c r="IJ25" s="32" t="s">
        <v>32</v>
      </c>
      <c r="IK25" s="29">
        <v>1100</v>
      </c>
      <c r="IL25" s="28" t="s">
        <v>32</v>
      </c>
      <c r="IM25" s="26" t="s">
        <v>32</v>
      </c>
      <c r="IN25" s="34" t="s">
        <v>32</v>
      </c>
      <c r="IO25" s="34" t="s">
        <v>32</v>
      </c>
      <c r="IP25" s="34"/>
      <c r="IQ25" s="33">
        <f t="shared" si="32"/>
        <v>62330</v>
      </c>
      <c r="IR25" s="24"/>
      <c r="IS25" s="25">
        <v>45679</v>
      </c>
      <c r="IT25" s="26">
        <v>5862</v>
      </c>
      <c r="IU25" s="26">
        <v>323720</v>
      </c>
      <c r="IV25" s="27">
        <f t="shared" si="9"/>
        <v>435969</v>
      </c>
      <c r="IW25" s="28">
        <v>3828</v>
      </c>
      <c r="IX25" s="29">
        <v>462</v>
      </c>
      <c r="IY25" s="29">
        <v>7</v>
      </c>
      <c r="IZ25" s="34" t="s">
        <v>32</v>
      </c>
      <c r="JA25" s="34"/>
      <c r="JB25" s="31" t="s">
        <v>32</v>
      </c>
      <c r="JC25" s="34">
        <v>30000</v>
      </c>
      <c r="JD25" s="32" t="s">
        <v>32</v>
      </c>
      <c r="JE25" s="32" t="s">
        <v>32</v>
      </c>
      <c r="JF25" s="34"/>
      <c r="JG25" s="28" t="s">
        <v>32</v>
      </c>
      <c r="JH25" s="28" t="s">
        <v>32</v>
      </c>
      <c r="JI25" s="34">
        <v>885</v>
      </c>
      <c r="JJ25" s="34" t="s">
        <v>32</v>
      </c>
      <c r="JK25" s="32">
        <v>405084</v>
      </c>
      <c r="JL25" s="32" t="s">
        <v>43</v>
      </c>
      <c r="JM25" s="29" t="s">
        <v>32</v>
      </c>
      <c r="JN25" s="28" t="s">
        <v>32</v>
      </c>
      <c r="JO25" s="26" t="s">
        <v>32</v>
      </c>
      <c r="JP25" s="34" t="s">
        <v>32</v>
      </c>
      <c r="JQ25" s="34" t="s">
        <v>32</v>
      </c>
      <c r="JR25" s="34"/>
      <c r="JS25" s="33">
        <f t="shared" si="33"/>
        <v>435969</v>
      </c>
      <c r="JT25" s="24"/>
      <c r="JU25" s="25">
        <v>45710</v>
      </c>
      <c r="JV25" s="26">
        <v>0</v>
      </c>
      <c r="JW25" s="26">
        <v>0</v>
      </c>
      <c r="JX25" s="27">
        <f t="shared" si="10"/>
        <v>0</v>
      </c>
      <c r="JY25" s="28">
        <v>0</v>
      </c>
      <c r="JZ25" s="29">
        <v>3579</v>
      </c>
      <c r="KA25" s="29">
        <v>5.5</v>
      </c>
      <c r="KB25" s="34" t="s">
        <v>32</v>
      </c>
      <c r="KC25" s="34"/>
      <c r="KD25" s="31" t="s">
        <v>32</v>
      </c>
      <c r="KE25" s="34" t="s">
        <v>32</v>
      </c>
      <c r="KF25" s="32" t="s">
        <v>32</v>
      </c>
      <c r="KG25" s="32" t="s">
        <v>32</v>
      </c>
      <c r="KH25" s="34"/>
      <c r="KI25" s="28" t="s">
        <v>32</v>
      </c>
      <c r="KJ25" s="28" t="s">
        <v>32</v>
      </c>
      <c r="KK25" s="34" t="s">
        <v>32</v>
      </c>
      <c r="KL25" s="34" t="s">
        <v>32</v>
      </c>
      <c r="KM25" s="32" t="s">
        <v>32</v>
      </c>
      <c r="KN25" s="32" t="s">
        <v>32</v>
      </c>
      <c r="KO25" s="29" t="s">
        <v>32</v>
      </c>
      <c r="KP25" s="28" t="s">
        <v>32</v>
      </c>
      <c r="KQ25" s="26" t="s">
        <v>32</v>
      </c>
      <c r="KR25" s="34" t="s">
        <v>32</v>
      </c>
      <c r="KS25" s="34" t="s">
        <v>32</v>
      </c>
      <c r="KT25" s="34"/>
      <c r="KU25" s="33">
        <f t="shared" si="34"/>
        <v>0</v>
      </c>
      <c r="KV25" s="24"/>
      <c r="KW25" s="25">
        <v>45738</v>
      </c>
      <c r="KX25" s="26">
        <v>0</v>
      </c>
      <c r="KY25" s="26">
        <v>0</v>
      </c>
      <c r="KZ25" s="27">
        <f t="shared" si="11"/>
        <v>0</v>
      </c>
      <c r="LA25" s="28">
        <v>2680</v>
      </c>
      <c r="LB25" s="29">
        <v>1246</v>
      </c>
      <c r="LC25" s="29">
        <v>9</v>
      </c>
      <c r="LD25" s="34" t="s">
        <v>32</v>
      </c>
      <c r="LE25" s="34"/>
      <c r="LF25" s="31" t="s">
        <v>32</v>
      </c>
      <c r="LG25" s="34" t="s">
        <v>32</v>
      </c>
      <c r="LH25" s="32" t="s">
        <v>32</v>
      </c>
      <c r="LI25" s="32" t="s">
        <v>32</v>
      </c>
      <c r="LJ25" s="34"/>
      <c r="LK25" s="28" t="s">
        <v>32</v>
      </c>
      <c r="LL25" s="28" t="s">
        <v>32</v>
      </c>
      <c r="LM25" s="34" t="s">
        <v>32</v>
      </c>
      <c r="LN25" s="34" t="s">
        <v>32</v>
      </c>
      <c r="LO25" s="32" t="s">
        <v>32</v>
      </c>
      <c r="LP25" s="32" t="s">
        <v>32</v>
      </c>
      <c r="LQ25" s="29" t="s">
        <v>32</v>
      </c>
      <c r="LR25" s="28" t="s">
        <v>32</v>
      </c>
      <c r="LS25" s="26" t="s">
        <v>32</v>
      </c>
      <c r="LT25" s="34" t="s">
        <v>32</v>
      </c>
      <c r="LU25" s="34" t="s">
        <v>32</v>
      </c>
      <c r="LV25" s="34"/>
      <c r="LW25" s="33">
        <f t="shared" si="35"/>
        <v>0</v>
      </c>
      <c r="LX25" s="24"/>
    </row>
    <row r="26" spans="1:336" x14ac:dyDescent="0.3">
      <c r="A26" s="25">
        <v>45405</v>
      </c>
      <c r="B26" s="26">
        <v>0</v>
      </c>
      <c r="C26" s="26">
        <v>0</v>
      </c>
      <c r="D26" s="27">
        <f t="shared" si="0"/>
        <v>0</v>
      </c>
      <c r="E26" s="28">
        <v>2712</v>
      </c>
      <c r="F26" s="29">
        <v>928</v>
      </c>
      <c r="G26" s="29">
        <v>6.75</v>
      </c>
      <c r="H26" s="34" t="s">
        <v>32</v>
      </c>
      <c r="I26" s="34"/>
      <c r="J26" s="31" t="s">
        <v>32</v>
      </c>
      <c r="K26" s="34" t="s">
        <v>32</v>
      </c>
      <c r="L26" s="32" t="s">
        <v>32</v>
      </c>
      <c r="M26" s="32"/>
      <c r="N26" s="34"/>
      <c r="O26" s="28"/>
      <c r="P26" s="28" t="s">
        <v>32</v>
      </c>
      <c r="Q26" s="34" t="s">
        <v>32</v>
      </c>
      <c r="R26" s="34" t="s">
        <v>32</v>
      </c>
      <c r="S26" s="32"/>
      <c r="T26" s="32" t="s">
        <v>32</v>
      </c>
      <c r="U26" s="29" t="s">
        <v>32</v>
      </c>
      <c r="V26" s="28" t="s">
        <v>32</v>
      </c>
      <c r="W26" s="26" t="s">
        <v>32</v>
      </c>
      <c r="X26" s="34" t="s">
        <v>32</v>
      </c>
      <c r="Y26" s="34" t="s">
        <v>32</v>
      </c>
      <c r="Z26" s="34" t="s">
        <v>32</v>
      </c>
      <c r="AA26" s="33">
        <f t="shared" si="24"/>
        <v>0</v>
      </c>
      <c r="AB26" s="24"/>
      <c r="AC26" s="25">
        <v>45435</v>
      </c>
      <c r="AD26" s="26">
        <v>0</v>
      </c>
      <c r="AE26" s="26">
        <v>0</v>
      </c>
      <c r="AF26" s="27">
        <f t="shared" si="1"/>
        <v>0</v>
      </c>
      <c r="AG26" s="28">
        <v>0</v>
      </c>
      <c r="AH26" s="29">
        <v>930</v>
      </c>
      <c r="AI26" s="29">
        <v>8</v>
      </c>
      <c r="AJ26" s="34" t="s">
        <v>32</v>
      </c>
      <c r="AK26" s="34"/>
      <c r="AL26" s="31" t="s">
        <v>32</v>
      </c>
      <c r="AM26" s="34" t="s">
        <v>32</v>
      </c>
      <c r="AN26" s="32" t="s">
        <v>32</v>
      </c>
      <c r="AO26" s="32"/>
      <c r="AP26" s="34"/>
      <c r="AQ26" s="28"/>
      <c r="AR26" s="28" t="s">
        <v>32</v>
      </c>
      <c r="AS26" s="34" t="s">
        <v>32</v>
      </c>
      <c r="AT26" s="34" t="s">
        <v>32</v>
      </c>
      <c r="AU26" s="32"/>
      <c r="AV26" s="32" t="s">
        <v>32</v>
      </c>
      <c r="AW26" s="29" t="s">
        <v>32</v>
      </c>
      <c r="AX26" s="28" t="s">
        <v>32</v>
      </c>
      <c r="AY26" s="26" t="s">
        <v>32</v>
      </c>
      <c r="AZ26" s="34" t="s">
        <v>32</v>
      </c>
      <c r="BA26" s="34" t="s">
        <v>32</v>
      </c>
      <c r="BB26" s="34" t="s">
        <v>32</v>
      </c>
      <c r="BC26" s="33">
        <f t="shared" si="25"/>
        <v>0</v>
      </c>
      <c r="BD26" s="24"/>
      <c r="BE26" s="25">
        <v>45466</v>
      </c>
      <c r="BF26" s="26">
        <v>0</v>
      </c>
      <c r="BG26" s="26">
        <v>0</v>
      </c>
      <c r="BH26" s="27">
        <f t="shared" si="2"/>
        <v>0</v>
      </c>
      <c r="BI26" s="28">
        <v>3323</v>
      </c>
      <c r="BJ26" s="29">
        <v>2258</v>
      </c>
      <c r="BK26" s="29">
        <v>8</v>
      </c>
      <c r="BL26" s="34" t="s">
        <v>32</v>
      </c>
      <c r="BM26" s="34"/>
      <c r="BN26" s="31" t="s">
        <v>32</v>
      </c>
      <c r="BO26" s="34" t="s">
        <v>32</v>
      </c>
      <c r="BP26" s="32" t="s">
        <v>32</v>
      </c>
      <c r="BQ26" s="32"/>
      <c r="BR26" s="34"/>
      <c r="BS26" s="28"/>
      <c r="BT26" s="28" t="s">
        <v>32</v>
      </c>
      <c r="BU26" s="34" t="s">
        <v>32</v>
      </c>
      <c r="BV26" s="34" t="s">
        <v>32</v>
      </c>
      <c r="BW26" s="32"/>
      <c r="BX26" s="32" t="s">
        <v>32</v>
      </c>
      <c r="BY26" s="29" t="s">
        <v>32</v>
      </c>
      <c r="BZ26" s="28" t="s">
        <v>32</v>
      </c>
      <c r="CA26" s="26" t="s">
        <v>32</v>
      </c>
      <c r="CB26" s="34" t="s">
        <v>32</v>
      </c>
      <c r="CC26" s="34" t="s">
        <v>32</v>
      </c>
      <c r="CD26" s="34" t="s">
        <v>32</v>
      </c>
      <c r="CE26" s="33">
        <f t="shared" si="26"/>
        <v>0</v>
      </c>
      <c r="CF26" s="24"/>
      <c r="CG26" s="25">
        <v>45496</v>
      </c>
      <c r="CH26" s="26">
        <v>0</v>
      </c>
      <c r="CI26" s="26">
        <v>0</v>
      </c>
      <c r="CJ26" s="27">
        <f t="shared" si="3"/>
        <v>0</v>
      </c>
      <c r="CK26" s="28">
        <v>2841</v>
      </c>
      <c r="CL26" s="29">
        <v>892</v>
      </c>
      <c r="CM26" s="29">
        <v>8.25</v>
      </c>
      <c r="CN26" s="34" t="s">
        <v>32</v>
      </c>
      <c r="CO26" s="34"/>
      <c r="CP26" s="31" t="s">
        <v>32</v>
      </c>
      <c r="CQ26" s="34" t="s">
        <v>32</v>
      </c>
      <c r="CR26" s="32" t="s">
        <v>32</v>
      </c>
      <c r="CS26" s="32"/>
      <c r="CT26" s="34"/>
      <c r="CU26" s="28"/>
      <c r="CV26" s="28" t="s">
        <v>32</v>
      </c>
      <c r="CW26" s="34" t="s">
        <v>32</v>
      </c>
      <c r="CX26" s="34" t="s">
        <v>32</v>
      </c>
      <c r="CY26" s="32"/>
      <c r="CZ26" s="32" t="s">
        <v>32</v>
      </c>
      <c r="DA26" s="29" t="s">
        <v>32</v>
      </c>
      <c r="DB26" s="28" t="s">
        <v>32</v>
      </c>
      <c r="DC26" s="26" t="s">
        <v>32</v>
      </c>
      <c r="DD26" s="34" t="s">
        <v>32</v>
      </c>
      <c r="DE26" s="34" t="s">
        <v>32</v>
      </c>
      <c r="DF26" s="34" t="s">
        <v>32</v>
      </c>
      <c r="DG26" s="33">
        <f t="shared" si="27"/>
        <v>0</v>
      </c>
      <c r="DH26" s="24"/>
      <c r="DI26" s="25">
        <v>45527</v>
      </c>
      <c r="DJ26" s="26">
        <v>0</v>
      </c>
      <c r="DK26" s="26">
        <v>0</v>
      </c>
      <c r="DL26" s="27">
        <f t="shared" si="4"/>
        <v>0</v>
      </c>
      <c r="DM26" s="28">
        <v>1107</v>
      </c>
      <c r="DN26" s="29">
        <v>2498</v>
      </c>
      <c r="DO26" s="29">
        <v>7.5</v>
      </c>
      <c r="DP26" s="34" t="s">
        <v>32</v>
      </c>
      <c r="DQ26" s="34"/>
      <c r="DR26" s="31" t="s">
        <v>32</v>
      </c>
      <c r="DS26" s="34" t="s">
        <v>32</v>
      </c>
      <c r="DT26" s="32" t="s">
        <v>32</v>
      </c>
      <c r="DU26" s="32"/>
      <c r="DV26" s="34"/>
      <c r="DW26" s="28"/>
      <c r="DX26" s="28" t="s">
        <v>32</v>
      </c>
      <c r="DY26" s="34" t="s">
        <v>32</v>
      </c>
      <c r="DZ26" s="34" t="s">
        <v>32</v>
      </c>
      <c r="EA26" s="32"/>
      <c r="EB26" s="32" t="s">
        <v>32</v>
      </c>
      <c r="EC26" s="29" t="s">
        <v>32</v>
      </c>
      <c r="ED26" s="28" t="s">
        <v>32</v>
      </c>
      <c r="EE26" s="26" t="s">
        <v>32</v>
      </c>
      <c r="EF26" s="34" t="s">
        <v>32</v>
      </c>
      <c r="EG26" s="34" t="s">
        <v>32</v>
      </c>
      <c r="EH26" s="34" t="s">
        <v>32</v>
      </c>
      <c r="EI26" s="33">
        <f t="shared" si="28"/>
        <v>0</v>
      </c>
      <c r="EJ26" s="24"/>
      <c r="EK26" s="25">
        <v>45558</v>
      </c>
      <c r="EL26" s="26">
        <v>7779</v>
      </c>
      <c r="EM26" s="26">
        <v>565067</v>
      </c>
      <c r="EN26" s="27">
        <f t="shared" si="5"/>
        <v>364</v>
      </c>
      <c r="EO26" s="28">
        <v>3086</v>
      </c>
      <c r="EP26" s="29">
        <v>0</v>
      </c>
      <c r="EQ26" s="29">
        <v>10.75</v>
      </c>
      <c r="ER26" s="34" t="s">
        <v>32</v>
      </c>
      <c r="ES26" s="34"/>
      <c r="ET26" s="31" t="s">
        <v>32</v>
      </c>
      <c r="EU26" s="34" t="s">
        <v>32</v>
      </c>
      <c r="EV26" s="32" t="s">
        <v>32</v>
      </c>
      <c r="EW26" s="32"/>
      <c r="EX26" s="34"/>
      <c r="EY26" s="28"/>
      <c r="EZ26" s="28" t="s">
        <v>32</v>
      </c>
      <c r="FA26" s="34">
        <v>364</v>
      </c>
      <c r="FB26" s="34" t="s">
        <v>32</v>
      </c>
      <c r="FC26" s="32"/>
      <c r="FD26" s="32" t="s">
        <v>32</v>
      </c>
      <c r="FE26" s="29" t="s">
        <v>32</v>
      </c>
      <c r="FF26" s="28" t="s">
        <v>32</v>
      </c>
      <c r="FG26" s="26" t="s">
        <v>32</v>
      </c>
      <c r="FH26" s="34" t="s">
        <v>32</v>
      </c>
      <c r="FI26" s="34" t="s">
        <v>32</v>
      </c>
      <c r="FJ26" s="34" t="s">
        <v>32</v>
      </c>
      <c r="FK26" s="33">
        <f t="shared" si="29"/>
        <v>364</v>
      </c>
      <c r="FL26" s="24"/>
      <c r="FM26" s="25">
        <v>45588</v>
      </c>
      <c r="FN26" s="26">
        <v>6678</v>
      </c>
      <c r="FO26" s="26">
        <v>455025</v>
      </c>
      <c r="FP26" s="27">
        <f t="shared" si="6"/>
        <v>108</v>
      </c>
      <c r="FQ26" s="28">
        <v>3367</v>
      </c>
      <c r="FR26" s="29">
        <v>2720</v>
      </c>
      <c r="FS26" s="29">
        <v>9.15</v>
      </c>
      <c r="FT26" s="34" t="s">
        <v>32</v>
      </c>
      <c r="FU26" s="34"/>
      <c r="FV26" s="31" t="s">
        <v>32</v>
      </c>
      <c r="FW26" s="34" t="s">
        <v>32</v>
      </c>
      <c r="FX26" s="32" t="s">
        <v>32</v>
      </c>
      <c r="FY26" s="32"/>
      <c r="FZ26" s="34"/>
      <c r="GA26" s="28"/>
      <c r="GB26" s="28" t="s">
        <v>32</v>
      </c>
      <c r="GC26" s="34">
        <v>108</v>
      </c>
      <c r="GD26" s="34" t="s">
        <v>32</v>
      </c>
      <c r="GE26" s="32"/>
      <c r="GF26" s="32" t="s">
        <v>32</v>
      </c>
      <c r="GG26" s="29" t="s">
        <v>32</v>
      </c>
      <c r="GH26" s="28" t="s">
        <v>32</v>
      </c>
      <c r="GI26" s="26" t="s">
        <v>32</v>
      </c>
      <c r="GJ26" s="34" t="s">
        <v>32</v>
      </c>
      <c r="GK26" s="34" t="s">
        <v>32</v>
      </c>
      <c r="GL26" s="34" t="s">
        <v>32</v>
      </c>
      <c r="GM26" s="33">
        <f t="shared" si="30"/>
        <v>108</v>
      </c>
      <c r="GN26" s="24"/>
      <c r="GO26" s="25">
        <v>45619</v>
      </c>
      <c r="GP26" s="26">
        <v>0</v>
      </c>
      <c r="GQ26" s="26">
        <v>0</v>
      </c>
      <c r="GR26" s="27">
        <f t="shared" si="7"/>
        <v>0</v>
      </c>
      <c r="GS26" s="28">
        <v>3569</v>
      </c>
      <c r="GT26" s="29">
        <v>3613</v>
      </c>
      <c r="GU26" s="29">
        <v>7</v>
      </c>
      <c r="GV26" s="34" t="s">
        <v>32</v>
      </c>
      <c r="GW26" s="34"/>
      <c r="GX26" s="31" t="s">
        <v>32</v>
      </c>
      <c r="GY26" s="34" t="s">
        <v>32</v>
      </c>
      <c r="GZ26" s="32" t="s">
        <v>32</v>
      </c>
      <c r="HA26" s="32"/>
      <c r="HB26" s="34"/>
      <c r="HC26" s="28"/>
      <c r="HD26" s="28" t="s">
        <v>32</v>
      </c>
      <c r="HE26" s="34" t="s">
        <v>32</v>
      </c>
      <c r="HF26" s="34" t="s">
        <v>32</v>
      </c>
      <c r="HG26" s="32"/>
      <c r="HH26" s="32" t="s">
        <v>32</v>
      </c>
      <c r="HI26" s="29" t="s">
        <v>32</v>
      </c>
      <c r="HJ26" s="28" t="s">
        <v>32</v>
      </c>
      <c r="HK26" s="26" t="s">
        <v>32</v>
      </c>
      <c r="HL26" s="34" t="s">
        <v>32</v>
      </c>
      <c r="HM26" s="34" t="s">
        <v>32</v>
      </c>
      <c r="HN26" s="34" t="s">
        <v>32</v>
      </c>
      <c r="HO26" s="33">
        <f t="shared" si="31"/>
        <v>0</v>
      </c>
      <c r="HP26" s="24"/>
      <c r="HQ26" s="25">
        <v>45649</v>
      </c>
      <c r="HR26" s="26">
        <v>0</v>
      </c>
      <c r="HS26" s="26">
        <v>0</v>
      </c>
      <c r="HT26" s="27">
        <f t="shared" si="8"/>
        <v>0</v>
      </c>
      <c r="HU26" s="28">
        <v>480</v>
      </c>
      <c r="HV26" s="29">
        <v>2655</v>
      </c>
      <c r="HW26" s="29">
        <v>9.75</v>
      </c>
      <c r="HX26" s="34" t="s">
        <v>32</v>
      </c>
      <c r="HY26" s="34"/>
      <c r="HZ26" s="31" t="s">
        <v>32</v>
      </c>
      <c r="IA26" s="34" t="s">
        <v>32</v>
      </c>
      <c r="IB26" s="32" t="s">
        <v>32</v>
      </c>
      <c r="IC26" s="32"/>
      <c r="ID26" s="34"/>
      <c r="IE26" s="28"/>
      <c r="IF26" s="28" t="s">
        <v>32</v>
      </c>
      <c r="IG26" s="34" t="s">
        <v>32</v>
      </c>
      <c r="IH26" s="34" t="s">
        <v>32</v>
      </c>
      <c r="II26" s="32"/>
      <c r="IJ26" s="32" t="s">
        <v>32</v>
      </c>
      <c r="IK26" s="29" t="s">
        <v>32</v>
      </c>
      <c r="IL26" s="28" t="s">
        <v>32</v>
      </c>
      <c r="IM26" s="26" t="s">
        <v>32</v>
      </c>
      <c r="IN26" s="34" t="s">
        <v>32</v>
      </c>
      <c r="IO26" s="34" t="s">
        <v>32</v>
      </c>
      <c r="IP26" s="34" t="s">
        <v>32</v>
      </c>
      <c r="IQ26" s="33">
        <f t="shared" si="32"/>
        <v>0</v>
      </c>
      <c r="IR26" s="24"/>
      <c r="IS26" s="25">
        <v>45680</v>
      </c>
      <c r="IT26" s="26">
        <v>0</v>
      </c>
      <c r="IU26" s="26">
        <v>0</v>
      </c>
      <c r="IV26" s="27">
        <f t="shared" si="9"/>
        <v>0</v>
      </c>
      <c r="IW26" s="28">
        <v>4109</v>
      </c>
      <c r="IX26" s="29">
        <v>5119</v>
      </c>
      <c r="IY26" s="29">
        <v>9</v>
      </c>
      <c r="IZ26" s="34" t="s">
        <v>32</v>
      </c>
      <c r="JA26" s="34"/>
      <c r="JB26" s="31" t="s">
        <v>32</v>
      </c>
      <c r="JC26" s="34" t="s">
        <v>32</v>
      </c>
      <c r="JD26" s="32" t="s">
        <v>32</v>
      </c>
      <c r="JE26" s="32"/>
      <c r="JF26" s="34"/>
      <c r="JG26" s="28"/>
      <c r="JH26" s="28" t="s">
        <v>32</v>
      </c>
      <c r="JI26" s="34" t="s">
        <v>32</v>
      </c>
      <c r="JJ26" s="34" t="s">
        <v>32</v>
      </c>
      <c r="JK26" s="32"/>
      <c r="JL26" s="32" t="s">
        <v>32</v>
      </c>
      <c r="JM26" s="29" t="s">
        <v>32</v>
      </c>
      <c r="JN26" s="28" t="s">
        <v>32</v>
      </c>
      <c r="JO26" s="26" t="s">
        <v>32</v>
      </c>
      <c r="JP26" s="34" t="s">
        <v>32</v>
      </c>
      <c r="JQ26" s="34" t="s">
        <v>32</v>
      </c>
      <c r="JR26" s="34" t="s">
        <v>32</v>
      </c>
      <c r="JS26" s="33">
        <f t="shared" si="33"/>
        <v>0</v>
      </c>
      <c r="JT26" s="24"/>
      <c r="JU26" s="25">
        <v>45711</v>
      </c>
      <c r="JV26" s="26">
        <v>0</v>
      </c>
      <c r="JW26" s="26">
        <v>0</v>
      </c>
      <c r="JX26" s="27">
        <f t="shared" si="10"/>
        <v>0</v>
      </c>
      <c r="JY26" s="28">
        <v>2502</v>
      </c>
      <c r="JZ26" s="29">
        <v>3989</v>
      </c>
      <c r="KA26" s="29">
        <v>7.25</v>
      </c>
      <c r="KB26" s="34" t="s">
        <v>32</v>
      </c>
      <c r="KC26" s="34"/>
      <c r="KD26" s="31" t="s">
        <v>32</v>
      </c>
      <c r="KE26" s="34" t="s">
        <v>32</v>
      </c>
      <c r="KF26" s="32" t="s">
        <v>32</v>
      </c>
      <c r="KG26" s="32"/>
      <c r="KH26" s="34"/>
      <c r="KI26" s="28"/>
      <c r="KJ26" s="28" t="s">
        <v>32</v>
      </c>
      <c r="KK26" s="34" t="s">
        <v>32</v>
      </c>
      <c r="KL26" s="34" t="s">
        <v>32</v>
      </c>
      <c r="KM26" s="32"/>
      <c r="KN26" s="32" t="s">
        <v>32</v>
      </c>
      <c r="KO26" s="29" t="s">
        <v>32</v>
      </c>
      <c r="KP26" s="28" t="s">
        <v>32</v>
      </c>
      <c r="KQ26" s="26" t="s">
        <v>32</v>
      </c>
      <c r="KR26" s="34" t="s">
        <v>32</v>
      </c>
      <c r="KS26" s="34" t="s">
        <v>32</v>
      </c>
      <c r="KT26" s="34" t="s">
        <v>32</v>
      </c>
      <c r="KU26" s="33">
        <f t="shared" si="34"/>
        <v>0</v>
      </c>
      <c r="KV26" s="24"/>
      <c r="KW26" s="25">
        <v>45739</v>
      </c>
      <c r="KX26" s="26">
        <v>167</v>
      </c>
      <c r="KY26" s="26">
        <v>10050</v>
      </c>
      <c r="KZ26" s="27">
        <f t="shared" si="11"/>
        <v>825511</v>
      </c>
      <c r="LA26" s="28">
        <v>2783</v>
      </c>
      <c r="LB26" s="29">
        <v>3938</v>
      </c>
      <c r="LC26" s="29">
        <v>14</v>
      </c>
      <c r="LD26" s="34" t="s">
        <v>32</v>
      </c>
      <c r="LE26" s="34"/>
      <c r="LF26" s="31">
        <v>15000</v>
      </c>
      <c r="LG26" s="34">
        <v>265000</v>
      </c>
      <c r="LH26" s="32">
        <v>1055</v>
      </c>
      <c r="LI26" s="32"/>
      <c r="LJ26" s="34"/>
      <c r="LK26" s="28"/>
      <c r="LL26" s="28" t="s">
        <v>32</v>
      </c>
      <c r="LM26" s="34">
        <v>3220</v>
      </c>
      <c r="LN26" s="34" t="s">
        <v>32</v>
      </c>
      <c r="LO26" s="32">
        <v>541236</v>
      </c>
      <c r="LP26" s="32" t="s">
        <v>43</v>
      </c>
      <c r="LQ26" s="29" t="s">
        <v>32</v>
      </c>
      <c r="LR26" s="28" t="s">
        <v>32</v>
      </c>
      <c r="LS26" s="26" t="s">
        <v>32</v>
      </c>
      <c r="LT26" s="34" t="s">
        <v>32</v>
      </c>
      <c r="LU26" s="34" t="s">
        <v>32</v>
      </c>
      <c r="LV26" s="34" t="s">
        <v>32</v>
      </c>
      <c r="LW26" s="33">
        <f t="shared" si="35"/>
        <v>825511</v>
      </c>
      <c r="LX26" s="24"/>
    </row>
    <row r="27" spans="1:336" x14ac:dyDescent="0.3">
      <c r="A27" s="25">
        <v>45406</v>
      </c>
      <c r="B27" s="26">
        <v>181</v>
      </c>
      <c r="C27" s="26">
        <v>7500</v>
      </c>
      <c r="D27" s="27">
        <f t="shared" si="0"/>
        <v>2000</v>
      </c>
      <c r="E27" s="28">
        <v>0</v>
      </c>
      <c r="F27" s="29">
        <v>0</v>
      </c>
      <c r="G27" s="29">
        <v>0</v>
      </c>
      <c r="H27" s="34" t="s">
        <v>32</v>
      </c>
      <c r="I27" s="34"/>
      <c r="J27" s="31" t="s">
        <v>32</v>
      </c>
      <c r="K27" s="34" t="s">
        <v>32</v>
      </c>
      <c r="L27" s="32">
        <v>1500</v>
      </c>
      <c r="M27" s="32"/>
      <c r="N27" s="34" t="s">
        <v>32</v>
      </c>
      <c r="O27" s="28"/>
      <c r="P27" s="28">
        <v>500</v>
      </c>
      <c r="Q27" s="34" t="s">
        <v>32</v>
      </c>
      <c r="R27" s="34" t="s">
        <v>32</v>
      </c>
      <c r="S27" s="32" t="s">
        <v>32</v>
      </c>
      <c r="T27" s="32" t="s">
        <v>32</v>
      </c>
      <c r="U27" s="29" t="s">
        <v>32</v>
      </c>
      <c r="V27" s="28" t="s">
        <v>32</v>
      </c>
      <c r="W27" s="26" t="s">
        <v>32</v>
      </c>
      <c r="X27" s="34" t="s">
        <v>32</v>
      </c>
      <c r="Y27" s="34" t="s">
        <v>32</v>
      </c>
      <c r="Z27" s="34"/>
      <c r="AA27" s="33">
        <f t="shared" si="24"/>
        <v>2000</v>
      </c>
      <c r="AB27" s="24"/>
      <c r="AC27" s="25">
        <v>45436</v>
      </c>
      <c r="AD27" s="26">
        <v>0</v>
      </c>
      <c r="AE27" s="26">
        <v>0</v>
      </c>
      <c r="AF27" s="27">
        <f t="shared" si="1"/>
        <v>0</v>
      </c>
      <c r="AG27" s="28">
        <v>2737</v>
      </c>
      <c r="AH27" s="29">
        <v>4493</v>
      </c>
      <c r="AI27" s="29">
        <v>7.5</v>
      </c>
      <c r="AJ27" s="34" t="s">
        <v>32</v>
      </c>
      <c r="AK27" s="34"/>
      <c r="AL27" s="31" t="s">
        <v>32</v>
      </c>
      <c r="AM27" s="34" t="s">
        <v>32</v>
      </c>
      <c r="AN27" s="32" t="s">
        <v>32</v>
      </c>
      <c r="AO27" s="32"/>
      <c r="AP27" s="34" t="s">
        <v>32</v>
      </c>
      <c r="AQ27" s="28"/>
      <c r="AR27" s="28" t="s">
        <v>32</v>
      </c>
      <c r="AS27" s="34" t="s">
        <v>32</v>
      </c>
      <c r="AT27" s="34" t="s">
        <v>32</v>
      </c>
      <c r="AU27" s="32" t="s">
        <v>32</v>
      </c>
      <c r="AV27" s="32" t="s">
        <v>32</v>
      </c>
      <c r="AW27" s="29" t="s">
        <v>32</v>
      </c>
      <c r="AX27" s="28" t="s">
        <v>32</v>
      </c>
      <c r="AY27" s="26" t="s">
        <v>32</v>
      </c>
      <c r="AZ27" s="34" t="s">
        <v>32</v>
      </c>
      <c r="BA27" s="34" t="s">
        <v>32</v>
      </c>
      <c r="BB27" s="34"/>
      <c r="BC27" s="33">
        <f t="shared" si="25"/>
        <v>0</v>
      </c>
      <c r="BD27" s="24"/>
      <c r="BE27" s="25">
        <v>45467</v>
      </c>
      <c r="BF27" s="26">
        <v>0</v>
      </c>
      <c r="BG27" s="26">
        <v>18553</v>
      </c>
      <c r="BH27" s="27">
        <f t="shared" si="2"/>
        <v>104421</v>
      </c>
      <c r="BI27" s="28">
        <v>804</v>
      </c>
      <c r="BJ27" s="29">
        <v>768</v>
      </c>
      <c r="BK27" s="29">
        <v>4.75</v>
      </c>
      <c r="BL27" s="34">
        <v>20857</v>
      </c>
      <c r="BM27" s="34">
        <v>22743</v>
      </c>
      <c r="BN27" s="31">
        <v>60000</v>
      </c>
      <c r="BO27" s="34" t="s">
        <v>32</v>
      </c>
      <c r="BP27" s="32" t="s">
        <v>32</v>
      </c>
      <c r="BQ27" s="32"/>
      <c r="BR27" s="34" t="s">
        <v>32</v>
      </c>
      <c r="BS27" s="28"/>
      <c r="BT27" s="28" t="s">
        <v>32</v>
      </c>
      <c r="BU27" s="34" t="s">
        <v>32</v>
      </c>
      <c r="BV27" s="34">
        <v>821</v>
      </c>
      <c r="BW27" s="32" t="s">
        <v>32</v>
      </c>
      <c r="BX27" s="32" t="s">
        <v>32</v>
      </c>
      <c r="BY27" s="29" t="s">
        <v>32</v>
      </c>
      <c r="BZ27" s="28" t="s">
        <v>32</v>
      </c>
      <c r="CA27" s="26" t="s">
        <v>32</v>
      </c>
      <c r="CB27" s="34" t="s">
        <v>32</v>
      </c>
      <c r="CC27" s="34" t="s">
        <v>32</v>
      </c>
      <c r="CD27" s="34"/>
      <c r="CE27" s="33">
        <f t="shared" si="26"/>
        <v>104421</v>
      </c>
      <c r="CF27" s="24"/>
      <c r="CG27" s="25">
        <v>45497</v>
      </c>
      <c r="CH27" s="26">
        <v>195</v>
      </c>
      <c r="CI27" s="26">
        <v>12700</v>
      </c>
      <c r="CJ27" s="27">
        <f t="shared" si="3"/>
        <v>358760</v>
      </c>
      <c r="CK27" s="28">
        <v>2488</v>
      </c>
      <c r="CL27" s="29">
        <v>3220</v>
      </c>
      <c r="CM27" s="29">
        <v>9</v>
      </c>
      <c r="CN27" s="34">
        <v>32850</v>
      </c>
      <c r="CO27" s="34">
        <v>39550</v>
      </c>
      <c r="CP27" s="31">
        <v>200000</v>
      </c>
      <c r="CQ27" s="34">
        <v>50000</v>
      </c>
      <c r="CR27" s="32">
        <v>5700</v>
      </c>
      <c r="CS27" s="32"/>
      <c r="CT27" s="34">
        <v>25000</v>
      </c>
      <c r="CU27" s="28"/>
      <c r="CV27" s="28">
        <v>1500</v>
      </c>
      <c r="CW27" s="34">
        <v>4160</v>
      </c>
      <c r="CX27" s="34" t="s">
        <v>32</v>
      </c>
      <c r="CY27" s="32" t="s">
        <v>32</v>
      </c>
      <c r="CZ27" s="32" t="s">
        <v>32</v>
      </c>
      <c r="DA27" s="29" t="s">
        <v>32</v>
      </c>
      <c r="DB27" s="28" t="s">
        <v>32</v>
      </c>
      <c r="DC27" s="26" t="s">
        <v>32</v>
      </c>
      <c r="DD27" s="34" t="s">
        <v>32</v>
      </c>
      <c r="DE27" s="34" t="s">
        <v>32</v>
      </c>
      <c r="DF27" s="34"/>
      <c r="DG27" s="33">
        <f t="shared" si="27"/>
        <v>358760</v>
      </c>
      <c r="DH27" s="24"/>
      <c r="DI27" s="25">
        <v>45528</v>
      </c>
      <c r="DJ27" s="26">
        <v>8270</v>
      </c>
      <c r="DK27" s="26">
        <v>465908</v>
      </c>
      <c r="DL27" s="27">
        <f t="shared" si="4"/>
        <v>5780</v>
      </c>
      <c r="DM27" s="28">
        <v>486</v>
      </c>
      <c r="DN27" s="29">
        <v>1332</v>
      </c>
      <c r="DO27" s="29">
        <v>5</v>
      </c>
      <c r="DP27" s="34" t="s">
        <v>32</v>
      </c>
      <c r="DQ27" s="34"/>
      <c r="DR27" s="31" t="s">
        <v>32</v>
      </c>
      <c r="DS27" s="34" t="s">
        <v>32</v>
      </c>
      <c r="DT27" s="32">
        <v>2600</v>
      </c>
      <c r="DU27" s="32"/>
      <c r="DV27" s="34" t="s">
        <v>32</v>
      </c>
      <c r="DW27" s="28"/>
      <c r="DX27" s="28" t="s">
        <v>32</v>
      </c>
      <c r="DY27" s="34">
        <v>3180</v>
      </c>
      <c r="DZ27" s="34" t="s">
        <v>32</v>
      </c>
      <c r="EA27" s="32" t="s">
        <v>32</v>
      </c>
      <c r="EB27" s="32" t="s">
        <v>32</v>
      </c>
      <c r="EC27" s="29" t="s">
        <v>32</v>
      </c>
      <c r="ED27" s="28" t="s">
        <v>32</v>
      </c>
      <c r="EE27" s="26" t="s">
        <v>32</v>
      </c>
      <c r="EF27" s="34" t="s">
        <v>32</v>
      </c>
      <c r="EG27" s="34" t="s">
        <v>32</v>
      </c>
      <c r="EH27" s="34"/>
      <c r="EI27" s="33">
        <f t="shared" si="28"/>
        <v>5780</v>
      </c>
      <c r="EJ27" s="24"/>
      <c r="EK27" s="25">
        <v>45559</v>
      </c>
      <c r="EL27" s="26">
        <v>854</v>
      </c>
      <c r="EM27" s="26">
        <v>51299</v>
      </c>
      <c r="EN27" s="27">
        <f t="shared" si="5"/>
        <v>171368</v>
      </c>
      <c r="EO27" s="28">
        <v>3841</v>
      </c>
      <c r="EP27" s="29">
        <v>4253</v>
      </c>
      <c r="EQ27" s="29">
        <v>10</v>
      </c>
      <c r="ER27" s="34">
        <v>35146</v>
      </c>
      <c r="ES27" s="34">
        <v>42454</v>
      </c>
      <c r="ET27" s="31">
        <v>93000</v>
      </c>
      <c r="EU27" s="34" t="s">
        <v>32</v>
      </c>
      <c r="EV27" s="32" t="s">
        <v>32</v>
      </c>
      <c r="EW27" s="32"/>
      <c r="EX27" s="34" t="s">
        <v>32</v>
      </c>
      <c r="EY27" s="28"/>
      <c r="EZ27" s="28" t="s">
        <v>32</v>
      </c>
      <c r="FA27" s="34">
        <v>768</v>
      </c>
      <c r="FB27" s="34" t="s">
        <v>32</v>
      </c>
      <c r="FC27" s="32" t="s">
        <v>32</v>
      </c>
      <c r="FD27" s="32" t="s">
        <v>32</v>
      </c>
      <c r="FE27" s="29" t="s">
        <v>32</v>
      </c>
      <c r="FF27" s="28" t="s">
        <v>32</v>
      </c>
      <c r="FG27" s="26" t="s">
        <v>32</v>
      </c>
      <c r="FH27" s="34" t="s">
        <v>32</v>
      </c>
      <c r="FI27" s="34" t="s">
        <v>32</v>
      </c>
      <c r="FJ27" s="34"/>
      <c r="FK27" s="33">
        <f t="shared" si="29"/>
        <v>171368</v>
      </c>
      <c r="FL27" s="24"/>
      <c r="FM27" s="25">
        <v>45589</v>
      </c>
      <c r="FN27" s="26">
        <v>0</v>
      </c>
      <c r="FO27" s="26">
        <v>0</v>
      </c>
      <c r="FP27" s="27">
        <f t="shared" si="6"/>
        <v>0</v>
      </c>
      <c r="FQ27" s="28">
        <v>4078</v>
      </c>
      <c r="FR27" s="29">
        <v>1143</v>
      </c>
      <c r="FS27" s="29">
        <v>9</v>
      </c>
      <c r="FT27" s="34" t="s">
        <v>32</v>
      </c>
      <c r="FU27" s="34"/>
      <c r="FV27" s="31" t="s">
        <v>32</v>
      </c>
      <c r="FW27" s="34" t="s">
        <v>32</v>
      </c>
      <c r="FX27" s="32" t="s">
        <v>32</v>
      </c>
      <c r="FY27" s="32"/>
      <c r="FZ27" s="34" t="s">
        <v>32</v>
      </c>
      <c r="GA27" s="28"/>
      <c r="GB27" s="28" t="s">
        <v>32</v>
      </c>
      <c r="GC27" s="34" t="s">
        <v>32</v>
      </c>
      <c r="GD27" s="34" t="s">
        <v>32</v>
      </c>
      <c r="GE27" s="32" t="s">
        <v>32</v>
      </c>
      <c r="GF27" s="32" t="s">
        <v>32</v>
      </c>
      <c r="GG27" s="29" t="s">
        <v>32</v>
      </c>
      <c r="GH27" s="28" t="s">
        <v>32</v>
      </c>
      <c r="GI27" s="26" t="s">
        <v>32</v>
      </c>
      <c r="GJ27" s="34" t="s">
        <v>32</v>
      </c>
      <c r="GK27" s="34" t="s">
        <v>32</v>
      </c>
      <c r="GL27" s="34"/>
      <c r="GM27" s="33">
        <f t="shared" si="30"/>
        <v>0</v>
      </c>
      <c r="GN27" s="24"/>
      <c r="GO27" s="25">
        <v>45620</v>
      </c>
      <c r="GP27" s="26">
        <v>13089</v>
      </c>
      <c r="GQ27" s="26">
        <v>649040</v>
      </c>
      <c r="GR27" s="27">
        <f t="shared" si="7"/>
        <v>34555</v>
      </c>
      <c r="GS27" s="28">
        <v>2640</v>
      </c>
      <c r="GT27" s="29">
        <v>1371</v>
      </c>
      <c r="GU27" s="29">
        <v>8</v>
      </c>
      <c r="GV27" s="34" t="s">
        <v>32</v>
      </c>
      <c r="GW27" s="34"/>
      <c r="GX27" s="31" t="s">
        <v>32</v>
      </c>
      <c r="GY27" s="34" t="s">
        <v>32</v>
      </c>
      <c r="GZ27" s="32" t="s">
        <v>32</v>
      </c>
      <c r="HA27" s="32"/>
      <c r="HB27" s="34">
        <v>33000</v>
      </c>
      <c r="HC27" s="28"/>
      <c r="HD27" s="28" t="s">
        <v>32</v>
      </c>
      <c r="HE27" s="34">
        <v>755</v>
      </c>
      <c r="HF27" s="34" t="s">
        <v>32</v>
      </c>
      <c r="HG27" s="32">
        <v>800</v>
      </c>
      <c r="HH27" s="32" t="s">
        <v>108</v>
      </c>
      <c r="HI27" s="29" t="s">
        <v>32</v>
      </c>
      <c r="HJ27" s="28" t="s">
        <v>32</v>
      </c>
      <c r="HK27" s="26" t="s">
        <v>32</v>
      </c>
      <c r="HL27" s="34" t="s">
        <v>32</v>
      </c>
      <c r="HM27" s="34" t="s">
        <v>32</v>
      </c>
      <c r="HN27" s="34"/>
      <c r="HO27" s="33">
        <f t="shared" si="31"/>
        <v>34555</v>
      </c>
      <c r="HP27" s="24"/>
      <c r="HQ27" s="25">
        <v>45650</v>
      </c>
      <c r="HR27" s="26">
        <v>155</v>
      </c>
      <c r="HS27" s="26">
        <v>7000</v>
      </c>
      <c r="HT27" s="27">
        <f t="shared" si="8"/>
        <v>202400</v>
      </c>
      <c r="HU27" s="28">
        <v>330</v>
      </c>
      <c r="HV27" s="29">
        <v>0</v>
      </c>
      <c r="HW27" s="29">
        <v>6.75</v>
      </c>
      <c r="HX27" s="34">
        <v>34630</v>
      </c>
      <c r="HY27" s="34">
        <v>33270</v>
      </c>
      <c r="HZ27" s="31">
        <v>128900</v>
      </c>
      <c r="IA27" s="34" t="s">
        <v>32</v>
      </c>
      <c r="IB27" s="32">
        <v>3170</v>
      </c>
      <c r="IC27" s="32"/>
      <c r="ID27" s="34" t="s">
        <v>32</v>
      </c>
      <c r="IE27" s="28"/>
      <c r="IF27" s="28">
        <v>500</v>
      </c>
      <c r="IG27" s="34">
        <v>1930</v>
      </c>
      <c r="IH27" s="34" t="s">
        <v>32</v>
      </c>
      <c r="II27" s="32" t="s">
        <v>32</v>
      </c>
      <c r="IJ27" s="32" t="s">
        <v>32</v>
      </c>
      <c r="IK27" s="29" t="s">
        <v>32</v>
      </c>
      <c r="IL27" s="28" t="s">
        <v>32</v>
      </c>
      <c r="IM27" s="26" t="s">
        <v>32</v>
      </c>
      <c r="IN27" s="34" t="s">
        <v>32</v>
      </c>
      <c r="IO27" s="34" t="s">
        <v>32</v>
      </c>
      <c r="IP27" s="34"/>
      <c r="IQ27" s="33">
        <f t="shared" si="32"/>
        <v>202400</v>
      </c>
      <c r="IR27" s="24"/>
      <c r="IS27" s="25">
        <v>45681</v>
      </c>
      <c r="IT27" s="26">
        <v>156</v>
      </c>
      <c r="IU27" s="26">
        <v>7200</v>
      </c>
      <c r="IV27" s="27">
        <f t="shared" si="9"/>
        <v>195693</v>
      </c>
      <c r="IW27" s="28">
        <v>1564</v>
      </c>
      <c r="IX27" s="29">
        <v>1511</v>
      </c>
      <c r="IY27" s="29">
        <v>7</v>
      </c>
      <c r="IZ27" s="34">
        <v>8450</v>
      </c>
      <c r="JA27" s="34">
        <v>9250</v>
      </c>
      <c r="JB27" s="31" t="s">
        <v>32</v>
      </c>
      <c r="JC27" s="34">
        <v>85480</v>
      </c>
      <c r="JD27" s="32">
        <v>1135</v>
      </c>
      <c r="JE27" s="32">
        <v>49800</v>
      </c>
      <c r="JF27" s="34" t="s">
        <v>32</v>
      </c>
      <c r="JG27" s="28">
        <v>32968</v>
      </c>
      <c r="JH27" s="28">
        <v>840</v>
      </c>
      <c r="JI27" s="34">
        <v>5170</v>
      </c>
      <c r="JJ27" s="34" t="s">
        <v>32</v>
      </c>
      <c r="JK27" s="32" t="s">
        <v>32</v>
      </c>
      <c r="JL27" s="32" t="s">
        <v>32</v>
      </c>
      <c r="JM27" s="29" t="s">
        <v>32</v>
      </c>
      <c r="JN27" s="28" t="s">
        <v>32</v>
      </c>
      <c r="JO27" s="26">
        <v>2600</v>
      </c>
      <c r="JP27" s="34" t="s">
        <v>40</v>
      </c>
      <c r="JQ27" s="34" t="s">
        <v>32</v>
      </c>
      <c r="JR27" s="34"/>
      <c r="JS27" s="33">
        <f t="shared" si="33"/>
        <v>195693</v>
      </c>
      <c r="JT27" s="24"/>
      <c r="JU27" s="25">
        <v>45712</v>
      </c>
      <c r="JV27" s="26">
        <v>0</v>
      </c>
      <c r="JW27" s="26">
        <v>0</v>
      </c>
      <c r="JX27" s="27">
        <f t="shared" si="10"/>
        <v>220300</v>
      </c>
      <c r="JY27" s="28">
        <v>3466</v>
      </c>
      <c r="JZ27" s="29">
        <v>1393</v>
      </c>
      <c r="KA27" s="29">
        <v>6.25</v>
      </c>
      <c r="KB27" s="34" t="s">
        <v>32</v>
      </c>
      <c r="KC27" s="34"/>
      <c r="KD27" s="31">
        <v>209500</v>
      </c>
      <c r="KE27" s="34" t="s">
        <v>32</v>
      </c>
      <c r="KF27" s="32" t="s">
        <v>32</v>
      </c>
      <c r="KG27" s="32"/>
      <c r="KH27" s="34" t="s">
        <v>32</v>
      </c>
      <c r="KI27" s="28"/>
      <c r="KJ27" s="28" t="s">
        <v>32</v>
      </c>
      <c r="KK27" s="34">
        <v>800</v>
      </c>
      <c r="KL27" s="34" t="s">
        <v>32</v>
      </c>
      <c r="KM27" s="32" t="s">
        <v>32</v>
      </c>
      <c r="KN27" s="32" t="s">
        <v>32</v>
      </c>
      <c r="KQ27" s="29">
        <v>10000</v>
      </c>
      <c r="KR27" s="28" t="s">
        <v>40</v>
      </c>
      <c r="KS27" s="34" t="s">
        <v>32</v>
      </c>
      <c r="KT27" s="34"/>
      <c r="KU27" s="33">
        <f t="shared" si="34"/>
        <v>220300</v>
      </c>
      <c r="KV27" s="24"/>
      <c r="KW27" s="25">
        <v>45740</v>
      </c>
      <c r="KX27" s="26">
        <v>0</v>
      </c>
      <c r="KY27" s="26">
        <v>0</v>
      </c>
      <c r="KZ27" s="27">
        <f t="shared" si="11"/>
        <v>0</v>
      </c>
      <c r="LA27" s="28">
        <v>2712</v>
      </c>
      <c r="LB27" s="29">
        <v>2065</v>
      </c>
      <c r="LC27" s="29">
        <v>13.75</v>
      </c>
      <c r="LD27" s="34" t="s">
        <v>32</v>
      </c>
      <c r="LE27" s="34"/>
      <c r="LF27" s="31" t="s">
        <v>32</v>
      </c>
      <c r="LG27" s="34" t="s">
        <v>32</v>
      </c>
      <c r="LH27" s="32" t="s">
        <v>32</v>
      </c>
      <c r="LI27" s="32"/>
      <c r="LJ27" s="34" t="s">
        <v>32</v>
      </c>
      <c r="LK27" s="28"/>
      <c r="LL27" s="28" t="s">
        <v>32</v>
      </c>
      <c r="LM27" s="34" t="s">
        <v>32</v>
      </c>
      <c r="LN27" s="34" t="s">
        <v>32</v>
      </c>
      <c r="LO27" s="32" t="s">
        <v>32</v>
      </c>
      <c r="LP27" s="32" t="s">
        <v>32</v>
      </c>
      <c r="LQ27" s="29" t="s">
        <v>32</v>
      </c>
      <c r="LR27" s="28" t="s">
        <v>32</v>
      </c>
      <c r="LS27" s="26" t="s">
        <v>32</v>
      </c>
      <c r="LT27" s="34" t="s">
        <v>32</v>
      </c>
      <c r="LU27" s="34" t="s">
        <v>32</v>
      </c>
      <c r="LV27" s="34"/>
      <c r="LW27" s="33">
        <f t="shared" si="35"/>
        <v>0</v>
      </c>
      <c r="LX27" s="24"/>
    </row>
    <row r="28" spans="1:336" x14ac:dyDescent="0.3">
      <c r="A28" s="25">
        <v>45407</v>
      </c>
      <c r="B28" s="26">
        <v>0</v>
      </c>
      <c r="C28" s="26">
        <v>0</v>
      </c>
      <c r="D28" s="27">
        <f t="shared" si="0"/>
        <v>0</v>
      </c>
      <c r="E28" s="28">
        <v>0</v>
      </c>
      <c r="F28" s="29">
        <v>0</v>
      </c>
      <c r="G28" s="29">
        <v>0</v>
      </c>
      <c r="H28" s="34" t="s">
        <v>32</v>
      </c>
      <c r="I28" s="34"/>
      <c r="J28" s="31" t="s">
        <v>32</v>
      </c>
      <c r="K28" s="34" t="s">
        <v>32</v>
      </c>
      <c r="L28" s="32" t="s">
        <v>32</v>
      </c>
      <c r="M28" s="32"/>
      <c r="N28" s="34" t="s">
        <v>32</v>
      </c>
      <c r="O28" s="28"/>
      <c r="P28" s="28" t="s">
        <v>32</v>
      </c>
      <c r="Q28" s="34" t="s">
        <v>32</v>
      </c>
      <c r="R28" s="34" t="s">
        <v>32</v>
      </c>
      <c r="S28" s="32"/>
      <c r="T28" s="32" t="s">
        <v>32</v>
      </c>
      <c r="U28" s="29"/>
      <c r="V28" s="28" t="s">
        <v>32</v>
      </c>
      <c r="W28" s="26" t="s">
        <v>32</v>
      </c>
      <c r="X28" s="34" t="s">
        <v>32</v>
      </c>
      <c r="Y28" s="34" t="s">
        <v>32</v>
      </c>
      <c r="Z28" s="34"/>
      <c r="AA28" s="33">
        <f t="shared" si="24"/>
        <v>0</v>
      </c>
      <c r="AB28" s="24"/>
      <c r="AC28" s="25">
        <v>45437</v>
      </c>
      <c r="AD28" s="26">
        <v>6769</v>
      </c>
      <c r="AE28" s="26">
        <v>352249</v>
      </c>
      <c r="AF28" s="27">
        <f t="shared" si="1"/>
        <v>4421</v>
      </c>
      <c r="AG28" s="28">
        <v>5033</v>
      </c>
      <c r="AH28" s="29">
        <v>2730</v>
      </c>
      <c r="AI28" s="29">
        <v>8</v>
      </c>
      <c r="AJ28" s="34" t="s">
        <v>32</v>
      </c>
      <c r="AK28" s="34"/>
      <c r="AL28" s="31" t="s">
        <v>32</v>
      </c>
      <c r="AM28" s="34" t="s">
        <v>32</v>
      </c>
      <c r="AN28" s="32">
        <v>1100</v>
      </c>
      <c r="AO28" s="32"/>
      <c r="AP28" s="34" t="s">
        <v>32</v>
      </c>
      <c r="AQ28" s="28">
        <v>2377</v>
      </c>
      <c r="AR28" s="28" t="s">
        <v>32</v>
      </c>
      <c r="AS28" s="34">
        <v>944</v>
      </c>
      <c r="AT28" s="34" t="s">
        <v>32</v>
      </c>
      <c r="AU28" s="32"/>
      <c r="AV28" s="32" t="s">
        <v>32</v>
      </c>
      <c r="AW28" s="29"/>
      <c r="AX28" s="28" t="s">
        <v>32</v>
      </c>
      <c r="AY28" s="26" t="s">
        <v>32</v>
      </c>
      <c r="AZ28" s="34" t="s">
        <v>32</v>
      </c>
      <c r="BA28" s="34" t="s">
        <v>32</v>
      </c>
      <c r="BB28" s="34"/>
      <c r="BC28" s="33">
        <f t="shared" si="25"/>
        <v>4421</v>
      </c>
      <c r="BD28" s="24"/>
      <c r="BE28" s="25">
        <v>45468</v>
      </c>
      <c r="BF28" s="26">
        <v>7358</v>
      </c>
      <c r="BG28" s="26">
        <v>524135</v>
      </c>
      <c r="BH28" s="27">
        <f t="shared" si="2"/>
        <v>156139</v>
      </c>
      <c r="BI28" s="28">
        <v>2061</v>
      </c>
      <c r="BJ28" s="29">
        <v>2380</v>
      </c>
      <c r="BK28" s="29">
        <v>4.25</v>
      </c>
      <c r="BL28" s="34" t="s">
        <v>32</v>
      </c>
      <c r="BM28" s="34"/>
      <c r="BN28" s="31">
        <v>39200</v>
      </c>
      <c r="BO28" s="34">
        <v>103900</v>
      </c>
      <c r="BP28" s="32">
        <v>1525</v>
      </c>
      <c r="BQ28" s="32"/>
      <c r="BR28" s="34" t="s">
        <v>32</v>
      </c>
      <c r="BS28" s="28"/>
      <c r="BT28" s="28">
        <v>700</v>
      </c>
      <c r="BU28" s="34" t="s">
        <v>32</v>
      </c>
      <c r="BV28" s="34" t="s">
        <v>32</v>
      </c>
      <c r="BW28" s="32"/>
      <c r="BX28" s="32" t="s">
        <v>32</v>
      </c>
      <c r="BY28" s="29">
        <v>10814</v>
      </c>
      <c r="BZ28" s="28" t="s">
        <v>32</v>
      </c>
      <c r="CA28" s="26" t="s">
        <v>32</v>
      </c>
      <c r="CB28" s="34" t="s">
        <v>32</v>
      </c>
      <c r="CC28" s="34" t="s">
        <v>32</v>
      </c>
      <c r="CD28" s="34"/>
      <c r="CE28" s="33">
        <f t="shared" si="26"/>
        <v>156139</v>
      </c>
      <c r="CF28" s="24"/>
      <c r="CG28" s="25">
        <v>45498</v>
      </c>
      <c r="CH28" s="26">
        <v>11847</v>
      </c>
      <c r="CI28" s="26">
        <v>313659</v>
      </c>
      <c r="CJ28" s="27">
        <f t="shared" si="3"/>
        <v>182886</v>
      </c>
      <c r="CK28" s="28">
        <v>2645</v>
      </c>
      <c r="CL28" s="29">
        <v>3948</v>
      </c>
      <c r="CM28" s="29">
        <v>8</v>
      </c>
      <c r="CN28" s="34" t="s">
        <v>32</v>
      </c>
      <c r="CO28" s="34"/>
      <c r="CP28" s="31">
        <v>182016</v>
      </c>
      <c r="CQ28" s="34" t="s">
        <v>32</v>
      </c>
      <c r="CR28" s="32" t="s">
        <v>32</v>
      </c>
      <c r="CS28" s="32"/>
      <c r="CT28" s="34" t="s">
        <v>32</v>
      </c>
      <c r="CU28" s="28"/>
      <c r="CV28" s="28">
        <v>90</v>
      </c>
      <c r="CW28" s="34" t="s">
        <v>32</v>
      </c>
      <c r="CX28" s="34" t="s">
        <v>32</v>
      </c>
      <c r="CY28" s="32"/>
      <c r="CZ28" s="32" t="s">
        <v>32</v>
      </c>
      <c r="DA28" s="29"/>
      <c r="DB28" s="28">
        <v>280</v>
      </c>
      <c r="DC28" s="26">
        <v>500</v>
      </c>
      <c r="DD28" s="34" t="s">
        <v>40</v>
      </c>
      <c r="DE28" s="34" t="s">
        <v>32</v>
      </c>
      <c r="DF28" s="34"/>
      <c r="DG28" s="33">
        <f t="shared" si="27"/>
        <v>182886</v>
      </c>
      <c r="DH28" s="24"/>
      <c r="DI28" s="25">
        <v>45529</v>
      </c>
      <c r="DJ28" s="26">
        <v>0</v>
      </c>
      <c r="DK28" s="26">
        <v>0</v>
      </c>
      <c r="DL28" s="27">
        <f t="shared" si="4"/>
        <v>0</v>
      </c>
      <c r="DM28" s="28">
        <v>972</v>
      </c>
      <c r="DN28" s="29">
        <v>1168</v>
      </c>
      <c r="DO28" s="29">
        <v>2.5</v>
      </c>
      <c r="DP28" s="34" t="s">
        <v>32</v>
      </c>
      <c r="DQ28" s="34"/>
      <c r="DR28" s="31" t="s">
        <v>32</v>
      </c>
      <c r="DS28" s="34" t="s">
        <v>32</v>
      </c>
      <c r="DT28" s="32" t="s">
        <v>32</v>
      </c>
      <c r="DU28" s="32"/>
      <c r="DV28" s="34" t="s">
        <v>32</v>
      </c>
      <c r="DW28" s="28"/>
      <c r="DX28" s="28" t="s">
        <v>32</v>
      </c>
      <c r="DY28" s="34" t="s">
        <v>32</v>
      </c>
      <c r="DZ28" s="34" t="s">
        <v>32</v>
      </c>
      <c r="EA28" s="32"/>
      <c r="EB28" s="32" t="s">
        <v>32</v>
      </c>
      <c r="EC28" s="29"/>
      <c r="ED28" s="28" t="s">
        <v>32</v>
      </c>
      <c r="EE28" s="26" t="s">
        <v>32</v>
      </c>
      <c r="EF28" s="34" t="s">
        <v>32</v>
      </c>
      <c r="EG28" s="34" t="s">
        <v>32</v>
      </c>
      <c r="EH28" s="34"/>
      <c r="EI28" s="33">
        <f t="shared" si="28"/>
        <v>0</v>
      </c>
      <c r="EJ28" s="24"/>
      <c r="EK28" s="25">
        <v>45560</v>
      </c>
      <c r="EL28" s="26">
        <v>0</v>
      </c>
      <c r="EM28" s="26">
        <v>0</v>
      </c>
      <c r="EN28" s="27">
        <f t="shared" si="5"/>
        <v>0</v>
      </c>
      <c r="EO28" s="28">
        <v>3531</v>
      </c>
      <c r="EP28" s="29">
        <v>3594</v>
      </c>
      <c r="EQ28" s="29">
        <v>12</v>
      </c>
      <c r="ER28" s="34" t="s">
        <v>32</v>
      </c>
      <c r="ES28" s="34"/>
      <c r="ET28" s="31" t="s">
        <v>32</v>
      </c>
      <c r="EU28" s="34" t="s">
        <v>32</v>
      </c>
      <c r="EV28" s="32" t="s">
        <v>32</v>
      </c>
      <c r="EW28" s="32"/>
      <c r="EX28" s="34" t="s">
        <v>32</v>
      </c>
      <c r="EY28" s="28"/>
      <c r="EZ28" s="28" t="s">
        <v>32</v>
      </c>
      <c r="FA28" s="34" t="s">
        <v>32</v>
      </c>
      <c r="FB28" s="34" t="s">
        <v>32</v>
      </c>
      <c r="FC28" s="32"/>
      <c r="FD28" s="32" t="s">
        <v>32</v>
      </c>
      <c r="FE28" s="29"/>
      <c r="FF28" s="28" t="s">
        <v>32</v>
      </c>
      <c r="FG28" s="26" t="s">
        <v>32</v>
      </c>
      <c r="FH28" s="34" t="s">
        <v>32</v>
      </c>
      <c r="FI28" s="34" t="s">
        <v>32</v>
      </c>
      <c r="FJ28" s="34"/>
      <c r="FK28" s="33">
        <f t="shared" si="29"/>
        <v>0</v>
      </c>
      <c r="FL28" s="24"/>
      <c r="FM28" s="25">
        <v>45590</v>
      </c>
      <c r="FN28" s="26">
        <v>537</v>
      </c>
      <c r="FO28" s="26">
        <v>29530</v>
      </c>
      <c r="FP28" s="27">
        <f t="shared" si="6"/>
        <v>198362</v>
      </c>
      <c r="FQ28" s="28">
        <v>3930</v>
      </c>
      <c r="FR28" s="29">
        <v>5490</v>
      </c>
      <c r="FS28" s="29">
        <v>11.75</v>
      </c>
      <c r="FT28" s="34">
        <v>21452</v>
      </c>
      <c r="FU28" s="34">
        <v>25947</v>
      </c>
      <c r="FV28" s="31">
        <v>131088</v>
      </c>
      <c r="FW28" s="34" t="s">
        <v>32</v>
      </c>
      <c r="FX28" s="32">
        <v>300</v>
      </c>
      <c r="FY28" s="32">
        <v>16500</v>
      </c>
      <c r="FZ28" s="34" t="s">
        <v>32</v>
      </c>
      <c r="GA28" s="28"/>
      <c r="GB28" s="28" t="s">
        <v>32</v>
      </c>
      <c r="GC28" s="34">
        <v>2675</v>
      </c>
      <c r="GD28" s="34" t="s">
        <v>32</v>
      </c>
      <c r="GE28" s="32"/>
      <c r="GF28" s="32" t="s">
        <v>32</v>
      </c>
      <c r="GG28" s="29">
        <v>400</v>
      </c>
      <c r="GH28" s="28" t="s">
        <v>32</v>
      </c>
      <c r="GI28" s="26" t="s">
        <v>32</v>
      </c>
      <c r="GJ28" s="34" t="s">
        <v>32</v>
      </c>
      <c r="GK28" s="34" t="s">
        <v>32</v>
      </c>
      <c r="GL28" s="34"/>
      <c r="GM28" s="33">
        <f t="shared" si="30"/>
        <v>198362</v>
      </c>
      <c r="GN28" s="24"/>
      <c r="GO28" s="25">
        <v>45621</v>
      </c>
      <c r="GP28" s="26">
        <v>0</v>
      </c>
      <c r="GQ28" s="26">
        <v>0</v>
      </c>
      <c r="GR28" s="27">
        <f t="shared" si="7"/>
        <v>0</v>
      </c>
      <c r="GS28" s="28">
        <v>3902</v>
      </c>
      <c r="GT28" s="29">
        <v>0</v>
      </c>
      <c r="GU28" s="29">
        <v>6.25</v>
      </c>
      <c r="GV28" s="34" t="s">
        <v>32</v>
      </c>
      <c r="GW28" s="34"/>
      <c r="GX28" s="31" t="s">
        <v>32</v>
      </c>
      <c r="GY28" s="34" t="s">
        <v>32</v>
      </c>
      <c r="GZ28" s="32" t="s">
        <v>32</v>
      </c>
      <c r="HA28" s="32"/>
      <c r="HB28" s="34" t="s">
        <v>32</v>
      </c>
      <c r="HC28" s="28"/>
      <c r="HD28" s="28" t="s">
        <v>32</v>
      </c>
      <c r="HE28" s="34" t="s">
        <v>32</v>
      </c>
      <c r="HF28" s="34" t="s">
        <v>32</v>
      </c>
      <c r="HG28" s="32"/>
      <c r="HH28" s="32" t="s">
        <v>32</v>
      </c>
      <c r="HI28" s="29"/>
      <c r="HJ28" s="28" t="s">
        <v>32</v>
      </c>
      <c r="HK28" s="26" t="s">
        <v>32</v>
      </c>
      <c r="HL28" s="34" t="s">
        <v>32</v>
      </c>
      <c r="HM28" s="34" t="s">
        <v>32</v>
      </c>
      <c r="HN28" s="34"/>
      <c r="HO28" s="33">
        <f t="shared" si="31"/>
        <v>0</v>
      </c>
      <c r="HP28" s="24"/>
      <c r="HQ28" s="25">
        <v>45651</v>
      </c>
      <c r="HR28" s="26">
        <v>0</v>
      </c>
      <c r="HS28" s="26">
        <v>0</v>
      </c>
      <c r="HT28" s="27">
        <f t="shared" si="8"/>
        <v>0</v>
      </c>
      <c r="HU28" s="28">
        <v>2351</v>
      </c>
      <c r="HV28" s="29">
        <v>0</v>
      </c>
      <c r="HW28" s="29">
        <v>9</v>
      </c>
      <c r="HX28" s="34" t="s">
        <v>32</v>
      </c>
      <c r="HY28" s="34"/>
      <c r="HZ28" s="31" t="s">
        <v>32</v>
      </c>
      <c r="IA28" s="34" t="s">
        <v>32</v>
      </c>
      <c r="IB28" s="32" t="s">
        <v>32</v>
      </c>
      <c r="IC28" s="32"/>
      <c r="ID28" s="34" t="s">
        <v>32</v>
      </c>
      <c r="IE28" s="28"/>
      <c r="IF28" s="28" t="s">
        <v>32</v>
      </c>
      <c r="IG28" s="34" t="s">
        <v>32</v>
      </c>
      <c r="IH28" s="34" t="s">
        <v>32</v>
      </c>
      <c r="II28" s="32"/>
      <c r="IJ28" s="32" t="s">
        <v>32</v>
      </c>
      <c r="IK28" s="29"/>
      <c r="IL28" s="28" t="s">
        <v>32</v>
      </c>
      <c r="IM28" s="26" t="s">
        <v>32</v>
      </c>
      <c r="IN28" s="34" t="s">
        <v>32</v>
      </c>
      <c r="IO28" s="34" t="s">
        <v>32</v>
      </c>
      <c r="IP28" s="34"/>
      <c r="IQ28" s="33">
        <f t="shared" si="32"/>
        <v>0</v>
      </c>
      <c r="IR28" s="24"/>
      <c r="IS28" s="25">
        <v>45682</v>
      </c>
      <c r="IT28" s="26">
        <v>0</v>
      </c>
      <c r="IU28" s="26">
        <v>0</v>
      </c>
      <c r="IV28" s="27">
        <f t="shared" si="9"/>
        <v>0</v>
      </c>
      <c r="IW28" s="28">
        <v>0</v>
      </c>
      <c r="IX28" s="29">
        <v>2269</v>
      </c>
      <c r="IY28" s="29">
        <v>7.25</v>
      </c>
      <c r="IZ28" s="34" t="s">
        <v>32</v>
      </c>
      <c r="JA28" s="34"/>
      <c r="JB28" s="31" t="s">
        <v>32</v>
      </c>
      <c r="JC28" s="34" t="s">
        <v>32</v>
      </c>
      <c r="JD28" s="32" t="s">
        <v>32</v>
      </c>
      <c r="JE28" s="32"/>
      <c r="JF28" s="34" t="s">
        <v>32</v>
      </c>
      <c r="JG28" s="28"/>
      <c r="JH28" s="28" t="s">
        <v>32</v>
      </c>
      <c r="JI28" s="34" t="s">
        <v>32</v>
      </c>
      <c r="JJ28" s="34" t="s">
        <v>32</v>
      </c>
      <c r="JK28" s="32"/>
      <c r="JL28" s="32" t="s">
        <v>32</v>
      </c>
      <c r="JM28" s="29"/>
      <c r="JN28" s="28" t="s">
        <v>32</v>
      </c>
      <c r="JO28" s="26" t="s">
        <v>32</v>
      </c>
      <c r="JP28" s="34" t="s">
        <v>32</v>
      </c>
      <c r="JQ28" s="34" t="s">
        <v>32</v>
      </c>
      <c r="JR28" s="34"/>
      <c r="JS28" s="33">
        <f t="shared" si="33"/>
        <v>0</v>
      </c>
      <c r="JT28" s="24"/>
      <c r="JU28" s="25">
        <v>45713</v>
      </c>
      <c r="JV28" s="26">
        <v>0</v>
      </c>
      <c r="JW28" s="26">
        <v>0</v>
      </c>
      <c r="JX28" s="27">
        <f t="shared" si="10"/>
        <v>0</v>
      </c>
      <c r="JY28" s="28">
        <v>4024</v>
      </c>
      <c r="JZ28" s="29">
        <v>2449</v>
      </c>
      <c r="KA28" s="29">
        <v>4.25</v>
      </c>
      <c r="KB28" s="34" t="s">
        <v>32</v>
      </c>
      <c r="KC28" s="34"/>
      <c r="KD28" s="31" t="s">
        <v>32</v>
      </c>
      <c r="KE28" s="34" t="s">
        <v>32</v>
      </c>
      <c r="KF28" s="32" t="s">
        <v>32</v>
      </c>
      <c r="KG28" s="32"/>
      <c r="KH28" s="34" t="s">
        <v>32</v>
      </c>
      <c r="KI28" s="28"/>
      <c r="KJ28" s="28" t="s">
        <v>32</v>
      </c>
      <c r="KK28" s="34" t="s">
        <v>32</v>
      </c>
      <c r="KL28" s="34" t="s">
        <v>32</v>
      </c>
      <c r="KM28" s="32"/>
      <c r="KN28" s="32" t="s">
        <v>32</v>
      </c>
      <c r="KO28" s="29"/>
      <c r="KP28" s="28" t="s">
        <v>32</v>
      </c>
      <c r="KQ28" s="26" t="s">
        <v>32</v>
      </c>
      <c r="KR28" s="34" t="s">
        <v>32</v>
      </c>
      <c r="KS28" s="34" t="s">
        <v>32</v>
      </c>
      <c r="KT28" s="34"/>
      <c r="KU28" s="33">
        <f t="shared" si="34"/>
        <v>0</v>
      </c>
      <c r="KV28" s="24"/>
      <c r="KW28" s="25">
        <v>45741</v>
      </c>
      <c r="KX28" s="26">
        <v>1270</v>
      </c>
      <c r="KY28" s="26">
        <v>80000</v>
      </c>
      <c r="KZ28" s="27">
        <f t="shared" si="11"/>
        <v>104665</v>
      </c>
      <c r="LA28" s="28">
        <v>3237</v>
      </c>
      <c r="LB28" s="29">
        <v>3004</v>
      </c>
      <c r="LC28" s="29">
        <v>13.5</v>
      </c>
      <c r="LD28" s="34" t="s">
        <v>32</v>
      </c>
      <c r="LE28" s="34"/>
      <c r="LF28" s="31">
        <v>30000</v>
      </c>
      <c r="LG28" s="34" t="s">
        <v>32</v>
      </c>
      <c r="LH28" s="32">
        <v>10000</v>
      </c>
      <c r="LI28" s="32"/>
      <c r="LJ28" s="34">
        <v>60000</v>
      </c>
      <c r="LK28" s="28"/>
      <c r="LL28" s="28" t="s">
        <v>32</v>
      </c>
      <c r="LM28" s="34">
        <v>835</v>
      </c>
      <c r="LN28" s="34">
        <v>3830</v>
      </c>
      <c r="LO28" s="32"/>
      <c r="LP28" s="32" t="s">
        <v>32</v>
      </c>
      <c r="LQ28" s="29"/>
      <c r="LR28" s="28" t="s">
        <v>32</v>
      </c>
      <c r="LS28" s="26" t="s">
        <v>32</v>
      </c>
      <c r="LT28" s="34" t="s">
        <v>32</v>
      </c>
      <c r="LU28" s="34" t="s">
        <v>32</v>
      </c>
      <c r="LV28" s="34"/>
      <c r="LW28" s="33">
        <f t="shared" si="35"/>
        <v>104665</v>
      </c>
      <c r="LX28" s="24"/>
    </row>
    <row r="29" spans="1:336" x14ac:dyDescent="0.3">
      <c r="A29" s="25">
        <v>45408</v>
      </c>
      <c r="B29" s="26">
        <v>0</v>
      </c>
      <c r="C29" s="26">
        <v>0</v>
      </c>
      <c r="D29" s="27">
        <f t="shared" si="0"/>
        <v>0</v>
      </c>
      <c r="E29" s="28">
        <v>0</v>
      </c>
      <c r="F29" s="29">
        <v>0</v>
      </c>
      <c r="G29" s="29">
        <v>0</v>
      </c>
      <c r="H29" s="34" t="s">
        <v>32</v>
      </c>
      <c r="I29" s="34"/>
      <c r="J29" s="31" t="s">
        <v>32</v>
      </c>
      <c r="K29" s="34" t="s">
        <v>32</v>
      </c>
      <c r="L29" s="32" t="s">
        <v>32</v>
      </c>
      <c r="M29" s="32"/>
      <c r="N29" s="34"/>
      <c r="O29" s="28"/>
      <c r="P29" s="28" t="s">
        <v>32</v>
      </c>
      <c r="Q29" s="34" t="s">
        <v>32</v>
      </c>
      <c r="R29" s="34" t="s">
        <v>32</v>
      </c>
      <c r="S29" s="32" t="s">
        <v>32</v>
      </c>
      <c r="T29" s="32" t="s">
        <v>32</v>
      </c>
      <c r="U29" s="29" t="s">
        <v>32</v>
      </c>
      <c r="V29" s="28" t="s">
        <v>32</v>
      </c>
      <c r="W29" s="26" t="s">
        <v>32</v>
      </c>
      <c r="X29" s="34" t="s">
        <v>32</v>
      </c>
      <c r="Y29" s="34" t="s">
        <v>32</v>
      </c>
      <c r="Z29" s="34"/>
      <c r="AA29" s="33">
        <f t="shared" si="24"/>
        <v>0</v>
      </c>
      <c r="AB29" s="24"/>
      <c r="AC29" s="25">
        <v>45438</v>
      </c>
      <c r="AD29" s="26">
        <v>0</v>
      </c>
      <c r="AE29" s="26">
        <v>0</v>
      </c>
      <c r="AF29" s="27">
        <f t="shared" si="1"/>
        <v>261500</v>
      </c>
      <c r="AG29" s="28">
        <v>3889</v>
      </c>
      <c r="AH29" s="29">
        <v>3118</v>
      </c>
      <c r="AI29" s="29">
        <v>7.5</v>
      </c>
      <c r="AJ29" s="34" t="s">
        <v>32</v>
      </c>
      <c r="AK29" s="34"/>
      <c r="AL29" s="31">
        <v>97000</v>
      </c>
      <c r="AM29" s="34">
        <v>150000</v>
      </c>
      <c r="AN29" s="32">
        <v>14500</v>
      </c>
      <c r="AO29" s="32"/>
      <c r="AP29" s="34"/>
      <c r="AQ29" s="28"/>
      <c r="AR29" s="28" t="s">
        <v>32</v>
      </c>
      <c r="AS29" s="34" t="s">
        <v>32</v>
      </c>
      <c r="AT29" s="34" t="s">
        <v>32</v>
      </c>
      <c r="AU29" s="32" t="s">
        <v>32</v>
      </c>
      <c r="AV29" s="32" t="s">
        <v>32</v>
      </c>
      <c r="AW29" s="29" t="s">
        <v>32</v>
      </c>
      <c r="AX29" s="28" t="s">
        <v>32</v>
      </c>
      <c r="AY29" s="26" t="s">
        <v>32</v>
      </c>
      <c r="AZ29" s="34" t="s">
        <v>32</v>
      </c>
      <c r="BA29" s="34" t="s">
        <v>32</v>
      </c>
      <c r="BB29" s="34"/>
      <c r="BC29" s="33">
        <f t="shared" si="25"/>
        <v>261500</v>
      </c>
      <c r="BD29" s="24"/>
      <c r="BE29" s="25">
        <v>45469</v>
      </c>
      <c r="BF29" s="26">
        <v>0</v>
      </c>
      <c r="BG29" s="26">
        <v>0</v>
      </c>
      <c r="BH29" s="27">
        <f t="shared" si="2"/>
        <v>0</v>
      </c>
      <c r="BI29" s="28">
        <v>3018</v>
      </c>
      <c r="BJ29" s="29">
        <v>0</v>
      </c>
      <c r="BK29" s="29">
        <v>4.5999999999999996</v>
      </c>
      <c r="BL29" s="34" t="s">
        <v>32</v>
      </c>
      <c r="BM29" s="34"/>
      <c r="BN29" s="31" t="s">
        <v>32</v>
      </c>
      <c r="BO29" s="34" t="s">
        <v>32</v>
      </c>
      <c r="BP29" s="32" t="s">
        <v>32</v>
      </c>
      <c r="BQ29" s="32"/>
      <c r="BR29" s="34"/>
      <c r="BS29" s="28"/>
      <c r="BT29" s="28" t="s">
        <v>32</v>
      </c>
      <c r="BU29" s="34" t="s">
        <v>32</v>
      </c>
      <c r="BV29" s="34" t="s">
        <v>32</v>
      </c>
      <c r="BW29" s="32" t="s">
        <v>32</v>
      </c>
      <c r="BX29" s="32" t="s">
        <v>32</v>
      </c>
      <c r="BY29" s="29" t="s">
        <v>32</v>
      </c>
      <c r="BZ29" s="28" t="s">
        <v>32</v>
      </c>
      <c r="CA29" s="26" t="s">
        <v>32</v>
      </c>
      <c r="CB29" s="34" t="s">
        <v>32</v>
      </c>
      <c r="CC29" s="34" t="s">
        <v>32</v>
      </c>
      <c r="CD29" s="34"/>
      <c r="CE29" s="33">
        <f t="shared" si="26"/>
        <v>0</v>
      </c>
      <c r="CF29" s="24"/>
      <c r="CG29" s="25">
        <v>45499</v>
      </c>
      <c r="CH29" s="26">
        <v>7225</v>
      </c>
      <c r="CI29" s="26">
        <v>406045</v>
      </c>
      <c r="CJ29" s="27">
        <f t="shared" si="3"/>
        <v>46980</v>
      </c>
      <c r="CK29" s="28">
        <v>3550</v>
      </c>
      <c r="CL29" s="29">
        <v>990</v>
      </c>
      <c r="CM29" s="29">
        <v>8.25</v>
      </c>
      <c r="CN29" s="34">
        <v>21281</v>
      </c>
      <c r="CO29" s="34">
        <v>25519</v>
      </c>
      <c r="CP29" s="31" t="s">
        <v>32</v>
      </c>
      <c r="CQ29" s="34" t="s">
        <v>32</v>
      </c>
      <c r="CR29" s="32" t="s">
        <v>32</v>
      </c>
      <c r="CS29" s="32"/>
      <c r="CT29" s="34"/>
      <c r="CU29" s="28"/>
      <c r="CV29" s="28" t="s">
        <v>32</v>
      </c>
      <c r="CW29" s="34" t="s">
        <v>32</v>
      </c>
      <c r="CX29" s="34" t="s">
        <v>32</v>
      </c>
      <c r="CY29" s="32">
        <v>180</v>
      </c>
      <c r="CZ29" s="32" t="s">
        <v>71</v>
      </c>
      <c r="DA29" s="29" t="s">
        <v>32</v>
      </c>
      <c r="DB29" s="28" t="s">
        <v>32</v>
      </c>
      <c r="DC29" s="26" t="s">
        <v>32</v>
      </c>
      <c r="DD29" s="34" t="s">
        <v>32</v>
      </c>
      <c r="DE29" s="34" t="s">
        <v>32</v>
      </c>
      <c r="DF29" s="34"/>
      <c r="DG29" s="33">
        <f t="shared" si="27"/>
        <v>46980</v>
      </c>
      <c r="DH29" s="24"/>
      <c r="DI29" s="25">
        <v>45530</v>
      </c>
      <c r="DJ29" s="26">
        <v>0</v>
      </c>
      <c r="DK29" s="26">
        <v>0</v>
      </c>
      <c r="DL29" s="27">
        <f t="shared" si="4"/>
        <v>182803</v>
      </c>
      <c r="DM29" s="28">
        <v>825</v>
      </c>
      <c r="DN29" s="29">
        <v>0</v>
      </c>
      <c r="DO29" s="29">
        <v>5</v>
      </c>
      <c r="DP29" s="34" t="s">
        <v>32</v>
      </c>
      <c r="DQ29" s="34"/>
      <c r="DR29" s="31" t="s">
        <v>32</v>
      </c>
      <c r="DS29" s="34">
        <v>150000</v>
      </c>
      <c r="DT29" s="32" t="s">
        <v>32</v>
      </c>
      <c r="DU29" s="32">
        <v>10200</v>
      </c>
      <c r="DV29" s="34">
        <v>20000</v>
      </c>
      <c r="DW29" s="28"/>
      <c r="DX29" s="28" t="s">
        <v>32</v>
      </c>
      <c r="DY29" s="34">
        <v>2603</v>
      </c>
      <c r="DZ29" s="34" t="s">
        <v>32</v>
      </c>
      <c r="EA29" s="32" t="s">
        <v>32</v>
      </c>
      <c r="EB29" s="32" t="s">
        <v>32</v>
      </c>
      <c r="EC29" s="29" t="s">
        <v>32</v>
      </c>
      <c r="ED29" s="28" t="s">
        <v>32</v>
      </c>
      <c r="EE29" s="26" t="s">
        <v>32</v>
      </c>
      <c r="EF29" s="34" t="s">
        <v>32</v>
      </c>
      <c r="EG29" s="34" t="s">
        <v>32</v>
      </c>
      <c r="EH29" s="34"/>
      <c r="EI29" s="33">
        <f t="shared" si="28"/>
        <v>182803</v>
      </c>
      <c r="EJ29" s="24"/>
      <c r="EK29" s="25">
        <v>45561</v>
      </c>
      <c r="EL29" s="26">
        <v>0</v>
      </c>
      <c r="EM29" s="26">
        <v>0</v>
      </c>
      <c r="EN29" s="27">
        <f t="shared" si="5"/>
        <v>223830</v>
      </c>
      <c r="EO29" s="28">
        <v>3768</v>
      </c>
      <c r="EP29" s="29">
        <v>2399</v>
      </c>
      <c r="EQ29" s="29">
        <v>10</v>
      </c>
      <c r="ER29" s="34">
        <v>9115</v>
      </c>
      <c r="ES29" s="34">
        <v>10985</v>
      </c>
      <c r="ET29" s="31">
        <v>100000</v>
      </c>
      <c r="EU29" s="34">
        <v>80150</v>
      </c>
      <c r="EV29" s="32">
        <v>280</v>
      </c>
      <c r="EW29" s="32"/>
      <c r="EX29" s="34">
        <v>20000</v>
      </c>
      <c r="EY29" s="28"/>
      <c r="EZ29" s="28" t="s">
        <v>32</v>
      </c>
      <c r="FA29" s="34">
        <v>3200</v>
      </c>
      <c r="FB29" s="34" t="s">
        <v>32</v>
      </c>
      <c r="FC29" s="32">
        <v>100</v>
      </c>
      <c r="FD29" s="32" t="s">
        <v>71</v>
      </c>
      <c r="FE29" s="29" t="s">
        <v>32</v>
      </c>
      <c r="FF29" s="28" t="s">
        <v>32</v>
      </c>
      <c r="FG29" s="26" t="s">
        <v>32</v>
      </c>
      <c r="FH29" s="34" t="s">
        <v>32</v>
      </c>
      <c r="FI29" s="34" t="s">
        <v>32</v>
      </c>
      <c r="FJ29" s="34"/>
      <c r="FK29" s="33">
        <f t="shared" si="29"/>
        <v>223830</v>
      </c>
      <c r="FL29" s="24"/>
      <c r="FM29" s="25">
        <v>45591</v>
      </c>
      <c r="FN29" s="26">
        <v>7933</v>
      </c>
      <c r="FO29" s="26">
        <v>592774</v>
      </c>
      <c r="FP29" s="27">
        <f t="shared" si="6"/>
        <v>343</v>
      </c>
      <c r="FQ29" s="28">
        <v>3907</v>
      </c>
      <c r="FR29" s="29">
        <v>1443</v>
      </c>
      <c r="FS29" s="29">
        <v>9.25</v>
      </c>
      <c r="FT29" s="34" t="s">
        <v>32</v>
      </c>
      <c r="FU29" s="34"/>
      <c r="FV29" s="31" t="s">
        <v>32</v>
      </c>
      <c r="FW29" s="34" t="s">
        <v>32</v>
      </c>
      <c r="FX29" s="32" t="s">
        <v>32</v>
      </c>
      <c r="FY29" s="32"/>
      <c r="FZ29" s="34"/>
      <c r="GA29" s="28"/>
      <c r="GB29" s="28" t="s">
        <v>32</v>
      </c>
      <c r="GC29" s="34">
        <v>343</v>
      </c>
      <c r="GD29" s="34" t="s">
        <v>32</v>
      </c>
      <c r="GE29" s="32" t="s">
        <v>32</v>
      </c>
      <c r="GF29" s="32" t="s">
        <v>32</v>
      </c>
      <c r="GG29" s="29" t="s">
        <v>32</v>
      </c>
      <c r="GH29" s="28" t="s">
        <v>32</v>
      </c>
      <c r="GI29" s="26" t="s">
        <v>32</v>
      </c>
      <c r="GJ29" s="34" t="s">
        <v>32</v>
      </c>
      <c r="GK29" s="34" t="s">
        <v>32</v>
      </c>
      <c r="GL29" s="34"/>
      <c r="GM29" s="33">
        <f t="shared" si="30"/>
        <v>343</v>
      </c>
      <c r="GN29" s="24"/>
      <c r="GO29" s="25">
        <v>45622</v>
      </c>
      <c r="GP29" s="26">
        <v>0</v>
      </c>
      <c r="GQ29" s="26">
        <v>0</v>
      </c>
      <c r="GR29" s="27">
        <f t="shared" si="7"/>
        <v>29480</v>
      </c>
      <c r="GS29" s="28">
        <v>3549</v>
      </c>
      <c r="GT29" s="29">
        <v>0</v>
      </c>
      <c r="GU29" s="29">
        <v>6.25</v>
      </c>
      <c r="GV29" s="34" t="s">
        <v>32</v>
      </c>
      <c r="GW29" s="34"/>
      <c r="GX29" s="31" t="s">
        <v>32</v>
      </c>
      <c r="GY29" s="34" t="s">
        <v>32</v>
      </c>
      <c r="GZ29" s="32">
        <v>28504</v>
      </c>
      <c r="HA29" s="32"/>
      <c r="HB29" s="34"/>
      <c r="HC29" s="28"/>
      <c r="HD29" s="28" t="s">
        <v>32</v>
      </c>
      <c r="HE29" s="34">
        <v>976</v>
      </c>
      <c r="HF29" s="34" t="s">
        <v>32</v>
      </c>
      <c r="HG29" s="32" t="s">
        <v>32</v>
      </c>
      <c r="HH29" s="32" t="s">
        <v>32</v>
      </c>
      <c r="HI29" s="29" t="s">
        <v>32</v>
      </c>
      <c r="HJ29" s="28" t="s">
        <v>32</v>
      </c>
      <c r="HK29" s="26" t="s">
        <v>32</v>
      </c>
      <c r="HL29" s="34" t="s">
        <v>32</v>
      </c>
      <c r="HM29" s="34" t="s">
        <v>32</v>
      </c>
      <c r="HN29" s="34"/>
      <c r="HO29" s="33">
        <f t="shared" si="31"/>
        <v>29480</v>
      </c>
      <c r="HP29" s="24"/>
      <c r="HQ29" s="25">
        <v>45652</v>
      </c>
      <c r="HR29" s="26">
        <v>1010</v>
      </c>
      <c r="HS29" s="26">
        <v>49500</v>
      </c>
      <c r="HT29" s="27">
        <f t="shared" si="8"/>
        <v>22280</v>
      </c>
      <c r="HU29" s="28">
        <v>1294</v>
      </c>
      <c r="HV29" s="29">
        <v>0</v>
      </c>
      <c r="HW29" s="29">
        <v>5</v>
      </c>
      <c r="HX29" s="34" t="s">
        <v>32</v>
      </c>
      <c r="HY29" s="34"/>
      <c r="HZ29" s="31" t="s">
        <v>32</v>
      </c>
      <c r="IA29" s="34" t="s">
        <v>32</v>
      </c>
      <c r="IB29" s="32" t="s">
        <v>32</v>
      </c>
      <c r="IC29" s="32"/>
      <c r="ID29" s="34">
        <v>20000</v>
      </c>
      <c r="IE29" s="28"/>
      <c r="IF29" s="28" t="s">
        <v>32</v>
      </c>
      <c r="IG29" s="34">
        <v>1280</v>
      </c>
      <c r="IH29" s="34" t="s">
        <v>32</v>
      </c>
      <c r="II29" s="32" t="s">
        <v>32</v>
      </c>
      <c r="IJ29" s="32" t="s">
        <v>32</v>
      </c>
      <c r="IK29" s="29" t="s">
        <v>32</v>
      </c>
      <c r="IL29" s="28" t="s">
        <v>32</v>
      </c>
      <c r="IM29" s="26">
        <v>1000</v>
      </c>
      <c r="IN29" s="34" t="s">
        <v>40</v>
      </c>
      <c r="IO29" s="34" t="s">
        <v>32</v>
      </c>
      <c r="IP29" s="34"/>
      <c r="IQ29" s="33">
        <f t="shared" si="32"/>
        <v>22280</v>
      </c>
      <c r="IR29" s="24"/>
      <c r="IS29" s="25">
        <v>45683</v>
      </c>
      <c r="IT29" s="26">
        <v>6906</v>
      </c>
      <c r="IU29" s="26">
        <v>343292</v>
      </c>
      <c r="IV29" s="27">
        <f t="shared" si="9"/>
        <v>296830</v>
      </c>
      <c r="IW29" s="28">
        <v>1683</v>
      </c>
      <c r="IX29" s="29">
        <v>4166</v>
      </c>
      <c r="IY29" s="29">
        <v>7.25</v>
      </c>
      <c r="IZ29" s="34">
        <v>56882</v>
      </c>
      <c r="JA29" s="34">
        <v>56768</v>
      </c>
      <c r="JB29" s="31">
        <v>110900</v>
      </c>
      <c r="JC29" s="34">
        <v>1500</v>
      </c>
      <c r="JD29" s="32" t="s">
        <v>32</v>
      </c>
      <c r="JE29" s="32">
        <v>9800</v>
      </c>
      <c r="JF29" s="34">
        <v>59000</v>
      </c>
      <c r="JG29" s="28"/>
      <c r="JH29" s="28" t="s">
        <v>32</v>
      </c>
      <c r="JI29" s="34">
        <v>1980</v>
      </c>
      <c r="JJ29" s="34" t="s">
        <v>32</v>
      </c>
      <c r="JK29" s="32" t="s">
        <v>32</v>
      </c>
      <c r="JL29" s="32" t="s">
        <v>32</v>
      </c>
      <c r="JM29" s="29" t="s">
        <v>32</v>
      </c>
      <c r="JN29" s="28" t="s">
        <v>32</v>
      </c>
      <c r="JO29" s="26" t="s">
        <v>32</v>
      </c>
      <c r="JP29" s="34" t="s">
        <v>32</v>
      </c>
      <c r="JQ29" s="34" t="s">
        <v>32</v>
      </c>
      <c r="JR29" s="34"/>
      <c r="JS29" s="33">
        <f t="shared" si="33"/>
        <v>296830</v>
      </c>
      <c r="JT29" s="24"/>
      <c r="JU29" s="25">
        <v>45714</v>
      </c>
      <c r="JV29" s="26">
        <v>7715</v>
      </c>
      <c r="JW29" s="26">
        <v>586620</v>
      </c>
      <c r="JX29" s="27">
        <f t="shared" si="10"/>
        <v>95100</v>
      </c>
      <c r="JY29" s="28">
        <v>3671</v>
      </c>
      <c r="JZ29" s="29">
        <v>2330</v>
      </c>
      <c r="KA29" s="29">
        <v>6.5</v>
      </c>
      <c r="KB29" s="34" t="s">
        <v>32</v>
      </c>
      <c r="KC29" s="34"/>
      <c r="KD29" s="31">
        <v>92000</v>
      </c>
      <c r="KE29" s="34" t="s">
        <v>32</v>
      </c>
      <c r="KF29" s="32" t="s">
        <v>32</v>
      </c>
      <c r="KG29" s="32"/>
      <c r="KH29" s="34"/>
      <c r="KI29" s="28"/>
      <c r="KJ29" s="28" t="s">
        <v>32</v>
      </c>
      <c r="KK29" s="34">
        <v>3100</v>
      </c>
      <c r="KL29" s="34" t="s">
        <v>32</v>
      </c>
      <c r="KM29" s="32" t="s">
        <v>32</v>
      </c>
      <c r="KN29" s="32" t="s">
        <v>32</v>
      </c>
      <c r="KO29" s="29" t="s">
        <v>32</v>
      </c>
      <c r="KP29" s="28" t="s">
        <v>32</v>
      </c>
      <c r="KQ29" s="26" t="s">
        <v>32</v>
      </c>
      <c r="KR29" s="34" t="s">
        <v>32</v>
      </c>
      <c r="KS29" s="34" t="s">
        <v>32</v>
      </c>
      <c r="KT29" s="34"/>
      <c r="KU29" s="33">
        <f t="shared" si="34"/>
        <v>95100</v>
      </c>
      <c r="KV29" s="24"/>
      <c r="KW29" s="25">
        <v>45742</v>
      </c>
      <c r="KX29" s="26">
        <v>0</v>
      </c>
      <c r="KY29" s="26">
        <v>0</v>
      </c>
      <c r="KZ29" s="27">
        <f t="shared" si="11"/>
        <v>0</v>
      </c>
      <c r="LA29" s="28">
        <v>3151</v>
      </c>
      <c r="LB29" s="29">
        <v>3269</v>
      </c>
      <c r="LC29" s="29">
        <v>6.5</v>
      </c>
      <c r="LD29" s="34" t="s">
        <v>32</v>
      </c>
      <c r="LE29" s="34"/>
      <c r="LF29" s="31" t="s">
        <v>32</v>
      </c>
      <c r="LG29" s="34" t="s">
        <v>32</v>
      </c>
      <c r="LH29" s="32" t="s">
        <v>32</v>
      </c>
      <c r="LI29" s="32"/>
      <c r="LJ29" s="34"/>
      <c r="LK29" s="28"/>
      <c r="LL29" s="28" t="s">
        <v>32</v>
      </c>
      <c r="LM29" s="34" t="s">
        <v>32</v>
      </c>
      <c r="LN29" s="34" t="s">
        <v>32</v>
      </c>
      <c r="LO29" s="32" t="s">
        <v>32</v>
      </c>
      <c r="LP29" s="32" t="s">
        <v>32</v>
      </c>
      <c r="LQ29" s="29" t="s">
        <v>32</v>
      </c>
      <c r="LR29" s="28" t="s">
        <v>32</v>
      </c>
      <c r="LS29" s="26" t="s">
        <v>32</v>
      </c>
      <c r="LT29" s="34" t="s">
        <v>32</v>
      </c>
      <c r="LU29" s="34" t="s">
        <v>32</v>
      </c>
      <c r="LV29" s="34"/>
      <c r="LW29" s="33">
        <f t="shared" si="35"/>
        <v>0</v>
      </c>
      <c r="LX29" s="24"/>
    </row>
    <row r="30" spans="1:336" x14ac:dyDescent="0.3">
      <c r="A30" s="25">
        <v>45409</v>
      </c>
      <c r="B30" s="26">
        <v>5798</v>
      </c>
      <c r="C30" s="26">
        <v>193579</v>
      </c>
      <c r="D30" s="27">
        <f t="shared" si="0"/>
        <v>0</v>
      </c>
      <c r="E30" s="28">
        <v>0</v>
      </c>
      <c r="F30" s="29">
        <v>0</v>
      </c>
      <c r="G30" s="29">
        <v>0</v>
      </c>
      <c r="H30" s="34" t="s">
        <v>32</v>
      </c>
      <c r="I30" s="34"/>
      <c r="J30" s="31" t="s">
        <v>32</v>
      </c>
      <c r="K30" s="34" t="s">
        <v>32</v>
      </c>
      <c r="L30" s="32" t="s">
        <v>32</v>
      </c>
      <c r="M30" s="32"/>
      <c r="N30" s="34"/>
      <c r="O30" s="28" t="s">
        <v>32</v>
      </c>
      <c r="P30" s="28" t="s">
        <v>32</v>
      </c>
      <c r="Q30" s="34" t="s">
        <v>32</v>
      </c>
      <c r="R30" s="34" t="s">
        <v>32</v>
      </c>
      <c r="S30" s="32" t="s">
        <v>32</v>
      </c>
      <c r="T30" s="32" t="s">
        <v>32</v>
      </c>
      <c r="U30" s="29" t="s">
        <v>32</v>
      </c>
      <c r="V30" s="28" t="s">
        <v>32</v>
      </c>
      <c r="W30" s="26" t="s">
        <v>32</v>
      </c>
      <c r="X30" s="34" t="s">
        <v>32</v>
      </c>
      <c r="Y30" s="34" t="s">
        <v>32</v>
      </c>
      <c r="Z30" s="34"/>
      <c r="AA30" s="33">
        <f t="shared" si="24"/>
        <v>0</v>
      </c>
      <c r="AB30" s="24"/>
      <c r="AC30" s="25">
        <v>45439</v>
      </c>
      <c r="AD30" s="26">
        <v>0</v>
      </c>
      <c r="AE30" s="26">
        <v>0</v>
      </c>
      <c r="AF30" s="27">
        <f t="shared" si="1"/>
        <v>386218</v>
      </c>
      <c r="AG30" s="28">
        <v>3358</v>
      </c>
      <c r="AH30" s="29">
        <v>1018</v>
      </c>
      <c r="AI30" s="29">
        <v>5</v>
      </c>
      <c r="AJ30" s="34">
        <v>24921</v>
      </c>
      <c r="AK30" s="34">
        <v>29979</v>
      </c>
      <c r="AL30" s="31">
        <v>329518</v>
      </c>
      <c r="AM30" s="34" t="s">
        <v>32</v>
      </c>
      <c r="AN30" s="32">
        <v>730</v>
      </c>
      <c r="AO30" s="32"/>
      <c r="AP30" s="34"/>
      <c r="AQ30" s="28" t="s">
        <v>32</v>
      </c>
      <c r="AR30" s="28">
        <v>500</v>
      </c>
      <c r="AS30" s="34">
        <v>570</v>
      </c>
      <c r="AT30" s="34" t="s">
        <v>32</v>
      </c>
      <c r="AU30" s="32" t="s">
        <v>32</v>
      </c>
      <c r="AV30" s="32" t="s">
        <v>32</v>
      </c>
      <c r="AW30" s="29" t="s">
        <v>32</v>
      </c>
      <c r="AX30" s="28" t="s">
        <v>32</v>
      </c>
      <c r="AY30" s="26" t="s">
        <v>32</v>
      </c>
      <c r="AZ30" s="34" t="s">
        <v>32</v>
      </c>
      <c r="BA30" s="34" t="s">
        <v>32</v>
      </c>
      <c r="BB30" s="34"/>
      <c r="BC30" s="33">
        <f t="shared" si="25"/>
        <v>386218</v>
      </c>
      <c r="BD30" s="24"/>
      <c r="BE30" s="25">
        <v>45470</v>
      </c>
      <c r="BF30" s="26">
        <v>2024</v>
      </c>
      <c r="BG30" s="26">
        <v>138000</v>
      </c>
      <c r="BH30" s="27">
        <f t="shared" si="2"/>
        <v>46515</v>
      </c>
      <c r="BI30" s="28">
        <v>2347</v>
      </c>
      <c r="BJ30" s="29">
        <v>1176</v>
      </c>
      <c r="BK30" s="29">
        <v>5</v>
      </c>
      <c r="BL30" s="34" t="s">
        <v>32</v>
      </c>
      <c r="BM30" s="34"/>
      <c r="BN30" s="31">
        <v>38600</v>
      </c>
      <c r="BO30" s="34" t="s">
        <v>32</v>
      </c>
      <c r="BP30" s="32">
        <v>7100</v>
      </c>
      <c r="BQ30" s="32"/>
      <c r="BR30" s="34"/>
      <c r="BS30" s="28" t="s">
        <v>32</v>
      </c>
      <c r="BT30" s="28">
        <v>815</v>
      </c>
      <c r="BU30" s="34" t="s">
        <v>32</v>
      </c>
      <c r="BV30" s="34" t="s">
        <v>32</v>
      </c>
      <c r="BW30" s="32" t="s">
        <v>32</v>
      </c>
      <c r="BX30" s="32" t="s">
        <v>32</v>
      </c>
      <c r="BY30" s="29" t="s">
        <v>32</v>
      </c>
      <c r="BZ30" s="28" t="s">
        <v>32</v>
      </c>
      <c r="CA30" s="26" t="s">
        <v>32</v>
      </c>
      <c r="CB30" s="34" t="s">
        <v>32</v>
      </c>
      <c r="CC30" s="34" t="s">
        <v>32</v>
      </c>
      <c r="CD30" s="34"/>
      <c r="CE30" s="33">
        <f t="shared" si="26"/>
        <v>46515</v>
      </c>
      <c r="CF30" s="24"/>
      <c r="CG30" s="25">
        <v>45500</v>
      </c>
      <c r="CH30" s="26">
        <v>6266</v>
      </c>
      <c r="CI30" s="26">
        <v>361434</v>
      </c>
      <c r="CJ30" s="27">
        <f t="shared" si="3"/>
        <v>75080</v>
      </c>
      <c r="CK30" s="28">
        <v>737</v>
      </c>
      <c r="CL30" s="29">
        <v>1114</v>
      </c>
      <c r="CM30" s="29">
        <v>7.4</v>
      </c>
      <c r="CN30" s="34">
        <v>10423</v>
      </c>
      <c r="CO30" s="34">
        <v>12577</v>
      </c>
      <c r="CP30" s="31">
        <v>50000</v>
      </c>
      <c r="CQ30" s="34" t="s">
        <v>32</v>
      </c>
      <c r="CR30" s="32" t="s">
        <v>32</v>
      </c>
      <c r="CS30" s="32"/>
      <c r="CT30" s="34"/>
      <c r="CU30" s="28" t="s">
        <v>32</v>
      </c>
      <c r="CV30" s="28" t="s">
        <v>32</v>
      </c>
      <c r="CW30" s="34">
        <v>2080</v>
      </c>
      <c r="CX30" s="34" t="s">
        <v>32</v>
      </c>
      <c r="CY30" s="32" t="s">
        <v>32</v>
      </c>
      <c r="CZ30" s="32" t="s">
        <v>32</v>
      </c>
      <c r="DA30" s="29" t="s">
        <v>32</v>
      </c>
      <c r="DB30" s="28" t="s">
        <v>32</v>
      </c>
      <c r="DC30" s="26" t="s">
        <v>32</v>
      </c>
      <c r="DD30" s="34" t="s">
        <v>32</v>
      </c>
      <c r="DE30" s="34" t="s">
        <v>32</v>
      </c>
      <c r="DF30" s="34"/>
      <c r="DG30" s="33">
        <f t="shared" si="27"/>
        <v>75080</v>
      </c>
      <c r="DH30" s="24"/>
      <c r="DI30" s="25">
        <v>45531</v>
      </c>
      <c r="DJ30" s="26">
        <v>0</v>
      </c>
      <c r="DK30" s="26">
        <v>0</v>
      </c>
      <c r="DL30" s="27">
        <f t="shared" si="4"/>
        <v>0</v>
      </c>
      <c r="DM30" s="28">
        <v>2231</v>
      </c>
      <c r="DN30" s="29">
        <v>0</v>
      </c>
      <c r="DO30" s="29">
        <v>0</v>
      </c>
      <c r="DP30" s="34" t="s">
        <v>32</v>
      </c>
      <c r="DQ30" s="34"/>
      <c r="DR30" s="31" t="s">
        <v>32</v>
      </c>
      <c r="DS30" s="34" t="s">
        <v>32</v>
      </c>
      <c r="DT30" s="32" t="s">
        <v>32</v>
      </c>
      <c r="DU30" s="32"/>
      <c r="DV30" s="34"/>
      <c r="DW30" s="28" t="s">
        <v>32</v>
      </c>
      <c r="DX30" s="28" t="s">
        <v>32</v>
      </c>
      <c r="DY30" s="34" t="s">
        <v>32</v>
      </c>
      <c r="DZ30" s="34" t="s">
        <v>32</v>
      </c>
      <c r="EA30" s="32" t="s">
        <v>32</v>
      </c>
      <c r="EB30" s="32" t="s">
        <v>32</v>
      </c>
      <c r="EC30" s="29" t="s">
        <v>32</v>
      </c>
      <c r="ED30" s="28" t="s">
        <v>32</v>
      </c>
      <c r="EE30" s="26" t="s">
        <v>32</v>
      </c>
      <c r="EF30" s="34" t="s">
        <v>32</v>
      </c>
      <c r="EG30" s="34" t="s">
        <v>32</v>
      </c>
      <c r="EH30" s="34"/>
      <c r="EI30" s="33">
        <f t="shared" si="28"/>
        <v>0</v>
      </c>
      <c r="EJ30" s="24"/>
      <c r="EK30" s="25">
        <v>45562</v>
      </c>
      <c r="EL30" s="26">
        <v>79</v>
      </c>
      <c r="EM30" s="26">
        <v>4200</v>
      </c>
      <c r="EN30" s="27">
        <f t="shared" si="5"/>
        <v>31749</v>
      </c>
      <c r="EO30" s="28">
        <v>3988</v>
      </c>
      <c r="EP30" s="29">
        <v>2294</v>
      </c>
      <c r="EQ30" s="29">
        <v>10.5</v>
      </c>
      <c r="ER30" s="34" t="s">
        <v>32</v>
      </c>
      <c r="ES30" s="34"/>
      <c r="ET30" s="31" t="s">
        <v>32</v>
      </c>
      <c r="EU30" s="34" t="s">
        <v>32</v>
      </c>
      <c r="EV30" s="32" t="s">
        <v>32</v>
      </c>
      <c r="EW30" s="32">
        <v>10500</v>
      </c>
      <c r="EX30" s="34"/>
      <c r="EY30" s="28" t="s">
        <v>32</v>
      </c>
      <c r="EZ30" s="28" t="s">
        <v>32</v>
      </c>
      <c r="FA30" s="34">
        <v>350</v>
      </c>
      <c r="FB30" s="34">
        <v>899</v>
      </c>
      <c r="FC30" s="32" t="s">
        <v>32</v>
      </c>
      <c r="FD30" s="32" t="s">
        <v>32</v>
      </c>
      <c r="FE30" s="29" t="s">
        <v>32</v>
      </c>
      <c r="FF30" s="28" t="s">
        <v>32</v>
      </c>
      <c r="FG30" s="26">
        <v>20000</v>
      </c>
      <c r="FH30" s="34" t="s">
        <v>97</v>
      </c>
      <c r="FI30" s="34" t="s">
        <v>32</v>
      </c>
      <c r="FJ30" s="34"/>
      <c r="FK30" s="33">
        <f t="shared" si="29"/>
        <v>31749</v>
      </c>
      <c r="FL30" s="24"/>
      <c r="FM30" s="25">
        <v>45592</v>
      </c>
      <c r="FN30" s="26">
        <v>0</v>
      </c>
      <c r="FO30" s="26">
        <v>0</v>
      </c>
      <c r="FP30" s="27">
        <f t="shared" si="6"/>
        <v>0</v>
      </c>
      <c r="FQ30" s="28">
        <v>3490</v>
      </c>
      <c r="FR30" s="29">
        <v>2862</v>
      </c>
      <c r="FS30" s="29">
        <v>8.5</v>
      </c>
      <c r="FT30" s="34" t="s">
        <v>32</v>
      </c>
      <c r="FU30" s="34"/>
      <c r="FV30" s="31" t="s">
        <v>32</v>
      </c>
      <c r="FW30" s="34" t="s">
        <v>32</v>
      </c>
      <c r="FX30" s="32" t="s">
        <v>32</v>
      </c>
      <c r="FY30" s="32"/>
      <c r="FZ30" s="34"/>
      <c r="GA30" s="28" t="s">
        <v>32</v>
      </c>
      <c r="GB30" s="28" t="s">
        <v>32</v>
      </c>
      <c r="GC30" s="34" t="s">
        <v>32</v>
      </c>
      <c r="GD30" s="34" t="s">
        <v>32</v>
      </c>
      <c r="GE30" s="32" t="s">
        <v>32</v>
      </c>
      <c r="GF30" s="32" t="s">
        <v>32</v>
      </c>
      <c r="GG30" s="29" t="s">
        <v>32</v>
      </c>
      <c r="GH30" s="28" t="s">
        <v>32</v>
      </c>
      <c r="GI30" s="26" t="s">
        <v>32</v>
      </c>
      <c r="GJ30" s="34" t="s">
        <v>32</v>
      </c>
      <c r="GK30" s="34" t="s">
        <v>32</v>
      </c>
      <c r="GL30" s="34"/>
      <c r="GM30" s="33">
        <f t="shared" si="30"/>
        <v>0</v>
      </c>
      <c r="GN30" s="24"/>
      <c r="GO30" s="25">
        <v>45623</v>
      </c>
      <c r="GP30" s="26">
        <v>1237</v>
      </c>
      <c r="GQ30" s="26">
        <v>74200</v>
      </c>
      <c r="GR30" s="27">
        <f t="shared" si="7"/>
        <v>16363</v>
      </c>
      <c r="GS30" s="28">
        <v>3854</v>
      </c>
      <c r="GT30" s="29">
        <v>4323</v>
      </c>
      <c r="GU30" s="29">
        <v>7.75</v>
      </c>
      <c r="GV30" s="34" t="s">
        <v>32</v>
      </c>
      <c r="GW30" s="34"/>
      <c r="GX30" s="31" t="s">
        <v>32</v>
      </c>
      <c r="GY30" s="34" t="s">
        <v>32</v>
      </c>
      <c r="GZ30" s="32" t="s">
        <v>32</v>
      </c>
      <c r="HA30" s="32">
        <v>15875</v>
      </c>
      <c r="HB30" s="34"/>
      <c r="HC30" s="28" t="s">
        <v>32</v>
      </c>
      <c r="HD30" s="28" t="s">
        <v>32</v>
      </c>
      <c r="HE30" s="34">
        <v>488</v>
      </c>
      <c r="HF30" s="34" t="s">
        <v>32</v>
      </c>
      <c r="HG30" s="32" t="s">
        <v>32</v>
      </c>
      <c r="HH30" s="32" t="s">
        <v>32</v>
      </c>
      <c r="HI30" s="29" t="s">
        <v>32</v>
      </c>
      <c r="HJ30" s="28" t="s">
        <v>32</v>
      </c>
      <c r="HK30" s="26" t="s">
        <v>32</v>
      </c>
      <c r="HL30" s="34" t="s">
        <v>32</v>
      </c>
      <c r="HM30" s="34" t="s">
        <v>32</v>
      </c>
      <c r="HN30" s="34"/>
      <c r="HO30" s="33">
        <f t="shared" si="31"/>
        <v>16363</v>
      </c>
      <c r="HP30" s="24"/>
      <c r="HQ30" s="25">
        <v>45653</v>
      </c>
      <c r="HR30" s="26">
        <v>0</v>
      </c>
      <c r="HS30" s="26">
        <v>0</v>
      </c>
      <c r="HT30" s="27">
        <f t="shared" si="8"/>
        <v>0</v>
      </c>
      <c r="HU30" s="28">
        <v>2992</v>
      </c>
      <c r="HV30" s="29">
        <v>3447</v>
      </c>
      <c r="HW30" s="29">
        <v>7</v>
      </c>
      <c r="HX30" s="34" t="s">
        <v>32</v>
      </c>
      <c r="HY30" s="34"/>
      <c r="HZ30" s="31" t="s">
        <v>32</v>
      </c>
      <c r="IA30" s="34" t="s">
        <v>32</v>
      </c>
      <c r="IB30" s="32" t="s">
        <v>32</v>
      </c>
      <c r="IC30" s="32"/>
      <c r="ID30" s="34"/>
      <c r="IE30" s="28" t="s">
        <v>32</v>
      </c>
      <c r="IF30" s="28" t="s">
        <v>32</v>
      </c>
      <c r="IG30" s="34" t="s">
        <v>32</v>
      </c>
      <c r="IH30" s="34" t="s">
        <v>32</v>
      </c>
      <c r="II30" s="32" t="s">
        <v>32</v>
      </c>
      <c r="IJ30" s="32" t="s">
        <v>32</v>
      </c>
      <c r="IK30" s="29" t="s">
        <v>32</v>
      </c>
      <c r="IL30" s="28" t="s">
        <v>32</v>
      </c>
      <c r="IM30" s="26" t="s">
        <v>32</v>
      </c>
      <c r="IN30" s="34" t="s">
        <v>32</v>
      </c>
      <c r="IO30" s="34" t="s">
        <v>32</v>
      </c>
      <c r="IP30" s="34"/>
      <c r="IQ30" s="33">
        <f t="shared" si="32"/>
        <v>0</v>
      </c>
      <c r="IR30" s="24"/>
      <c r="IS30" s="25">
        <v>45684</v>
      </c>
      <c r="IT30" s="26">
        <v>0</v>
      </c>
      <c r="IU30" s="26">
        <v>0</v>
      </c>
      <c r="IV30" s="27">
        <f t="shared" si="9"/>
        <v>62344</v>
      </c>
      <c r="IW30" s="28">
        <v>2296</v>
      </c>
      <c r="IX30" s="29">
        <v>648</v>
      </c>
      <c r="IY30" s="29">
        <v>8</v>
      </c>
      <c r="IZ30" s="34" t="s">
        <v>32</v>
      </c>
      <c r="JA30" s="34"/>
      <c r="JB30" s="31" t="s">
        <v>32</v>
      </c>
      <c r="JC30" s="34">
        <v>50000</v>
      </c>
      <c r="JD30" s="32">
        <v>330</v>
      </c>
      <c r="JE30" s="32">
        <v>10000</v>
      </c>
      <c r="JF30" s="34"/>
      <c r="JG30" s="28" t="s">
        <v>32</v>
      </c>
      <c r="JH30" s="28" t="s">
        <v>32</v>
      </c>
      <c r="JI30" s="34">
        <v>1750</v>
      </c>
      <c r="JJ30" s="34" t="s">
        <v>32</v>
      </c>
      <c r="JK30" s="32" t="s">
        <v>32</v>
      </c>
      <c r="JL30" s="32" t="s">
        <v>32</v>
      </c>
      <c r="JM30" s="29">
        <v>264</v>
      </c>
      <c r="JN30" s="28" t="s">
        <v>32</v>
      </c>
      <c r="JO30" s="26" t="s">
        <v>32</v>
      </c>
      <c r="JP30" s="34" t="s">
        <v>32</v>
      </c>
      <c r="JQ30" s="34" t="s">
        <v>32</v>
      </c>
      <c r="JR30" s="34"/>
      <c r="JS30" s="33">
        <f t="shared" si="33"/>
        <v>62344</v>
      </c>
      <c r="JT30" s="24"/>
      <c r="JU30" s="25">
        <v>45715</v>
      </c>
      <c r="JV30" s="26">
        <v>0</v>
      </c>
      <c r="JW30" s="26">
        <v>0</v>
      </c>
      <c r="JX30" s="27">
        <f t="shared" si="10"/>
        <v>0</v>
      </c>
      <c r="JY30" s="28">
        <v>0</v>
      </c>
      <c r="JZ30" s="29">
        <v>0</v>
      </c>
      <c r="KA30" s="29">
        <v>0</v>
      </c>
      <c r="KB30" s="34" t="s">
        <v>32</v>
      </c>
      <c r="KC30" s="34"/>
      <c r="KD30" s="31" t="s">
        <v>32</v>
      </c>
      <c r="KE30" s="34" t="s">
        <v>32</v>
      </c>
      <c r="KF30" s="32" t="s">
        <v>32</v>
      </c>
      <c r="KG30" s="32"/>
      <c r="KH30" s="34"/>
      <c r="KI30" s="28" t="s">
        <v>32</v>
      </c>
      <c r="KJ30" s="28" t="s">
        <v>32</v>
      </c>
      <c r="KK30" s="34" t="s">
        <v>32</v>
      </c>
      <c r="KL30" s="34" t="s">
        <v>32</v>
      </c>
      <c r="KM30" s="32" t="s">
        <v>32</v>
      </c>
      <c r="KN30" s="32" t="s">
        <v>32</v>
      </c>
      <c r="KO30" s="29" t="s">
        <v>32</v>
      </c>
      <c r="KP30" s="28" t="s">
        <v>32</v>
      </c>
      <c r="KQ30" s="26" t="s">
        <v>32</v>
      </c>
      <c r="KR30" s="34" t="s">
        <v>32</v>
      </c>
      <c r="KS30" s="34" t="s">
        <v>32</v>
      </c>
      <c r="KT30" s="34"/>
      <c r="KU30" s="33">
        <f t="shared" si="34"/>
        <v>0</v>
      </c>
      <c r="KV30" s="24"/>
      <c r="KW30" s="25">
        <v>45743</v>
      </c>
      <c r="KX30" s="26">
        <v>6584</v>
      </c>
      <c r="KY30" s="26">
        <v>403896</v>
      </c>
      <c r="KZ30" s="27">
        <f t="shared" si="11"/>
        <v>60440</v>
      </c>
      <c r="LA30" s="28">
        <v>3670</v>
      </c>
      <c r="LB30" s="29">
        <v>3399</v>
      </c>
      <c r="LC30" s="29">
        <v>10</v>
      </c>
      <c r="LD30" s="34" t="s">
        <v>32</v>
      </c>
      <c r="LE30" s="34"/>
      <c r="LF30" s="31" t="s">
        <v>32</v>
      </c>
      <c r="LG30" s="34" t="s">
        <v>32</v>
      </c>
      <c r="LH30" s="32">
        <v>35200</v>
      </c>
      <c r="LI30" s="32">
        <v>14500</v>
      </c>
      <c r="LJ30" s="34"/>
      <c r="LK30" s="28" t="s">
        <v>32</v>
      </c>
      <c r="LL30" s="28" t="s">
        <v>32</v>
      </c>
      <c r="LM30" s="34">
        <v>4740</v>
      </c>
      <c r="LN30" s="34" t="s">
        <v>32</v>
      </c>
      <c r="LO30" s="32">
        <v>6000</v>
      </c>
      <c r="LP30" s="32" t="s">
        <v>111</v>
      </c>
      <c r="LQ30" s="29" t="s">
        <v>32</v>
      </c>
      <c r="LR30" s="28" t="s">
        <v>32</v>
      </c>
      <c r="LS30" s="26" t="s">
        <v>32</v>
      </c>
      <c r="LT30" s="34" t="s">
        <v>32</v>
      </c>
      <c r="LU30" s="34" t="s">
        <v>32</v>
      </c>
      <c r="LV30" s="34"/>
      <c r="LW30" s="33">
        <f t="shared" si="35"/>
        <v>60440</v>
      </c>
      <c r="LX30" s="24"/>
    </row>
    <row r="31" spans="1:336" x14ac:dyDescent="0.3">
      <c r="A31" s="25">
        <v>45410</v>
      </c>
      <c r="B31" s="26">
        <v>0</v>
      </c>
      <c r="C31" s="26">
        <v>0</v>
      </c>
      <c r="D31" s="27">
        <f t="shared" si="0"/>
        <v>0</v>
      </c>
      <c r="E31" s="28">
        <v>0</v>
      </c>
      <c r="F31" s="29">
        <v>0</v>
      </c>
      <c r="G31" s="29">
        <v>0</v>
      </c>
      <c r="H31" s="34" t="s">
        <v>32</v>
      </c>
      <c r="I31" s="34"/>
      <c r="J31" s="31" t="s">
        <v>32</v>
      </c>
      <c r="K31" s="34" t="s">
        <v>32</v>
      </c>
      <c r="L31" s="32" t="s">
        <v>32</v>
      </c>
      <c r="M31" s="32"/>
      <c r="N31" s="34" t="s">
        <v>32</v>
      </c>
      <c r="O31" s="28" t="s">
        <v>32</v>
      </c>
      <c r="P31" s="28" t="s">
        <v>32</v>
      </c>
      <c r="Q31" s="34" t="s">
        <v>32</v>
      </c>
      <c r="R31" s="34" t="s">
        <v>32</v>
      </c>
      <c r="S31" s="32" t="s">
        <v>32</v>
      </c>
      <c r="T31" s="32" t="s">
        <v>32</v>
      </c>
      <c r="U31" s="29" t="s">
        <v>32</v>
      </c>
      <c r="V31" s="28" t="s">
        <v>32</v>
      </c>
      <c r="W31" s="26" t="s">
        <v>32</v>
      </c>
      <c r="X31" s="34" t="s">
        <v>32</v>
      </c>
      <c r="Y31" s="34" t="s">
        <v>32</v>
      </c>
      <c r="Z31" s="34"/>
      <c r="AA31" s="33">
        <f t="shared" si="24"/>
        <v>0</v>
      </c>
      <c r="AB31" s="24"/>
      <c r="AC31" s="25">
        <v>45440</v>
      </c>
      <c r="AD31" s="26">
        <v>7441</v>
      </c>
      <c r="AE31" s="26">
        <v>500845</v>
      </c>
      <c r="AF31" s="27">
        <f t="shared" si="1"/>
        <v>22350</v>
      </c>
      <c r="AG31" s="28">
        <v>2476</v>
      </c>
      <c r="AH31" s="29">
        <v>4056</v>
      </c>
      <c r="AI31" s="29">
        <v>7.5</v>
      </c>
      <c r="AJ31" s="34" t="s">
        <v>32</v>
      </c>
      <c r="AK31" s="34"/>
      <c r="AL31" s="31" t="s">
        <v>32</v>
      </c>
      <c r="AM31" s="34" t="s">
        <v>32</v>
      </c>
      <c r="AN31" s="32" t="s">
        <v>32</v>
      </c>
      <c r="AO31" s="32">
        <v>5000</v>
      </c>
      <c r="AP31" s="34" t="s">
        <v>32</v>
      </c>
      <c r="AQ31" s="28" t="s">
        <v>32</v>
      </c>
      <c r="AR31" s="28" t="s">
        <v>32</v>
      </c>
      <c r="AS31" s="34" t="s">
        <v>32</v>
      </c>
      <c r="AT31" s="34" t="s">
        <v>32</v>
      </c>
      <c r="AU31" s="32" t="s">
        <v>32</v>
      </c>
      <c r="AV31" s="32" t="s">
        <v>32</v>
      </c>
      <c r="AW31" s="29" t="s">
        <v>32</v>
      </c>
      <c r="AX31" s="28" t="s">
        <v>32</v>
      </c>
      <c r="AY31" s="26">
        <v>17350</v>
      </c>
      <c r="AZ31" s="34" t="s">
        <v>47</v>
      </c>
      <c r="BA31" s="34" t="s">
        <v>32</v>
      </c>
      <c r="BB31" s="34"/>
      <c r="BC31" s="33">
        <f t="shared" si="25"/>
        <v>22350</v>
      </c>
      <c r="BD31" s="24"/>
      <c r="BE31" s="25">
        <v>45471</v>
      </c>
      <c r="BF31" s="26">
        <v>0</v>
      </c>
      <c r="BG31" s="26">
        <v>0</v>
      </c>
      <c r="BH31" s="27">
        <f t="shared" si="2"/>
        <v>0</v>
      </c>
      <c r="BI31" s="28">
        <v>3331</v>
      </c>
      <c r="BJ31" s="29">
        <v>2178</v>
      </c>
      <c r="BK31" s="29">
        <v>4</v>
      </c>
      <c r="BL31" s="34" t="s">
        <v>32</v>
      </c>
      <c r="BM31" s="34"/>
      <c r="BN31" s="31" t="s">
        <v>32</v>
      </c>
      <c r="BO31" s="34" t="s">
        <v>32</v>
      </c>
      <c r="BP31" s="32" t="s">
        <v>32</v>
      </c>
      <c r="BQ31" s="32"/>
      <c r="BR31" s="34" t="s">
        <v>32</v>
      </c>
      <c r="BS31" s="28" t="s">
        <v>32</v>
      </c>
      <c r="BT31" s="28" t="s">
        <v>32</v>
      </c>
      <c r="BU31" s="34" t="s">
        <v>32</v>
      </c>
      <c r="BV31" s="34" t="s">
        <v>32</v>
      </c>
      <c r="BW31" s="32" t="s">
        <v>32</v>
      </c>
      <c r="BX31" s="32" t="s">
        <v>32</v>
      </c>
      <c r="BY31" s="29" t="s">
        <v>32</v>
      </c>
      <c r="BZ31" s="28" t="s">
        <v>32</v>
      </c>
      <c r="CA31" s="26" t="s">
        <v>32</v>
      </c>
      <c r="CB31" s="34" t="s">
        <v>32</v>
      </c>
      <c r="CC31" s="34" t="s">
        <v>32</v>
      </c>
      <c r="CD31" s="34"/>
      <c r="CE31" s="33">
        <f t="shared" si="26"/>
        <v>0</v>
      </c>
      <c r="CF31" s="24"/>
      <c r="CG31" s="25">
        <v>45501</v>
      </c>
      <c r="CH31" s="26">
        <v>71</v>
      </c>
      <c r="CI31" s="26">
        <v>3750</v>
      </c>
      <c r="CJ31" s="27">
        <f t="shared" si="3"/>
        <v>152415</v>
      </c>
      <c r="CK31" s="28">
        <v>2619</v>
      </c>
      <c r="CL31" s="29">
        <v>1771</v>
      </c>
      <c r="CM31" s="29">
        <v>9</v>
      </c>
      <c r="CN31" s="34">
        <v>10151</v>
      </c>
      <c r="CO31" s="34">
        <v>12249</v>
      </c>
      <c r="CP31" s="31">
        <v>74000</v>
      </c>
      <c r="CQ31" s="34"/>
      <c r="CR31" s="32">
        <v>3550</v>
      </c>
      <c r="CS31" s="32"/>
      <c r="CT31" s="34">
        <v>50000</v>
      </c>
      <c r="CU31" s="28" t="s">
        <v>32</v>
      </c>
      <c r="CV31" s="28" t="s">
        <v>32</v>
      </c>
      <c r="CW31" s="34">
        <v>1665</v>
      </c>
      <c r="CX31" s="34" t="s">
        <v>32</v>
      </c>
      <c r="CY31" s="32" t="s">
        <v>32</v>
      </c>
      <c r="CZ31" s="32" t="s">
        <v>32</v>
      </c>
      <c r="DA31" s="29" t="s">
        <v>32</v>
      </c>
      <c r="DB31" s="28" t="s">
        <v>32</v>
      </c>
      <c r="DC31" s="26">
        <v>800</v>
      </c>
      <c r="DD31" s="34" t="s">
        <v>40</v>
      </c>
      <c r="DE31" s="34" t="s">
        <v>32</v>
      </c>
      <c r="DF31" s="34"/>
      <c r="DG31" s="33">
        <f t="shared" si="27"/>
        <v>152415</v>
      </c>
      <c r="DH31" s="24"/>
      <c r="DI31" s="25">
        <v>45532</v>
      </c>
      <c r="DJ31" s="26">
        <v>0</v>
      </c>
      <c r="DK31" s="26">
        <v>0</v>
      </c>
      <c r="DL31" s="27">
        <f t="shared" si="4"/>
        <v>13176</v>
      </c>
      <c r="DM31" s="28">
        <v>3204</v>
      </c>
      <c r="DN31" s="29">
        <v>1485</v>
      </c>
      <c r="DO31" s="29">
        <v>7.5</v>
      </c>
      <c r="DP31" s="34" t="s">
        <v>32</v>
      </c>
      <c r="DQ31" s="34"/>
      <c r="DR31" s="31" t="s">
        <v>32</v>
      </c>
      <c r="DS31" s="34" t="s">
        <v>32</v>
      </c>
      <c r="DT31" s="32" t="s">
        <v>32</v>
      </c>
      <c r="DU31" s="32">
        <v>9000</v>
      </c>
      <c r="DV31" s="34" t="s">
        <v>32</v>
      </c>
      <c r="DW31" s="28">
        <v>2150</v>
      </c>
      <c r="DX31" s="28" t="s">
        <v>32</v>
      </c>
      <c r="DY31" s="34">
        <v>2026</v>
      </c>
      <c r="DZ31" s="34" t="s">
        <v>32</v>
      </c>
      <c r="EA31" s="32" t="s">
        <v>32</v>
      </c>
      <c r="EB31" s="32" t="s">
        <v>32</v>
      </c>
      <c r="EC31" s="29" t="s">
        <v>32</v>
      </c>
      <c r="ED31" s="28" t="s">
        <v>32</v>
      </c>
      <c r="EE31" s="26" t="s">
        <v>32</v>
      </c>
      <c r="EF31" s="34" t="s">
        <v>32</v>
      </c>
      <c r="EG31" s="34" t="s">
        <v>32</v>
      </c>
      <c r="EH31" s="34"/>
      <c r="EI31" s="33">
        <f t="shared" si="28"/>
        <v>13176</v>
      </c>
      <c r="EJ31" s="24"/>
      <c r="EK31" s="25">
        <v>45563</v>
      </c>
      <c r="EL31" s="26">
        <v>0</v>
      </c>
      <c r="EM31" s="26">
        <v>0</v>
      </c>
      <c r="EN31" s="27">
        <f t="shared" si="5"/>
        <v>0</v>
      </c>
      <c r="EO31" s="28">
        <v>2046</v>
      </c>
      <c r="EP31" s="29">
        <v>5658</v>
      </c>
      <c r="EQ31" s="29">
        <v>10</v>
      </c>
      <c r="ER31" s="34" t="s">
        <v>32</v>
      </c>
      <c r="ES31" s="34"/>
      <c r="ET31" s="31" t="s">
        <v>32</v>
      </c>
      <c r="EU31" s="34" t="s">
        <v>32</v>
      </c>
      <c r="EV31" s="32" t="s">
        <v>32</v>
      </c>
      <c r="EW31" s="32"/>
      <c r="EX31" s="34" t="s">
        <v>32</v>
      </c>
      <c r="EY31" s="28" t="s">
        <v>32</v>
      </c>
      <c r="EZ31" s="28" t="s">
        <v>32</v>
      </c>
      <c r="FA31" s="34" t="s">
        <v>32</v>
      </c>
      <c r="FB31" s="34" t="s">
        <v>32</v>
      </c>
      <c r="FC31" s="32" t="s">
        <v>32</v>
      </c>
      <c r="FD31" s="32" t="s">
        <v>32</v>
      </c>
      <c r="FE31" s="29" t="s">
        <v>32</v>
      </c>
      <c r="FF31" s="28" t="s">
        <v>32</v>
      </c>
      <c r="FG31" s="26" t="s">
        <v>32</v>
      </c>
      <c r="FH31" s="34" t="s">
        <v>32</v>
      </c>
      <c r="FI31" s="34" t="s">
        <v>32</v>
      </c>
      <c r="FJ31" s="34"/>
      <c r="FK31" s="33">
        <f t="shared" si="29"/>
        <v>0</v>
      </c>
      <c r="FL31" s="24"/>
      <c r="FM31" s="25">
        <v>45593</v>
      </c>
      <c r="FN31" s="26">
        <v>2242</v>
      </c>
      <c r="FO31" s="26">
        <v>165561</v>
      </c>
      <c r="FP31" s="27">
        <f t="shared" si="6"/>
        <v>40064</v>
      </c>
      <c r="FQ31" s="28">
        <v>3003</v>
      </c>
      <c r="FR31" s="29">
        <v>6419</v>
      </c>
      <c r="FS31" s="29">
        <v>12</v>
      </c>
      <c r="FT31" s="34" t="s">
        <v>32</v>
      </c>
      <c r="FU31" s="34"/>
      <c r="FV31" s="31" t="s">
        <v>32</v>
      </c>
      <c r="FW31" s="34" t="s">
        <v>32</v>
      </c>
      <c r="FX31" s="32">
        <v>424</v>
      </c>
      <c r="FY31" s="32"/>
      <c r="FZ31" s="34">
        <v>28700</v>
      </c>
      <c r="GA31" s="28" t="s">
        <v>32</v>
      </c>
      <c r="GB31" s="28" t="s">
        <v>32</v>
      </c>
      <c r="GC31" s="34">
        <v>2180</v>
      </c>
      <c r="GD31" s="34">
        <v>3600</v>
      </c>
      <c r="GE31" s="32" t="s">
        <v>32</v>
      </c>
      <c r="GF31" s="32" t="s">
        <v>32</v>
      </c>
      <c r="GG31" s="29" t="s">
        <v>32</v>
      </c>
      <c r="GH31" s="28" t="s">
        <v>32</v>
      </c>
      <c r="GI31" s="26">
        <v>5160</v>
      </c>
      <c r="GJ31" s="34" t="s">
        <v>104</v>
      </c>
      <c r="GK31" s="34" t="s">
        <v>32</v>
      </c>
      <c r="GL31" s="34"/>
      <c r="GM31" s="33">
        <f t="shared" si="30"/>
        <v>40064</v>
      </c>
      <c r="GN31" s="24"/>
      <c r="GO31" s="25">
        <v>45624</v>
      </c>
      <c r="GP31" s="26">
        <v>0</v>
      </c>
      <c r="GQ31" s="26">
        <v>0</v>
      </c>
      <c r="GR31" s="27">
        <f t="shared" si="7"/>
        <v>0</v>
      </c>
      <c r="GS31" s="28">
        <v>2111</v>
      </c>
      <c r="GT31" s="29">
        <v>1916</v>
      </c>
      <c r="GU31" s="29">
        <v>8</v>
      </c>
      <c r="GV31" s="34" t="s">
        <v>32</v>
      </c>
      <c r="GW31" s="34"/>
      <c r="GX31" s="31" t="s">
        <v>32</v>
      </c>
      <c r="GY31" s="34" t="s">
        <v>32</v>
      </c>
      <c r="GZ31" s="32" t="s">
        <v>32</v>
      </c>
      <c r="HA31" s="32"/>
      <c r="HB31" s="34" t="s">
        <v>32</v>
      </c>
      <c r="HC31" s="28" t="s">
        <v>32</v>
      </c>
      <c r="HD31" s="28" t="s">
        <v>32</v>
      </c>
      <c r="HE31" s="34" t="s">
        <v>32</v>
      </c>
      <c r="HF31" s="34" t="s">
        <v>32</v>
      </c>
      <c r="HG31" s="32" t="s">
        <v>32</v>
      </c>
      <c r="HH31" s="32" t="s">
        <v>32</v>
      </c>
      <c r="HI31" s="29" t="s">
        <v>32</v>
      </c>
      <c r="HJ31" s="28" t="s">
        <v>32</v>
      </c>
      <c r="HK31" s="26" t="s">
        <v>32</v>
      </c>
      <c r="HL31" s="34" t="s">
        <v>32</v>
      </c>
      <c r="HM31" s="34" t="s">
        <v>32</v>
      </c>
      <c r="HN31" s="34"/>
      <c r="HO31" s="33">
        <f t="shared" si="31"/>
        <v>0</v>
      </c>
      <c r="HP31" s="24"/>
      <c r="HQ31" s="25">
        <v>45654</v>
      </c>
      <c r="HR31" s="26">
        <v>5842</v>
      </c>
      <c r="HS31" s="26">
        <v>381629</v>
      </c>
      <c r="HT31" s="27">
        <f t="shared" si="8"/>
        <v>365880</v>
      </c>
      <c r="HU31" s="28">
        <v>3736</v>
      </c>
      <c r="HV31" s="29">
        <v>603</v>
      </c>
      <c r="HW31" s="29">
        <v>6.5</v>
      </c>
      <c r="HX31" s="34">
        <v>26290</v>
      </c>
      <c r="HY31" s="34">
        <v>21360</v>
      </c>
      <c r="HZ31" s="31">
        <v>265000</v>
      </c>
      <c r="IA31" s="34" t="s">
        <v>32</v>
      </c>
      <c r="IB31" s="32">
        <v>200</v>
      </c>
      <c r="IC31" s="32">
        <v>20000</v>
      </c>
      <c r="ID31" s="34" t="s">
        <v>32</v>
      </c>
      <c r="IE31" s="28" t="s">
        <v>32</v>
      </c>
      <c r="IF31" s="28" t="s">
        <v>32</v>
      </c>
      <c r="IG31" s="34">
        <v>2030</v>
      </c>
      <c r="IH31" s="34" t="s">
        <v>32</v>
      </c>
      <c r="II31" s="32" t="s">
        <v>32</v>
      </c>
      <c r="IJ31" s="32" t="s">
        <v>32</v>
      </c>
      <c r="IK31" s="29" t="s">
        <v>32</v>
      </c>
      <c r="IL31" s="28" t="s">
        <v>32</v>
      </c>
      <c r="IM31" s="26">
        <v>31000</v>
      </c>
      <c r="IN31" s="34" t="s">
        <v>47</v>
      </c>
      <c r="IO31" s="34" t="s">
        <v>32</v>
      </c>
      <c r="IP31" s="34"/>
      <c r="IQ31" s="33">
        <f t="shared" si="32"/>
        <v>365880</v>
      </c>
      <c r="IR31" s="24"/>
      <c r="IS31" s="25">
        <v>45685</v>
      </c>
      <c r="IT31" s="26">
        <v>0</v>
      </c>
      <c r="IU31" s="26">
        <v>0</v>
      </c>
      <c r="IV31" s="27">
        <f t="shared" si="9"/>
        <v>7293</v>
      </c>
      <c r="IW31" s="28">
        <v>2301</v>
      </c>
      <c r="IX31" s="29">
        <v>3576</v>
      </c>
      <c r="IY31" s="29">
        <v>7.5</v>
      </c>
      <c r="IZ31" s="34" t="s">
        <v>32</v>
      </c>
      <c r="JA31" s="34"/>
      <c r="JB31" s="31" t="s">
        <v>32</v>
      </c>
      <c r="JC31" s="34" t="s">
        <v>32</v>
      </c>
      <c r="JD31" s="32" t="s">
        <v>32</v>
      </c>
      <c r="JE31" s="32"/>
      <c r="JF31" s="34">
        <v>7000</v>
      </c>
      <c r="JG31" s="28" t="s">
        <v>32</v>
      </c>
      <c r="JH31" s="28" t="s">
        <v>32</v>
      </c>
      <c r="JI31" s="34">
        <v>293</v>
      </c>
      <c r="JJ31" s="34" t="s">
        <v>32</v>
      </c>
      <c r="JK31" s="32" t="s">
        <v>32</v>
      </c>
      <c r="JL31" s="32" t="s">
        <v>32</v>
      </c>
      <c r="JM31" s="29" t="s">
        <v>32</v>
      </c>
      <c r="JN31" s="28" t="s">
        <v>32</v>
      </c>
      <c r="JO31" s="26" t="s">
        <v>32</v>
      </c>
      <c r="JP31" s="34" t="s">
        <v>32</v>
      </c>
      <c r="JQ31" s="34" t="s">
        <v>32</v>
      </c>
      <c r="JR31" s="34"/>
      <c r="JS31" s="33">
        <f t="shared" si="33"/>
        <v>7293</v>
      </c>
      <c r="JT31" s="24"/>
      <c r="JU31" s="25">
        <v>45716</v>
      </c>
      <c r="JV31" s="26">
        <v>219</v>
      </c>
      <c r="JW31" s="26">
        <v>13800</v>
      </c>
      <c r="JX31" s="27">
        <f t="shared" si="10"/>
        <v>1896753</v>
      </c>
      <c r="JY31" s="28">
        <v>1360</v>
      </c>
      <c r="JZ31" s="29">
        <v>0</v>
      </c>
      <c r="KA31" s="29">
        <v>5.25</v>
      </c>
      <c r="KB31" s="34" t="s">
        <v>32</v>
      </c>
      <c r="KC31" s="34"/>
      <c r="KD31" s="31">
        <v>220901</v>
      </c>
      <c r="KE31" s="34">
        <v>170000</v>
      </c>
      <c r="KF31" s="32">
        <v>700</v>
      </c>
      <c r="KG31" s="32">
        <v>250000</v>
      </c>
      <c r="KH31" s="34">
        <v>164700</v>
      </c>
      <c r="KI31" s="28">
        <v>32968</v>
      </c>
      <c r="KJ31" s="28">
        <v>300</v>
      </c>
      <c r="KK31" s="34">
        <v>1665</v>
      </c>
      <c r="KL31" s="34" t="s">
        <v>32</v>
      </c>
      <c r="KM31" s="32">
        <v>999379</v>
      </c>
      <c r="KN31" s="32" t="s">
        <v>117</v>
      </c>
      <c r="KQ31" s="29">
        <v>56140</v>
      </c>
      <c r="KR31" s="28" t="s">
        <v>57</v>
      </c>
      <c r="KS31" s="34" t="s">
        <v>32</v>
      </c>
      <c r="KT31" s="34"/>
      <c r="KU31" s="33">
        <f t="shared" si="34"/>
        <v>1896753</v>
      </c>
      <c r="KV31" s="24"/>
      <c r="KW31" s="25">
        <v>45744</v>
      </c>
      <c r="KX31" s="26">
        <v>7868</v>
      </c>
      <c r="KY31" s="26">
        <v>566496</v>
      </c>
      <c r="KZ31" s="27">
        <f t="shared" si="11"/>
        <v>1415</v>
      </c>
      <c r="LA31" s="28">
        <v>1720</v>
      </c>
      <c r="LB31" s="29">
        <v>5256</v>
      </c>
      <c r="LC31" s="29">
        <v>9.75</v>
      </c>
      <c r="LD31" s="34" t="s">
        <v>32</v>
      </c>
      <c r="LE31" s="34"/>
      <c r="LF31" s="31" t="s">
        <v>32</v>
      </c>
      <c r="LG31" s="34" t="s">
        <v>32</v>
      </c>
      <c r="LH31" s="32">
        <v>250</v>
      </c>
      <c r="LI31" s="32"/>
      <c r="LJ31" s="34" t="s">
        <v>32</v>
      </c>
      <c r="LK31" s="28" t="s">
        <v>32</v>
      </c>
      <c r="LL31" s="28">
        <v>500</v>
      </c>
      <c r="LM31" s="34">
        <v>665</v>
      </c>
      <c r="LN31" s="34" t="s">
        <v>32</v>
      </c>
      <c r="LO31" s="32" t="s">
        <v>32</v>
      </c>
      <c r="LP31" s="32" t="s">
        <v>32</v>
      </c>
      <c r="LQ31" s="29" t="s">
        <v>32</v>
      </c>
      <c r="LR31" s="28" t="s">
        <v>32</v>
      </c>
      <c r="LS31" s="26" t="s">
        <v>32</v>
      </c>
      <c r="LT31" s="34" t="s">
        <v>32</v>
      </c>
      <c r="LU31" s="34" t="s">
        <v>32</v>
      </c>
      <c r="LV31" s="34"/>
      <c r="LW31" s="33">
        <f t="shared" si="35"/>
        <v>1415</v>
      </c>
      <c r="LX31" s="24"/>
    </row>
    <row r="32" spans="1:336" x14ac:dyDescent="0.3">
      <c r="A32" s="25">
        <v>45411</v>
      </c>
      <c r="B32" s="26">
        <v>0</v>
      </c>
      <c r="C32" s="26">
        <v>0</v>
      </c>
      <c r="D32" s="27">
        <f t="shared" si="0"/>
        <v>130</v>
      </c>
      <c r="E32" s="28">
        <v>1871</v>
      </c>
      <c r="F32" s="29">
        <v>0</v>
      </c>
      <c r="G32" s="29">
        <v>0</v>
      </c>
      <c r="H32" s="34" t="s">
        <v>32</v>
      </c>
      <c r="I32" s="34"/>
      <c r="J32" s="31" t="s">
        <v>32</v>
      </c>
      <c r="K32" s="34" t="s">
        <v>32</v>
      </c>
      <c r="L32" s="32" t="s">
        <v>32</v>
      </c>
      <c r="M32" s="32"/>
      <c r="N32" s="34"/>
      <c r="O32" s="28"/>
      <c r="P32" s="28" t="s">
        <v>32</v>
      </c>
      <c r="Q32" s="34">
        <v>130</v>
      </c>
      <c r="R32" s="34" t="s">
        <v>32</v>
      </c>
      <c r="S32" s="32" t="s">
        <v>32</v>
      </c>
      <c r="T32" s="32" t="s">
        <v>32</v>
      </c>
      <c r="U32" s="29" t="s">
        <v>32</v>
      </c>
      <c r="V32" s="28" t="s">
        <v>33</v>
      </c>
      <c r="W32" s="26" t="s">
        <v>32</v>
      </c>
      <c r="X32" s="34" t="s">
        <v>32</v>
      </c>
      <c r="Y32" s="34" t="s">
        <v>32</v>
      </c>
      <c r="Z32" s="34" t="s">
        <v>32</v>
      </c>
      <c r="AA32" s="33">
        <f t="shared" si="24"/>
        <v>130</v>
      </c>
      <c r="AB32" s="24"/>
      <c r="AC32" s="25">
        <v>45441</v>
      </c>
      <c r="AD32" s="26">
        <v>0</v>
      </c>
      <c r="AE32" s="26">
        <v>0</v>
      </c>
      <c r="AF32" s="27">
        <f t="shared" si="1"/>
        <v>0</v>
      </c>
      <c r="AG32" s="28">
        <v>3683</v>
      </c>
      <c r="AH32" s="29">
        <v>0</v>
      </c>
      <c r="AI32" s="29">
        <v>8.5</v>
      </c>
      <c r="AJ32" s="34" t="s">
        <v>32</v>
      </c>
      <c r="AK32" s="34"/>
      <c r="AL32" s="31" t="s">
        <v>32</v>
      </c>
      <c r="AM32" s="34" t="s">
        <v>32</v>
      </c>
      <c r="AN32" s="32" t="s">
        <v>32</v>
      </c>
      <c r="AO32" s="32"/>
      <c r="AP32" s="34"/>
      <c r="AQ32" s="28"/>
      <c r="AR32" s="28" t="s">
        <v>32</v>
      </c>
      <c r="AS32" s="34" t="s">
        <v>32</v>
      </c>
      <c r="AT32" s="34" t="s">
        <v>32</v>
      </c>
      <c r="AU32" s="32" t="s">
        <v>32</v>
      </c>
      <c r="AV32" s="32" t="s">
        <v>32</v>
      </c>
      <c r="AW32" s="29" t="s">
        <v>32</v>
      </c>
      <c r="AX32" s="28" t="s">
        <v>33</v>
      </c>
      <c r="AY32" s="26" t="s">
        <v>32</v>
      </c>
      <c r="AZ32" s="34" t="s">
        <v>32</v>
      </c>
      <c r="BA32" s="34" t="s">
        <v>32</v>
      </c>
      <c r="BB32" s="34" t="s">
        <v>32</v>
      </c>
      <c r="BC32" s="33">
        <f t="shared" si="25"/>
        <v>0</v>
      </c>
      <c r="BD32" s="24"/>
      <c r="BE32" s="25">
        <v>45472</v>
      </c>
      <c r="BF32" s="26">
        <v>14157</v>
      </c>
      <c r="BG32" s="26">
        <v>820348</v>
      </c>
      <c r="BH32" s="27">
        <f t="shared" si="2"/>
        <v>200400</v>
      </c>
      <c r="BI32" s="28">
        <v>3465</v>
      </c>
      <c r="BJ32" s="29">
        <v>1901</v>
      </c>
      <c r="BK32" s="29">
        <v>5.5</v>
      </c>
      <c r="BL32" s="34" t="s">
        <v>32</v>
      </c>
      <c r="BM32" s="34"/>
      <c r="BN32" s="31">
        <v>70000</v>
      </c>
      <c r="BO32" s="34">
        <v>50000</v>
      </c>
      <c r="BP32" s="32">
        <v>30000</v>
      </c>
      <c r="BQ32" s="32"/>
      <c r="BR32" s="34"/>
      <c r="BS32" s="28"/>
      <c r="BT32" s="28">
        <v>500</v>
      </c>
      <c r="BU32" s="34" t="s">
        <v>32</v>
      </c>
      <c r="BV32" s="34" t="s">
        <v>32</v>
      </c>
      <c r="BW32" s="32" t="s">
        <v>32</v>
      </c>
      <c r="BX32" s="32" t="s">
        <v>32</v>
      </c>
      <c r="BY32" s="29" t="s">
        <v>32</v>
      </c>
      <c r="BZ32" s="28" t="s">
        <v>33</v>
      </c>
      <c r="CA32" s="26">
        <v>49900</v>
      </c>
      <c r="CB32" s="34" t="s">
        <v>47</v>
      </c>
      <c r="CC32" s="34" t="s">
        <v>32</v>
      </c>
      <c r="CD32" s="34" t="s">
        <v>32</v>
      </c>
      <c r="CE32" s="33">
        <f t="shared" si="26"/>
        <v>200400</v>
      </c>
      <c r="CF32" s="24"/>
      <c r="CG32" s="25">
        <v>45502</v>
      </c>
      <c r="CH32" s="26">
        <v>0</v>
      </c>
      <c r="CI32" s="26">
        <v>0</v>
      </c>
      <c r="CJ32" s="27">
        <f t="shared" si="3"/>
        <v>0</v>
      </c>
      <c r="CK32" s="28">
        <v>1293</v>
      </c>
      <c r="CL32" s="29">
        <v>3042</v>
      </c>
      <c r="CM32" s="29">
        <v>5.25</v>
      </c>
      <c r="CN32" s="34" t="s">
        <v>32</v>
      </c>
      <c r="CO32" s="34"/>
      <c r="CP32" s="31" t="s">
        <v>32</v>
      </c>
      <c r="CQ32" s="34" t="s">
        <v>32</v>
      </c>
      <c r="CR32" s="32" t="s">
        <v>32</v>
      </c>
      <c r="CS32" s="32"/>
      <c r="CT32" s="34"/>
      <c r="CU32" s="28"/>
      <c r="CV32" s="28" t="s">
        <v>32</v>
      </c>
      <c r="CW32" s="34" t="s">
        <v>32</v>
      </c>
      <c r="CX32" s="34" t="s">
        <v>32</v>
      </c>
      <c r="CY32" s="32" t="s">
        <v>32</v>
      </c>
      <c r="CZ32" s="32" t="s">
        <v>32</v>
      </c>
      <c r="DA32" s="29" t="s">
        <v>32</v>
      </c>
      <c r="DB32" s="28" t="s">
        <v>33</v>
      </c>
      <c r="DC32" s="26" t="s">
        <v>32</v>
      </c>
      <c r="DD32" s="34" t="s">
        <v>32</v>
      </c>
      <c r="DE32" s="34" t="s">
        <v>32</v>
      </c>
      <c r="DF32" s="34" t="s">
        <v>32</v>
      </c>
      <c r="DG32" s="33">
        <f t="shared" si="27"/>
        <v>0</v>
      </c>
      <c r="DH32" s="24"/>
      <c r="DI32" s="25">
        <v>45533</v>
      </c>
      <c r="DJ32" s="26">
        <v>0</v>
      </c>
      <c r="DK32" s="26">
        <v>0</v>
      </c>
      <c r="DL32" s="27">
        <f t="shared" si="4"/>
        <v>115868</v>
      </c>
      <c r="DM32" s="28">
        <v>2651</v>
      </c>
      <c r="DN32" s="29">
        <v>3397</v>
      </c>
      <c r="DO32" s="29">
        <v>9</v>
      </c>
      <c r="DP32" s="34" t="s">
        <v>32</v>
      </c>
      <c r="DQ32" s="34"/>
      <c r="DR32" s="31" t="s">
        <v>32</v>
      </c>
      <c r="DS32" s="34">
        <v>50000</v>
      </c>
      <c r="DT32" s="32" t="s">
        <v>32</v>
      </c>
      <c r="DU32" s="32">
        <v>15000</v>
      </c>
      <c r="DV32" s="34"/>
      <c r="DW32" s="28"/>
      <c r="DX32" s="28" t="s">
        <v>32</v>
      </c>
      <c r="DY32" s="34">
        <v>868</v>
      </c>
      <c r="DZ32" s="34" t="s">
        <v>32</v>
      </c>
      <c r="EA32" s="32" t="s">
        <v>32</v>
      </c>
      <c r="EB32" s="32" t="s">
        <v>32</v>
      </c>
      <c r="EC32" s="29" t="s">
        <v>32</v>
      </c>
      <c r="ED32" s="28" t="s">
        <v>33</v>
      </c>
      <c r="EE32" s="26">
        <v>50000</v>
      </c>
      <c r="EF32" s="34" t="s">
        <v>93</v>
      </c>
      <c r="EG32" s="34" t="s">
        <v>32</v>
      </c>
      <c r="EH32" s="34" t="s">
        <v>32</v>
      </c>
      <c r="EI32" s="33">
        <f t="shared" si="28"/>
        <v>115868</v>
      </c>
      <c r="EJ32" s="24"/>
      <c r="EK32" s="25">
        <v>45564</v>
      </c>
      <c r="EL32" s="26">
        <v>491</v>
      </c>
      <c r="EM32" s="26">
        <v>21850</v>
      </c>
      <c r="EN32" s="27">
        <f t="shared" si="5"/>
        <v>131112</v>
      </c>
      <c r="EO32" s="28">
        <v>0</v>
      </c>
      <c r="EP32" s="29">
        <v>1588</v>
      </c>
      <c r="EQ32" s="29">
        <v>7.75</v>
      </c>
      <c r="ER32" s="34" t="s">
        <v>32</v>
      </c>
      <c r="ES32" s="34"/>
      <c r="ET32" s="31" t="s">
        <v>32</v>
      </c>
      <c r="EU32" s="34" t="s">
        <v>32</v>
      </c>
      <c r="EV32" s="32">
        <v>24987</v>
      </c>
      <c r="EW32" s="32"/>
      <c r="EX32" s="34">
        <v>35000</v>
      </c>
      <c r="EY32" s="28"/>
      <c r="EZ32" s="28" t="s">
        <v>32</v>
      </c>
      <c r="FA32" s="34">
        <v>1695</v>
      </c>
      <c r="FB32" s="34" t="s">
        <v>32</v>
      </c>
      <c r="FC32" s="32">
        <v>230</v>
      </c>
      <c r="FD32" s="32" t="s">
        <v>71</v>
      </c>
      <c r="FE32" s="29" t="s">
        <v>32</v>
      </c>
      <c r="FF32" s="28" t="s">
        <v>33</v>
      </c>
      <c r="FG32" s="26">
        <v>69200</v>
      </c>
      <c r="FH32" s="34" t="s">
        <v>98</v>
      </c>
      <c r="FI32" s="34" t="s">
        <v>32</v>
      </c>
      <c r="FJ32" s="34" t="s">
        <v>32</v>
      </c>
      <c r="FK32" s="33">
        <f t="shared" si="29"/>
        <v>131112</v>
      </c>
      <c r="FL32" s="24"/>
      <c r="FM32" s="25">
        <v>45594</v>
      </c>
      <c r="FN32" s="26">
        <v>0</v>
      </c>
      <c r="FO32" s="26">
        <v>0</v>
      </c>
      <c r="FP32" s="27">
        <f t="shared" si="6"/>
        <v>0</v>
      </c>
      <c r="FQ32" s="28">
        <v>3097</v>
      </c>
      <c r="FR32" s="29">
        <v>1925</v>
      </c>
      <c r="FS32" s="29">
        <v>6</v>
      </c>
      <c r="FT32" s="34" t="s">
        <v>32</v>
      </c>
      <c r="FU32" s="34"/>
      <c r="FV32" s="31" t="s">
        <v>32</v>
      </c>
      <c r="FW32" s="34" t="s">
        <v>32</v>
      </c>
      <c r="FX32" s="32" t="s">
        <v>32</v>
      </c>
      <c r="FY32" s="32"/>
      <c r="FZ32" s="34"/>
      <c r="GA32" s="28"/>
      <c r="GB32" s="28" t="s">
        <v>32</v>
      </c>
      <c r="GC32" s="34" t="s">
        <v>32</v>
      </c>
      <c r="GD32" s="34" t="s">
        <v>32</v>
      </c>
      <c r="GE32" s="32" t="s">
        <v>32</v>
      </c>
      <c r="GF32" s="32" t="s">
        <v>32</v>
      </c>
      <c r="GG32" s="29" t="s">
        <v>32</v>
      </c>
      <c r="GH32" s="28" t="s">
        <v>33</v>
      </c>
      <c r="GI32" s="26" t="s">
        <v>32</v>
      </c>
      <c r="GJ32" s="34" t="s">
        <v>32</v>
      </c>
      <c r="GK32" s="34" t="s">
        <v>32</v>
      </c>
      <c r="GL32" s="34" t="s">
        <v>32</v>
      </c>
      <c r="GM32" s="33">
        <f t="shared" si="30"/>
        <v>0</v>
      </c>
      <c r="GN32" s="24"/>
      <c r="GO32" s="25">
        <v>45625</v>
      </c>
      <c r="GP32" s="26">
        <v>0</v>
      </c>
      <c r="GQ32" s="26">
        <v>465367</v>
      </c>
      <c r="GR32" s="27">
        <f t="shared" si="7"/>
        <v>106670</v>
      </c>
      <c r="GS32" s="28">
        <v>0</v>
      </c>
      <c r="GT32" s="29">
        <v>2590</v>
      </c>
      <c r="GU32" s="29">
        <v>8.5</v>
      </c>
      <c r="GV32" s="34" t="s">
        <v>32</v>
      </c>
      <c r="GW32" s="34"/>
      <c r="GX32" s="31" t="s">
        <v>32</v>
      </c>
      <c r="GY32" s="34">
        <v>104500</v>
      </c>
      <c r="GZ32" s="32" t="s">
        <v>32</v>
      </c>
      <c r="HA32" s="32"/>
      <c r="HB32" s="34"/>
      <c r="HC32" s="28"/>
      <c r="HD32" s="28" t="s">
        <v>32</v>
      </c>
      <c r="HE32" s="34">
        <v>2170</v>
      </c>
      <c r="HF32" s="34" t="s">
        <v>32</v>
      </c>
      <c r="HG32" s="32" t="s">
        <v>32</v>
      </c>
      <c r="HH32" s="32" t="s">
        <v>32</v>
      </c>
      <c r="HI32" s="29" t="s">
        <v>32</v>
      </c>
      <c r="HJ32" s="28" t="s">
        <v>33</v>
      </c>
      <c r="HK32" s="26" t="s">
        <v>32</v>
      </c>
      <c r="HL32" s="34" t="s">
        <v>32</v>
      </c>
      <c r="HM32" s="34" t="s">
        <v>32</v>
      </c>
      <c r="HN32" s="34" t="s">
        <v>32</v>
      </c>
      <c r="HO32" s="33">
        <f t="shared" si="31"/>
        <v>106670</v>
      </c>
      <c r="HP32" s="24"/>
      <c r="HQ32" s="25">
        <v>45655</v>
      </c>
      <c r="HR32" s="26">
        <v>0</v>
      </c>
      <c r="HS32" s="26">
        <v>0</v>
      </c>
      <c r="HT32" s="27">
        <f t="shared" si="8"/>
        <v>0</v>
      </c>
      <c r="HU32" s="28">
        <v>3677</v>
      </c>
      <c r="HV32" s="29">
        <v>2846</v>
      </c>
      <c r="HW32" s="29">
        <v>9</v>
      </c>
      <c r="HX32" s="34" t="s">
        <v>32</v>
      </c>
      <c r="HY32" s="34"/>
      <c r="HZ32" s="31" t="s">
        <v>32</v>
      </c>
      <c r="IA32" s="34" t="s">
        <v>32</v>
      </c>
      <c r="IB32" s="32" t="s">
        <v>32</v>
      </c>
      <c r="IC32" s="32"/>
      <c r="ID32" s="34"/>
      <c r="IE32" s="28"/>
      <c r="IF32" s="28" t="s">
        <v>32</v>
      </c>
      <c r="IG32" s="34" t="s">
        <v>32</v>
      </c>
      <c r="IH32" s="34" t="s">
        <v>32</v>
      </c>
      <c r="II32" s="32" t="s">
        <v>32</v>
      </c>
      <c r="IJ32" s="32" t="s">
        <v>32</v>
      </c>
      <c r="IK32" s="29" t="s">
        <v>32</v>
      </c>
      <c r="IL32" s="28" t="s">
        <v>33</v>
      </c>
      <c r="IM32" s="26" t="s">
        <v>32</v>
      </c>
      <c r="IN32" s="34" t="s">
        <v>32</v>
      </c>
      <c r="IO32" s="34" t="s">
        <v>32</v>
      </c>
      <c r="IP32" s="34" t="s">
        <v>32</v>
      </c>
      <c r="IQ32" s="33">
        <f t="shared" si="32"/>
        <v>0</v>
      </c>
      <c r="IR32" s="24"/>
      <c r="IS32" s="25">
        <v>45686</v>
      </c>
      <c r="IT32" s="26">
        <v>0</v>
      </c>
      <c r="IU32" s="26">
        <v>0</v>
      </c>
      <c r="IV32" s="27">
        <f t="shared" si="9"/>
        <v>0</v>
      </c>
      <c r="IW32" s="28">
        <v>0</v>
      </c>
      <c r="IX32" s="29">
        <v>0</v>
      </c>
      <c r="IY32" s="29">
        <v>0</v>
      </c>
      <c r="IZ32" s="34" t="s">
        <v>32</v>
      </c>
      <c r="JA32" s="34"/>
      <c r="JB32" s="31" t="s">
        <v>32</v>
      </c>
      <c r="JC32" s="34" t="s">
        <v>32</v>
      </c>
      <c r="JD32" s="32" t="s">
        <v>32</v>
      </c>
      <c r="JE32" s="32"/>
      <c r="JF32" s="34"/>
      <c r="JG32" s="28"/>
      <c r="JH32" s="28" t="s">
        <v>32</v>
      </c>
      <c r="JI32" s="34" t="s">
        <v>32</v>
      </c>
      <c r="JJ32" s="34" t="s">
        <v>32</v>
      </c>
      <c r="JK32" s="32" t="s">
        <v>32</v>
      </c>
      <c r="JL32" s="32" t="s">
        <v>32</v>
      </c>
      <c r="JM32" s="29" t="s">
        <v>32</v>
      </c>
      <c r="JN32" s="28" t="s">
        <v>33</v>
      </c>
      <c r="JO32" s="26" t="s">
        <v>32</v>
      </c>
      <c r="JP32" s="34" t="s">
        <v>32</v>
      </c>
      <c r="JQ32" s="34" t="s">
        <v>32</v>
      </c>
      <c r="JR32" s="34" t="s">
        <v>32</v>
      </c>
      <c r="JS32" s="33">
        <f t="shared" si="33"/>
        <v>0</v>
      </c>
      <c r="JT32" s="24"/>
      <c r="JU32" s="25" t="s">
        <v>32</v>
      </c>
      <c r="JV32" s="26" t="s">
        <v>32</v>
      </c>
      <c r="JW32" s="26" t="s">
        <v>32</v>
      </c>
      <c r="JX32" s="27">
        <f t="shared" si="10"/>
        <v>0</v>
      </c>
      <c r="JY32" s="28" t="s">
        <v>32</v>
      </c>
      <c r="JZ32" s="29" t="s">
        <v>32</v>
      </c>
      <c r="KA32" s="29" t="s">
        <v>32</v>
      </c>
      <c r="KB32" s="34" t="s">
        <v>32</v>
      </c>
      <c r="KC32" s="34"/>
      <c r="KD32" s="31" t="s">
        <v>32</v>
      </c>
      <c r="KE32" s="34" t="s">
        <v>32</v>
      </c>
      <c r="KF32" s="32" t="s">
        <v>32</v>
      </c>
      <c r="KG32" s="32"/>
      <c r="KH32" s="34"/>
      <c r="KI32" s="28"/>
      <c r="KJ32" s="28" t="s">
        <v>32</v>
      </c>
      <c r="KK32" s="34" t="s">
        <v>32</v>
      </c>
      <c r="KL32" s="34" t="s">
        <v>32</v>
      </c>
      <c r="KM32" s="32" t="s">
        <v>32</v>
      </c>
      <c r="KN32" s="32" t="s">
        <v>32</v>
      </c>
      <c r="KO32" s="29" t="s">
        <v>32</v>
      </c>
      <c r="KP32" s="28" t="s">
        <v>33</v>
      </c>
      <c r="KQ32" s="26" t="s">
        <v>32</v>
      </c>
      <c r="KR32" s="34" t="s">
        <v>32</v>
      </c>
      <c r="KS32" s="34" t="s">
        <v>32</v>
      </c>
      <c r="KT32" s="34" t="s">
        <v>32</v>
      </c>
      <c r="KU32" s="33">
        <f t="shared" si="34"/>
        <v>0</v>
      </c>
      <c r="KV32" s="24"/>
      <c r="KW32" s="25">
        <v>45745</v>
      </c>
      <c r="KX32" s="26">
        <v>0</v>
      </c>
      <c r="KY32" s="26">
        <v>0</v>
      </c>
      <c r="KZ32" s="27">
        <f t="shared" si="11"/>
        <v>0</v>
      </c>
      <c r="LA32" s="28">
        <v>0</v>
      </c>
      <c r="LB32" s="29">
        <v>0</v>
      </c>
      <c r="LC32" s="29">
        <v>0</v>
      </c>
      <c r="LD32" s="34" t="s">
        <v>32</v>
      </c>
      <c r="LE32" s="34"/>
      <c r="LF32" s="31" t="s">
        <v>32</v>
      </c>
      <c r="LG32" s="34" t="s">
        <v>32</v>
      </c>
      <c r="LH32" s="32" t="s">
        <v>32</v>
      </c>
      <c r="LI32" s="32"/>
      <c r="LJ32" s="34"/>
      <c r="LK32" s="28"/>
      <c r="LL32" s="28" t="s">
        <v>32</v>
      </c>
      <c r="LM32" s="34" t="s">
        <v>32</v>
      </c>
      <c r="LN32" s="34" t="s">
        <v>32</v>
      </c>
      <c r="LO32" s="32" t="s">
        <v>32</v>
      </c>
      <c r="LP32" s="32" t="s">
        <v>32</v>
      </c>
      <c r="LQ32" s="29" t="s">
        <v>32</v>
      </c>
      <c r="LR32" s="28" t="s">
        <v>33</v>
      </c>
      <c r="LS32" s="26" t="s">
        <v>32</v>
      </c>
      <c r="LT32" s="34" t="s">
        <v>32</v>
      </c>
      <c r="LU32" s="34" t="s">
        <v>32</v>
      </c>
      <c r="LV32" s="34" t="s">
        <v>32</v>
      </c>
      <c r="LW32" s="33">
        <f t="shared" si="35"/>
        <v>0</v>
      </c>
      <c r="LX32" s="24"/>
    </row>
    <row r="33" spans="1:336" x14ac:dyDescent="0.3">
      <c r="A33" s="25">
        <v>45412</v>
      </c>
      <c r="B33" s="26">
        <v>587</v>
      </c>
      <c r="C33" s="26">
        <v>27000</v>
      </c>
      <c r="D33" s="27">
        <f t="shared" si="0"/>
        <v>823099</v>
      </c>
      <c r="E33" s="28">
        <v>3462</v>
      </c>
      <c r="F33" s="29">
        <v>1034</v>
      </c>
      <c r="G33" s="29">
        <v>8.25</v>
      </c>
      <c r="H33" s="34">
        <v>20443</v>
      </c>
      <c r="I33" s="34">
        <v>29045</v>
      </c>
      <c r="J33" s="31">
        <v>12512</v>
      </c>
      <c r="K33" s="34">
        <v>300000</v>
      </c>
      <c r="L33" s="32" t="s">
        <v>32</v>
      </c>
      <c r="M33" s="32"/>
      <c r="N33" s="34" t="s">
        <v>32</v>
      </c>
      <c r="O33" s="28">
        <v>32968</v>
      </c>
      <c r="P33" s="28" t="s">
        <v>32</v>
      </c>
      <c r="Q33" s="34">
        <v>504</v>
      </c>
      <c r="R33" s="34" t="s">
        <v>32</v>
      </c>
      <c r="S33" s="32">
        <v>427627</v>
      </c>
      <c r="T33" s="32" t="s">
        <v>75</v>
      </c>
      <c r="U33" s="29" t="s">
        <v>32</v>
      </c>
      <c r="V33" s="28" t="s">
        <v>32</v>
      </c>
      <c r="W33" s="26" t="s">
        <v>32</v>
      </c>
      <c r="X33" s="34" t="s">
        <v>32</v>
      </c>
      <c r="Y33" s="34" t="s">
        <v>32</v>
      </c>
      <c r="Z33" s="34" t="s">
        <v>32</v>
      </c>
      <c r="AA33" s="33">
        <f t="shared" si="24"/>
        <v>823099</v>
      </c>
      <c r="AB33" s="24"/>
      <c r="AC33" s="25">
        <v>45442</v>
      </c>
      <c r="AD33" s="26">
        <v>0</v>
      </c>
      <c r="AE33" s="26">
        <v>0</v>
      </c>
      <c r="AF33" s="27">
        <f t="shared" si="1"/>
        <v>263091</v>
      </c>
      <c r="AG33" s="28">
        <v>2805</v>
      </c>
      <c r="AH33" s="29">
        <v>2592</v>
      </c>
      <c r="AI33" s="29">
        <v>7.5</v>
      </c>
      <c r="AJ33" s="34">
        <v>18800</v>
      </c>
      <c r="AK33" s="34"/>
      <c r="AL33" s="31">
        <v>121281</v>
      </c>
      <c r="AM33" s="34">
        <v>110000</v>
      </c>
      <c r="AN33" s="32">
        <v>600</v>
      </c>
      <c r="AO33" s="32"/>
      <c r="AP33" s="34" t="s">
        <v>32</v>
      </c>
      <c r="AQ33" s="28" t="s">
        <v>32</v>
      </c>
      <c r="AR33" s="28" t="s">
        <v>32</v>
      </c>
      <c r="AS33" s="34" t="s">
        <v>32</v>
      </c>
      <c r="AT33" s="34" t="s">
        <v>32</v>
      </c>
      <c r="AU33" s="32">
        <v>200</v>
      </c>
      <c r="AV33" s="32" t="s">
        <v>51</v>
      </c>
      <c r="AW33" s="29" t="s">
        <v>32</v>
      </c>
      <c r="AX33" s="28" t="s">
        <v>32</v>
      </c>
      <c r="AY33" s="26">
        <v>11960</v>
      </c>
      <c r="AZ33" s="34" t="s">
        <v>40</v>
      </c>
      <c r="BA33" s="34">
        <v>250</v>
      </c>
      <c r="BB33" s="34" t="s">
        <v>76</v>
      </c>
      <c r="BC33" s="33">
        <f t="shared" si="25"/>
        <v>263091</v>
      </c>
      <c r="BD33" s="24"/>
      <c r="BE33" s="25">
        <v>45473</v>
      </c>
      <c r="BF33" s="26">
        <v>6258</v>
      </c>
      <c r="BG33" s="26">
        <v>196120</v>
      </c>
      <c r="BH33" s="27">
        <f t="shared" si="2"/>
        <v>519217</v>
      </c>
      <c r="BI33" s="28">
        <v>3142</v>
      </c>
      <c r="BJ33" s="29">
        <v>3365</v>
      </c>
      <c r="BK33" s="29">
        <v>8</v>
      </c>
      <c r="BL33" s="34">
        <v>11625</v>
      </c>
      <c r="BM33" s="34">
        <v>13975</v>
      </c>
      <c r="BN33" s="31">
        <v>42251</v>
      </c>
      <c r="BO33" s="34" t="s">
        <v>32</v>
      </c>
      <c r="BP33" s="32">
        <v>1600</v>
      </c>
      <c r="BQ33" s="32"/>
      <c r="BR33" s="34" t="s">
        <v>32</v>
      </c>
      <c r="BS33" s="28" t="s">
        <v>32</v>
      </c>
      <c r="BT33" s="28" t="s">
        <v>32</v>
      </c>
      <c r="BU33" s="34">
        <v>4500</v>
      </c>
      <c r="BV33" s="34" t="s">
        <v>32</v>
      </c>
      <c r="BW33" s="32">
        <v>445266</v>
      </c>
      <c r="BX33" s="32" t="s">
        <v>84</v>
      </c>
      <c r="BY33" s="29" t="s">
        <v>32</v>
      </c>
      <c r="BZ33" s="28" t="s">
        <v>32</v>
      </c>
      <c r="CA33" s="26" t="s">
        <v>32</v>
      </c>
      <c r="CB33" s="34" t="s">
        <v>32</v>
      </c>
      <c r="CC33" s="34" t="s">
        <v>32</v>
      </c>
      <c r="CD33" s="34" t="s">
        <v>32</v>
      </c>
      <c r="CE33" s="33">
        <f t="shared" si="26"/>
        <v>519217</v>
      </c>
      <c r="CF33" s="24"/>
      <c r="CG33" s="25">
        <v>45503</v>
      </c>
      <c r="CH33" s="26">
        <v>172</v>
      </c>
      <c r="CI33" s="26">
        <v>6900</v>
      </c>
      <c r="CJ33" s="27">
        <f t="shared" si="3"/>
        <v>115685</v>
      </c>
      <c r="CK33" s="28">
        <v>675</v>
      </c>
      <c r="CL33" s="29">
        <v>2317</v>
      </c>
      <c r="CM33" s="29">
        <v>12</v>
      </c>
      <c r="CN33" s="34" t="s">
        <v>32</v>
      </c>
      <c r="CO33" s="34"/>
      <c r="CP33" s="31" t="s">
        <v>32</v>
      </c>
      <c r="CQ33" s="34">
        <v>89610</v>
      </c>
      <c r="CR33" s="32" t="s">
        <v>32</v>
      </c>
      <c r="CS33" s="32">
        <v>24000</v>
      </c>
      <c r="CT33" s="34" t="s">
        <v>32</v>
      </c>
      <c r="CU33" s="28" t="s">
        <v>32</v>
      </c>
      <c r="CV33" s="28">
        <v>500</v>
      </c>
      <c r="CW33" s="34">
        <v>1575</v>
      </c>
      <c r="CX33" s="34" t="s">
        <v>32</v>
      </c>
      <c r="CY33" s="32" t="s">
        <v>32</v>
      </c>
      <c r="CZ33" s="32" t="s">
        <v>32</v>
      </c>
      <c r="DA33" s="29" t="s">
        <v>32</v>
      </c>
      <c r="DB33" s="28" t="s">
        <v>32</v>
      </c>
      <c r="DC33" s="26" t="s">
        <v>32</v>
      </c>
      <c r="DD33" s="34" t="s">
        <v>32</v>
      </c>
      <c r="DE33" s="34" t="s">
        <v>32</v>
      </c>
      <c r="DF33" s="34" t="s">
        <v>32</v>
      </c>
      <c r="DG33" s="33">
        <f t="shared" si="27"/>
        <v>115685</v>
      </c>
      <c r="DH33" s="24"/>
      <c r="DI33" s="25">
        <v>45534</v>
      </c>
      <c r="DJ33" s="26">
        <v>2941</v>
      </c>
      <c r="DK33" s="26">
        <v>134764</v>
      </c>
      <c r="DL33" s="27">
        <f t="shared" si="4"/>
        <v>1225567</v>
      </c>
      <c r="DM33" s="28">
        <v>3396</v>
      </c>
      <c r="DN33" s="29">
        <v>2244</v>
      </c>
      <c r="DO33" s="29">
        <v>7.5</v>
      </c>
      <c r="DP33" s="34" t="s">
        <v>32</v>
      </c>
      <c r="DQ33" s="34"/>
      <c r="DR33" s="31" t="s">
        <v>32</v>
      </c>
      <c r="DS33" s="34">
        <v>113280</v>
      </c>
      <c r="DT33" s="32" t="s">
        <v>32</v>
      </c>
      <c r="DU33" s="32"/>
      <c r="DV33" s="34" t="s">
        <v>32</v>
      </c>
      <c r="DW33" s="28" t="s">
        <v>32</v>
      </c>
      <c r="DX33" s="28">
        <v>300</v>
      </c>
      <c r="DY33" s="34">
        <v>1407</v>
      </c>
      <c r="DZ33" s="34" t="s">
        <v>32</v>
      </c>
      <c r="EA33" s="32">
        <v>1110580</v>
      </c>
      <c r="EB33" s="32" t="s">
        <v>91</v>
      </c>
      <c r="EC33" s="29" t="s">
        <v>32</v>
      </c>
      <c r="ED33" s="28" t="s">
        <v>32</v>
      </c>
      <c r="EE33" s="26" t="s">
        <v>32</v>
      </c>
      <c r="EF33" s="34" t="s">
        <v>32</v>
      </c>
      <c r="EG33" s="34" t="s">
        <v>32</v>
      </c>
      <c r="EH33" s="34" t="s">
        <v>32</v>
      </c>
      <c r="EI33" s="33">
        <f t="shared" si="28"/>
        <v>1225567</v>
      </c>
      <c r="EJ33" s="24"/>
      <c r="EK33" s="25">
        <v>45565</v>
      </c>
      <c r="EL33" s="26">
        <v>5942</v>
      </c>
      <c r="EM33" s="26">
        <v>223533</v>
      </c>
      <c r="EN33" s="27">
        <f t="shared" si="5"/>
        <v>749393</v>
      </c>
      <c r="EO33" s="28">
        <v>668</v>
      </c>
      <c r="EP33" s="29">
        <v>4636</v>
      </c>
      <c r="EQ33" s="29">
        <v>9.5</v>
      </c>
      <c r="ER33" s="34" t="s">
        <v>32</v>
      </c>
      <c r="ES33" s="34"/>
      <c r="ET33" s="31" t="s">
        <v>32</v>
      </c>
      <c r="EU33" s="34" t="s">
        <v>32</v>
      </c>
      <c r="EV33" s="32" t="s">
        <v>32</v>
      </c>
      <c r="EW33" s="32">
        <v>24225</v>
      </c>
      <c r="EX33" s="34" t="s">
        <v>32</v>
      </c>
      <c r="EY33" s="28">
        <v>34118</v>
      </c>
      <c r="EZ33" s="28" t="s">
        <v>32</v>
      </c>
      <c r="FA33" s="34">
        <v>630</v>
      </c>
      <c r="FB33" s="34" t="s">
        <v>32</v>
      </c>
      <c r="FC33" s="32">
        <v>690420</v>
      </c>
      <c r="FD33" s="32" t="s">
        <v>99</v>
      </c>
      <c r="FE33" s="29" t="s">
        <v>32</v>
      </c>
      <c r="FF33" s="28" t="s">
        <v>32</v>
      </c>
      <c r="FG33" s="26" t="s">
        <v>32</v>
      </c>
      <c r="FH33" s="34" t="s">
        <v>32</v>
      </c>
      <c r="FI33" s="34" t="s">
        <v>32</v>
      </c>
      <c r="FJ33" s="34" t="s">
        <v>32</v>
      </c>
      <c r="FK33" s="33">
        <f t="shared" si="29"/>
        <v>749393</v>
      </c>
      <c r="FL33" s="24"/>
      <c r="FM33" s="25">
        <v>45595</v>
      </c>
      <c r="FN33" s="26">
        <v>0</v>
      </c>
      <c r="FO33" s="26">
        <v>0</v>
      </c>
      <c r="FP33" s="27">
        <f t="shared" si="6"/>
        <v>0</v>
      </c>
      <c r="FQ33" s="28">
        <v>0</v>
      </c>
      <c r="FR33" s="29">
        <v>0</v>
      </c>
      <c r="FS33" s="29">
        <v>0</v>
      </c>
      <c r="FT33" s="34" t="s">
        <v>32</v>
      </c>
      <c r="FU33" s="34"/>
      <c r="FV33" s="31" t="s">
        <v>32</v>
      </c>
      <c r="FW33" s="34" t="s">
        <v>32</v>
      </c>
      <c r="FX33" s="32" t="s">
        <v>32</v>
      </c>
      <c r="FY33" s="32"/>
      <c r="FZ33" s="34" t="s">
        <v>32</v>
      </c>
      <c r="GA33" s="28" t="s">
        <v>32</v>
      </c>
      <c r="GB33" s="28" t="s">
        <v>32</v>
      </c>
      <c r="GC33" s="34" t="s">
        <v>32</v>
      </c>
      <c r="GD33" s="34" t="s">
        <v>32</v>
      </c>
      <c r="GE33" s="32" t="s">
        <v>32</v>
      </c>
      <c r="GF33" s="32" t="s">
        <v>32</v>
      </c>
      <c r="GG33" s="29" t="s">
        <v>32</v>
      </c>
      <c r="GH33" s="28" t="s">
        <v>32</v>
      </c>
      <c r="GI33" s="26" t="s">
        <v>32</v>
      </c>
      <c r="GJ33" s="34" t="s">
        <v>32</v>
      </c>
      <c r="GK33" s="34" t="s">
        <v>32</v>
      </c>
      <c r="GL33" s="34" t="s">
        <v>32</v>
      </c>
      <c r="GM33" s="33">
        <f t="shared" si="30"/>
        <v>0</v>
      </c>
      <c r="GN33" s="24"/>
      <c r="GO33" s="25">
        <v>45626</v>
      </c>
      <c r="GP33" s="26">
        <v>20</v>
      </c>
      <c r="GQ33" s="26">
        <v>1500</v>
      </c>
      <c r="GR33" s="27">
        <f t="shared" si="7"/>
        <v>661055</v>
      </c>
      <c r="GS33" s="28">
        <v>0</v>
      </c>
      <c r="GT33" s="29">
        <v>0</v>
      </c>
      <c r="GU33" s="29">
        <v>0</v>
      </c>
      <c r="GV33" s="34">
        <v>15400</v>
      </c>
      <c r="GW33" s="34">
        <v>18600</v>
      </c>
      <c r="GX33" s="31">
        <v>100000</v>
      </c>
      <c r="GY33" s="34">
        <v>1500</v>
      </c>
      <c r="GZ33" s="32">
        <v>19910</v>
      </c>
      <c r="HA33" s="32"/>
      <c r="HB33" s="34" t="s">
        <v>32</v>
      </c>
      <c r="HC33" s="28">
        <v>32968</v>
      </c>
      <c r="HD33" s="28">
        <v>500</v>
      </c>
      <c r="HE33" s="34">
        <v>500</v>
      </c>
      <c r="HF33" s="34" t="s">
        <v>32</v>
      </c>
      <c r="HG33" s="32">
        <v>469677</v>
      </c>
      <c r="HH33" s="32" t="s">
        <v>109</v>
      </c>
      <c r="HI33" s="29" t="s">
        <v>32</v>
      </c>
      <c r="HJ33" s="28" t="s">
        <v>32</v>
      </c>
      <c r="HK33" s="26">
        <v>2000</v>
      </c>
      <c r="HL33" s="34" t="s">
        <v>40</v>
      </c>
      <c r="HM33" s="34" t="s">
        <v>32</v>
      </c>
      <c r="HN33" s="34" t="s">
        <v>32</v>
      </c>
      <c r="HO33" s="33">
        <f t="shared" si="31"/>
        <v>661055</v>
      </c>
      <c r="HP33" s="24"/>
      <c r="HQ33" s="25">
        <v>45656</v>
      </c>
      <c r="HR33" s="26">
        <v>6093</v>
      </c>
      <c r="HS33" s="26">
        <v>433055</v>
      </c>
      <c r="HT33" s="27">
        <f t="shared" si="8"/>
        <v>31230</v>
      </c>
      <c r="HU33" s="28">
        <v>0</v>
      </c>
      <c r="HV33" s="29">
        <v>0</v>
      </c>
      <c r="HW33" s="29">
        <v>0</v>
      </c>
      <c r="HX33" s="34" t="s">
        <v>32</v>
      </c>
      <c r="HY33" s="34"/>
      <c r="HZ33" s="31" t="s">
        <v>32</v>
      </c>
      <c r="IA33" s="34" t="s">
        <v>32</v>
      </c>
      <c r="IB33" s="32">
        <v>100</v>
      </c>
      <c r="IC33" s="32"/>
      <c r="ID33" s="34">
        <v>30000</v>
      </c>
      <c r="IE33" s="28" t="s">
        <v>32</v>
      </c>
      <c r="IF33" s="28" t="s">
        <v>32</v>
      </c>
      <c r="IG33" s="34">
        <v>1130</v>
      </c>
      <c r="IH33" s="34" t="s">
        <v>32</v>
      </c>
      <c r="II33" s="32" t="s">
        <v>32</v>
      </c>
      <c r="IJ33" s="32" t="s">
        <v>32</v>
      </c>
      <c r="IK33" s="29" t="s">
        <v>32</v>
      </c>
      <c r="IL33" s="28" t="s">
        <v>32</v>
      </c>
      <c r="IM33" s="26" t="s">
        <v>32</v>
      </c>
      <c r="IN33" s="34" t="s">
        <v>32</v>
      </c>
      <c r="IO33" s="34" t="s">
        <v>32</v>
      </c>
      <c r="IP33" s="34" t="s">
        <v>32</v>
      </c>
      <c r="IQ33" s="33">
        <f t="shared" si="32"/>
        <v>31230</v>
      </c>
      <c r="IR33" s="24"/>
      <c r="IS33" s="25">
        <v>45687</v>
      </c>
      <c r="IT33" s="26">
        <v>0</v>
      </c>
      <c r="IU33" s="26">
        <v>0</v>
      </c>
      <c r="IV33" s="27">
        <f t="shared" si="9"/>
        <v>124707</v>
      </c>
      <c r="IW33" s="28">
        <v>1645</v>
      </c>
      <c r="IX33" s="29">
        <v>2943</v>
      </c>
      <c r="IY33" s="29">
        <v>7.25</v>
      </c>
      <c r="IZ33" s="34">
        <v>12725</v>
      </c>
      <c r="JA33" s="34">
        <v>15275</v>
      </c>
      <c r="JB33" s="31" t="s">
        <v>32</v>
      </c>
      <c r="JC33" s="34" t="s">
        <v>32</v>
      </c>
      <c r="JD33" s="32" t="s">
        <v>32</v>
      </c>
      <c r="JE33" s="32"/>
      <c r="JF33" s="34">
        <v>93332</v>
      </c>
      <c r="JG33" s="28" t="s">
        <v>32</v>
      </c>
      <c r="JH33" s="28" t="s">
        <v>32</v>
      </c>
      <c r="JI33" s="34">
        <v>3375</v>
      </c>
      <c r="JJ33" s="34" t="s">
        <v>32</v>
      </c>
      <c r="JK33" s="32" t="s">
        <v>32</v>
      </c>
      <c r="JL33" s="32" t="s">
        <v>32</v>
      </c>
      <c r="JM33" s="29" t="s">
        <v>32</v>
      </c>
      <c r="JN33" s="28" t="s">
        <v>32</v>
      </c>
      <c r="JO33" s="26" t="s">
        <v>32</v>
      </c>
      <c r="JP33" s="34" t="s">
        <v>32</v>
      </c>
      <c r="JQ33" s="34" t="s">
        <v>32</v>
      </c>
      <c r="JR33" s="34" t="s">
        <v>32</v>
      </c>
      <c r="JS33" s="33">
        <f t="shared" si="33"/>
        <v>124707</v>
      </c>
      <c r="JT33" s="24"/>
      <c r="JU33" s="25" t="s">
        <v>32</v>
      </c>
      <c r="JV33" s="26" t="s">
        <v>32</v>
      </c>
      <c r="JW33" s="26" t="s">
        <v>32</v>
      </c>
      <c r="JX33" s="27">
        <f t="shared" si="10"/>
        <v>0</v>
      </c>
      <c r="JY33" s="28" t="s">
        <v>32</v>
      </c>
      <c r="JZ33" s="29" t="s">
        <v>33</v>
      </c>
      <c r="KA33" s="29" t="s">
        <v>32</v>
      </c>
      <c r="KB33" s="34" t="s">
        <v>32</v>
      </c>
      <c r="KC33" s="34"/>
      <c r="KD33" s="31" t="s">
        <v>32</v>
      </c>
      <c r="KE33" s="34" t="s">
        <v>32</v>
      </c>
      <c r="KF33" s="32" t="s">
        <v>32</v>
      </c>
      <c r="KG33" s="32"/>
      <c r="KH33" s="34" t="s">
        <v>32</v>
      </c>
      <c r="KI33" s="28" t="s">
        <v>32</v>
      </c>
      <c r="KJ33" s="28" t="s">
        <v>32</v>
      </c>
      <c r="KK33" s="34" t="s">
        <v>32</v>
      </c>
      <c r="KL33" s="34" t="s">
        <v>32</v>
      </c>
      <c r="KM33" s="32" t="s">
        <v>32</v>
      </c>
      <c r="KN33" s="32" t="s">
        <v>32</v>
      </c>
      <c r="KO33" s="29" t="s">
        <v>32</v>
      </c>
      <c r="KP33" s="28" t="s">
        <v>32</v>
      </c>
      <c r="KQ33" s="26" t="s">
        <v>32</v>
      </c>
      <c r="KR33" s="34" t="s">
        <v>32</v>
      </c>
      <c r="KS33" s="34" t="s">
        <v>32</v>
      </c>
      <c r="KT33" s="34" t="s">
        <v>32</v>
      </c>
      <c r="KU33" s="33">
        <f t="shared" si="34"/>
        <v>0</v>
      </c>
      <c r="KV33" s="24"/>
      <c r="KW33" s="25">
        <v>45746</v>
      </c>
      <c r="KX33" s="26">
        <v>428</v>
      </c>
      <c r="KY33" s="26">
        <v>26500</v>
      </c>
      <c r="KZ33" s="27">
        <f t="shared" si="11"/>
        <v>456340</v>
      </c>
      <c r="LA33" s="28">
        <v>3230</v>
      </c>
      <c r="LB33" s="29">
        <v>1460</v>
      </c>
      <c r="LC33" s="29">
        <v>3.5</v>
      </c>
      <c r="LD33" s="34" t="s">
        <v>32</v>
      </c>
      <c r="LE33" s="34"/>
      <c r="LF33" s="31" t="s">
        <v>32</v>
      </c>
      <c r="LG33" s="34" t="s">
        <v>32</v>
      </c>
      <c r="LH33" s="32" t="s">
        <v>32</v>
      </c>
      <c r="LI33" s="32"/>
      <c r="LJ33" s="34" t="s">
        <v>32</v>
      </c>
      <c r="LK33" s="28" t="s">
        <v>32</v>
      </c>
      <c r="LL33" s="28" t="s">
        <v>32</v>
      </c>
      <c r="LM33" s="34">
        <v>1859</v>
      </c>
      <c r="LN33" s="34" t="s">
        <v>32</v>
      </c>
      <c r="LO33" s="32">
        <v>454481</v>
      </c>
      <c r="LP33" s="32" t="s">
        <v>119</v>
      </c>
      <c r="LQ33" s="29" t="s">
        <v>32</v>
      </c>
      <c r="LR33" s="28" t="s">
        <v>32</v>
      </c>
      <c r="LS33" s="26" t="s">
        <v>32</v>
      </c>
      <c r="LT33" s="34" t="s">
        <v>32</v>
      </c>
      <c r="LU33" s="34" t="s">
        <v>32</v>
      </c>
      <c r="LV33" s="34" t="s">
        <v>32</v>
      </c>
      <c r="LW33" s="33">
        <f t="shared" si="35"/>
        <v>456340</v>
      </c>
      <c r="LX33" s="24"/>
    </row>
    <row r="34" spans="1:336" x14ac:dyDescent="0.3">
      <c r="A34" s="25" t="s">
        <v>32</v>
      </c>
      <c r="B34" s="26" t="s">
        <v>32</v>
      </c>
      <c r="C34" s="26" t="s">
        <v>32</v>
      </c>
      <c r="D34" s="27">
        <f t="shared" si="0"/>
        <v>0</v>
      </c>
      <c r="E34" s="28" t="s">
        <v>32</v>
      </c>
      <c r="F34" s="29" t="s">
        <v>32</v>
      </c>
      <c r="G34" s="29" t="s">
        <v>32</v>
      </c>
      <c r="H34" s="34" t="s">
        <v>32</v>
      </c>
      <c r="I34" s="34"/>
      <c r="J34" s="31" t="s">
        <v>32</v>
      </c>
      <c r="K34" s="34" t="s">
        <v>32</v>
      </c>
      <c r="L34" s="32" t="s">
        <v>33</v>
      </c>
      <c r="M34" s="32"/>
      <c r="N34" s="34"/>
      <c r="O34" s="28" t="s">
        <v>32</v>
      </c>
      <c r="P34" s="28" t="s">
        <v>32</v>
      </c>
      <c r="Q34" s="34" t="s">
        <v>32</v>
      </c>
      <c r="R34" s="34" t="s">
        <v>32</v>
      </c>
      <c r="S34" s="32" t="s">
        <v>32</v>
      </c>
      <c r="T34" s="32" t="s">
        <v>32</v>
      </c>
      <c r="U34" s="29" t="s">
        <v>32</v>
      </c>
      <c r="V34" s="28" t="s">
        <v>32</v>
      </c>
      <c r="W34" s="26" t="s">
        <v>32</v>
      </c>
      <c r="X34" s="34" t="s">
        <v>32</v>
      </c>
      <c r="Y34" s="34" t="s">
        <v>32</v>
      </c>
      <c r="Z34" s="34" t="s">
        <v>32</v>
      </c>
      <c r="AA34" s="33">
        <f t="shared" si="24"/>
        <v>0</v>
      </c>
      <c r="AB34" s="24"/>
      <c r="AC34" s="25">
        <v>45443</v>
      </c>
      <c r="AD34" s="26">
        <v>7776</v>
      </c>
      <c r="AE34" s="26">
        <v>566797</v>
      </c>
      <c r="AF34" s="27">
        <f t="shared" si="1"/>
        <v>742128</v>
      </c>
      <c r="AG34" s="28">
        <v>2051</v>
      </c>
      <c r="AH34" s="29">
        <v>4283</v>
      </c>
      <c r="AI34" s="29">
        <v>8.5</v>
      </c>
      <c r="AJ34" s="34" t="s">
        <v>32</v>
      </c>
      <c r="AK34" s="34"/>
      <c r="AL34" s="31" t="s">
        <v>32</v>
      </c>
      <c r="AM34" s="34" t="s">
        <v>32</v>
      </c>
      <c r="AN34" s="32">
        <v>6600</v>
      </c>
      <c r="AO34" s="32">
        <v>6500</v>
      </c>
      <c r="AP34" s="34"/>
      <c r="AQ34" s="28" t="s">
        <v>32</v>
      </c>
      <c r="AR34" s="28" t="s">
        <v>32</v>
      </c>
      <c r="AS34" s="34">
        <v>300</v>
      </c>
      <c r="AT34" s="34" t="s">
        <v>32</v>
      </c>
      <c r="AU34" s="32">
        <v>726928</v>
      </c>
      <c r="AV34" s="32" t="s">
        <v>78</v>
      </c>
      <c r="AW34" s="29">
        <v>1800</v>
      </c>
      <c r="AX34" s="28" t="s">
        <v>32</v>
      </c>
      <c r="AY34" s="26" t="s">
        <v>32</v>
      </c>
      <c r="AZ34" s="34" t="s">
        <v>32</v>
      </c>
      <c r="BA34" s="34" t="s">
        <v>32</v>
      </c>
      <c r="BB34" s="34" t="s">
        <v>32</v>
      </c>
      <c r="BC34" s="33">
        <f t="shared" si="25"/>
        <v>742128</v>
      </c>
      <c r="BD34" s="24"/>
      <c r="BE34" s="25" t="s">
        <v>32</v>
      </c>
      <c r="BF34" s="26" t="s">
        <v>32</v>
      </c>
      <c r="BG34" s="26" t="s">
        <v>32</v>
      </c>
      <c r="BH34" s="27">
        <f t="shared" si="2"/>
        <v>0</v>
      </c>
      <c r="BI34" s="28" t="s">
        <v>32</v>
      </c>
      <c r="BJ34" s="29" t="s">
        <v>32</v>
      </c>
      <c r="BK34" s="29" t="s">
        <v>32</v>
      </c>
      <c r="BL34" s="34" t="s">
        <v>32</v>
      </c>
      <c r="BM34" s="34"/>
      <c r="BN34" s="31" t="s">
        <v>32</v>
      </c>
      <c r="BO34" s="34" t="s">
        <v>32</v>
      </c>
      <c r="BP34" s="32" t="s">
        <v>33</v>
      </c>
      <c r="BQ34" s="32"/>
      <c r="BR34" s="34"/>
      <c r="BS34" s="28" t="s">
        <v>32</v>
      </c>
      <c r="BT34" s="28" t="s">
        <v>32</v>
      </c>
      <c r="BU34" s="34" t="s">
        <v>32</v>
      </c>
      <c r="BV34" s="34" t="s">
        <v>32</v>
      </c>
      <c r="BW34" s="32" t="s">
        <v>32</v>
      </c>
      <c r="BX34" s="32" t="s">
        <v>32</v>
      </c>
      <c r="BY34" s="29" t="s">
        <v>32</v>
      </c>
      <c r="BZ34" s="28" t="s">
        <v>32</v>
      </c>
      <c r="CA34" s="26" t="s">
        <v>32</v>
      </c>
      <c r="CB34" s="34" t="s">
        <v>32</v>
      </c>
      <c r="CC34" s="34" t="s">
        <v>32</v>
      </c>
      <c r="CD34" s="34" t="s">
        <v>32</v>
      </c>
      <c r="CE34" s="33">
        <f t="shared" si="26"/>
        <v>0</v>
      </c>
      <c r="CF34" s="24"/>
      <c r="CG34" s="25">
        <v>45504</v>
      </c>
      <c r="CH34" s="26">
        <v>142</v>
      </c>
      <c r="CI34" s="26">
        <v>6800</v>
      </c>
      <c r="CJ34" s="27">
        <f t="shared" si="3"/>
        <v>669956</v>
      </c>
      <c r="CK34" s="28">
        <v>1377</v>
      </c>
      <c r="CL34" s="29">
        <v>4225</v>
      </c>
      <c r="CM34" s="29">
        <v>7.4</v>
      </c>
      <c r="CN34" s="34" t="s">
        <v>32</v>
      </c>
      <c r="CO34" s="34"/>
      <c r="CP34" s="31" t="s">
        <v>32</v>
      </c>
      <c r="CQ34" s="34" t="s">
        <v>32</v>
      </c>
      <c r="CR34" s="32" t="s">
        <v>33</v>
      </c>
      <c r="CS34" s="32"/>
      <c r="CT34" s="34"/>
      <c r="CU34" s="28">
        <v>120</v>
      </c>
      <c r="CV34" s="28" t="s">
        <v>32</v>
      </c>
      <c r="CW34" s="34">
        <v>1406</v>
      </c>
      <c r="CX34" s="34" t="s">
        <v>32</v>
      </c>
      <c r="CY34" s="32">
        <v>668250</v>
      </c>
      <c r="CZ34" s="32" t="s">
        <v>87</v>
      </c>
      <c r="DA34" s="29" t="s">
        <v>32</v>
      </c>
      <c r="DB34" s="28">
        <v>180</v>
      </c>
      <c r="DC34" s="26" t="s">
        <v>32</v>
      </c>
      <c r="DD34" s="34" t="s">
        <v>32</v>
      </c>
      <c r="DE34" s="34" t="s">
        <v>32</v>
      </c>
      <c r="DF34" s="34" t="s">
        <v>32</v>
      </c>
      <c r="DG34" s="33">
        <f t="shared" si="27"/>
        <v>669956</v>
      </c>
      <c r="DH34" s="24"/>
      <c r="DI34" s="25">
        <v>45535</v>
      </c>
      <c r="DJ34" s="26">
        <v>0</v>
      </c>
      <c r="DK34" s="26">
        <v>0</v>
      </c>
      <c r="DL34" s="27">
        <f t="shared" si="4"/>
        <v>695100</v>
      </c>
      <c r="DM34" s="28">
        <v>4030</v>
      </c>
      <c r="DN34" s="29">
        <v>4760</v>
      </c>
      <c r="DO34" s="29">
        <v>12</v>
      </c>
      <c r="DP34" s="34" t="s">
        <v>32</v>
      </c>
      <c r="DQ34" s="34"/>
      <c r="DR34" s="31" t="s">
        <v>32</v>
      </c>
      <c r="DS34" s="34" t="s">
        <v>32</v>
      </c>
      <c r="DT34" s="32">
        <v>2100</v>
      </c>
      <c r="DU34" s="32">
        <v>30850</v>
      </c>
      <c r="DV34" s="34"/>
      <c r="DW34" s="28" t="s">
        <v>32</v>
      </c>
      <c r="DX34" s="28" t="s">
        <v>32</v>
      </c>
      <c r="DY34" s="34">
        <v>3354</v>
      </c>
      <c r="DZ34" s="34" t="s">
        <v>32</v>
      </c>
      <c r="EA34" s="32">
        <v>658276</v>
      </c>
      <c r="EB34" s="32" t="s">
        <v>92</v>
      </c>
      <c r="EC34" s="29" t="s">
        <v>32</v>
      </c>
      <c r="ED34" s="28">
        <v>520</v>
      </c>
      <c r="EE34" s="26" t="s">
        <v>32</v>
      </c>
      <c r="EF34" s="34" t="s">
        <v>32</v>
      </c>
      <c r="EG34" s="34" t="s">
        <v>32</v>
      </c>
      <c r="EH34" s="34" t="s">
        <v>32</v>
      </c>
      <c r="EI34" s="33">
        <f t="shared" si="28"/>
        <v>695100</v>
      </c>
      <c r="EJ34" s="24"/>
      <c r="EK34" s="25" t="s">
        <v>32</v>
      </c>
      <c r="EL34" s="26" t="s">
        <v>32</v>
      </c>
      <c r="EM34" s="26" t="s">
        <v>32</v>
      </c>
      <c r="EN34" s="27">
        <f t="shared" si="5"/>
        <v>0</v>
      </c>
      <c r="EO34" s="28" t="s">
        <v>32</v>
      </c>
      <c r="EP34" s="29" t="s">
        <v>32</v>
      </c>
      <c r="EQ34" s="29" t="s">
        <v>32</v>
      </c>
      <c r="ER34" s="34" t="s">
        <v>32</v>
      </c>
      <c r="ES34" s="34"/>
      <c r="ET34" s="31" t="s">
        <v>32</v>
      </c>
      <c r="EU34" s="34" t="s">
        <v>32</v>
      </c>
      <c r="EV34" s="32" t="s">
        <v>33</v>
      </c>
      <c r="EW34" s="32"/>
      <c r="EX34" s="34"/>
      <c r="EY34" s="28" t="s">
        <v>32</v>
      </c>
      <c r="EZ34" s="28" t="s">
        <v>32</v>
      </c>
      <c r="FA34" s="34" t="s">
        <v>32</v>
      </c>
      <c r="FB34" s="34" t="s">
        <v>32</v>
      </c>
      <c r="FC34" s="32" t="s">
        <v>32</v>
      </c>
      <c r="FD34" s="32" t="s">
        <v>32</v>
      </c>
      <c r="FE34" s="29" t="s">
        <v>32</v>
      </c>
      <c r="FF34" s="28" t="s">
        <v>32</v>
      </c>
      <c r="FG34" s="26" t="s">
        <v>32</v>
      </c>
      <c r="FH34" s="34" t="s">
        <v>32</v>
      </c>
      <c r="FI34" s="34" t="s">
        <v>32</v>
      </c>
      <c r="FJ34" s="34" t="s">
        <v>32</v>
      </c>
      <c r="FK34" s="33">
        <f t="shared" si="29"/>
        <v>0</v>
      </c>
      <c r="FL34" s="24"/>
      <c r="FM34" s="25">
        <v>45596</v>
      </c>
      <c r="FN34" s="26">
        <v>7</v>
      </c>
      <c r="FO34" s="26">
        <v>300</v>
      </c>
      <c r="FP34" s="27">
        <f t="shared" si="6"/>
        <v>652042</v>
      </c>
      <c r="FQ34" s="28">
        <v>0</v>
      </c>
      <c r="FR34" s="29">
        <v>0</v>
      </c>
      <c r="FS34" s="29">
        <v>0</v>
      </c>
      <c r="FT34" s="34">
        <v>9115</v>
      </c>
      <c r="FU34" s="34">
        <v>10985</v>
      </c>
      <c r="FV34" s="31" t="s">
        <v>32</v>
      </c>
      <c r="FW34" s="34" t="s">
        <v>32</v>
      </c>
      <c r="FX34" s="32">
        <v>25640</v>
      </c>
      <c r="FY34" s="32"/>
      <c r="FZ34" s="34">
        <v>124900</v>
      </c>
      <c r="GA34" s="28" t="s">
        <v>32</v>
      </c>
      <c r="GB34" s="28">
        <v>500</v>
      </c>
      <c r="GC34" s="34">
        <v>4300</v>
      </c>
      <c r="GD34" s="34" t="s">
        <v>32</v>
      </c>
      <c r="GE34" s="32">
        <v>476602</v>
      </c>
      <c r="GF34" s="32" t="s">
        <v>105</v>
      </c>
      <c r="GG34" s="29" t="s">
        <v>32</v>
      </c>
      <c r="GH34" s="28" t="s">
        <v>32</v>
      </c>
      <c r="GI34" s="26" t="s">
        <v>32</v>
      </c>
      <c r="GJ34" s="34" t="s">
        <v>32</v>
      </c>
      <c r="GK34" s="34" t="s">
        <v>32</v>
      </c>
      <c r="GL34" s="34" t="s">
        <v>32</v>
      </c>
      <c r="GM34" s="33">
        <f t="shared" si="30"/>
        <v>652042</v>
      </c>
      <c r="GN34" s="24"/>
      <c r="GO34" s="25" t="s">
        <v>32</v>
      </c>
      <c r="GP34" s="26" t="s">
        <v>32</v>
      </c>
      <c r="GQ34" s="26" t="s">
        <v>32</v>
      </c>
      <c r="GR34" s="27">
        <f t="shared" si="7"/>
        <v>0</v>
      </c>
      <c r="GS34" s="28" t="s">
        <v>32</v>
      </c>
      <c r="GT34" s="29" t="s">
        <v>32</v>
      </c>
      <c r="GU34" s="29" t="s">
        <v>32</v>
      </c>
      <c r="GV34" s="34" t="s">
        <v>32</v>
      </c>
      <c r="GW34" s="34"/>
      <c r="GX34" s="31" t="s">
        <v>32</v>
      </c>
      <c r="GY34" s="34" t="s">
        <v>32</v>
      </c>
      <c r="GZ34" s="32" t="s">
        <v>33</v>
      </c>
      <c r="HA34" s="32"/>
      <c r="HB34" s="34"/>
      <c r="HC34" s="28" t="s">
        <v>32</v>
      </c>
      <c r="HD34" s="28" t="s">
        <v>32</v>
      </c>
      <c r="HE34" s="34" t="s">
        <v>32</v>
      </c>
      <c r="HF34" s="34" t="s">
        <v>32</v>
      </c>
      <c r="HG34" s="32" t="s">
        <v>32</v>
      </c>
      <c r="HH34" s="32" t="s">
        <v>32</v>
      </c>
      <c r="HI34" s="29" t="s">
        <v>32</v>
      </c>
      <c r="HJ34" s="28" t="s">
        <v>32</v>
      </c>
      <c r="HK34" s="26" t="s">
        <v>32</v>
      </c>
      <c r="HL34" s="34" t="s">
        <v>32</v>
      </c>
      <c r="HM34" s="34" t="s">
        <v>32</v>
      </c>
      <c r="HN34" s="34" t="s">
        <v>32</v>
      </c>
      <c r="HO34" s="33">
        <f t="shared" si="31"/>
        <v>0</v>
      </c>
      <c r="HP34" s="24"/>
      <c r="HQ34" s="25">
        <v>45657</v>
      </c>
      <c r="HR34" s="26">
        <v>92</v>
      </c>
      <c r="HS34" s="26">
        <v>4400</v>
      </c>
      <c r="HT34" s="27">
        <f t="shared" si="8"/>
        <v>895097</v>
      </c>
      <c r="HU34" s="28">
        <v>744</v>
      </c>
      <c r="HV34" s="29">
        <v>1752</v>
      </c>
      <c r="HW34" s="29">
        <v>3</v>
      </c>
      <c r="HX34" s="34" t="s">
        <v>32</v>
      </c>
      <c r="HY34" s="34"/>
      <c r="HZ34" s="31">
        <v>110528</v>
      </c>
      <c r="IA34" s="34">
        <v>200080</v>
      </c>
      <c r="IB34" s="32">
        <v>6360</v>
      </c>
      <c r="IC34" s="32">
        <v>14500</v>
      </c>
      <c r="ID34" s="34">
        <v>4400</v>
      </c>
      <c r="IE34" s="28">
        <v>32968</v>
      </c>
      <c r="IF34" s="28" t="s">
        <v>32</v>
      </c>
      <c r="IG34" s="34">
        <v>1090</v>
      </c>
      <c r="IH34" s="34" t="s">
        <v>32</v>
      </c>
      <c r="II34" s="32">
        <v>514589</v>
      </c>
      <c r="IJ34" s="32" t="s">
        <v>112</v>
      </c>
      <c r="IK34" s="29"/>
      <c r="IL34" s="28" t="s">
        <v>32</v>
      </c>
      <c r="IM34" s="26">
        <v>1400</v>
      </c>
      <c r="IN34" s="34" t="s">
        <v>40</v>
      </c>
      <c r="IO34" s="34">
        <v>9182</v>
      </c>
      <c r="IP34" s="34" t="s">
        <v>113</v>
      </c>
      <c r="IQ34" s="33">
        <f t="shared" si="32"/>
        <v>895097</v>
      </c>
      <c r="IR34" s="24"/>
      <c r="IS34" s="25">
        <v>45688</v>
      </c>
      <c r="IT34" s="26">
        <v>442</v>
      </c>
      <c r="IU34" s="26">
        <v>22208</v>
      </c>
      <c r="IV34" s="27">
        <f t="shared" si="9"/>
        <v>746102</v>
      </c>
      <c r="IW34" s="28">
        <v>1697</v>
      </c>
      <c r="IX34" s="29">
        <v>0</v>
      </c>
      <c r="IY34" s="29">
        <v>6.5</v>
      </c>
      <c r="IZ34" s="34" t="s">
        <v>32</v>
      </c>
      <c r="JA34" s="34"/>
      <c r="JB34" s="31">
        <v>122800</v>
      </c>
      <c r="JC34" s="34" t="s">
        <v>32</v>
      </c>
      <c r="JD34" s="32" t="s">
        <v>33</v>
      </c>
      <c r="JE34" s="32"/>
      <c r="JF34" s="34">
        <v>57750</v>
      </c>
      <c r="JG34" s="28" t="s">
        <v>32</v>
      </c>
      <c r="JH34" s="28" t="s">
        <v>32</v>
      </c>
      <c r="JI34" s="34">
        <v>915</v>
      </c>
      <c r="JJ34" s="34" t="s">
        <v>32</v>
      </c>
      <c r="JK34" s="32">
        <v>542717</v>
      </c>
      <c r="JL34" s="32" t="s">
        <v>114</v>
      </c>
      <c r="JM34" s="29">
        <v>120</v>
      </c>
      <c r="JN34" s="28" t="s">
        <v>32</v>
      </c>
      <c r="JO34" s="26">
        <v>21800</v>
      </c>
      <c r="JP34" s="34" t="s">
        <v>115</v>
      </c>
      <c r="JQ34" s="34" t="s">
        <v>32</v>
      </c>
      <c r="JR34" s="34" t="s">
        <v>32</v>
      </c>
      <c r="JS34" s="33">
        <f t="shared" si="33"/>
        <v>746102</v>
      </c>
      <c r="JT34" s="24"/>
      <c r="JU34" s="25" t="s">
        <v>32</v>
      </c>
      <c r="JV34" s="26" t="s">
        <v>32</v>
      </c>
      <c r="JW34" s="26" t="s">
        <v>32</v>
      </c>
      <c r="JX34" s="27">
        <f t="shared" si="10"/>
        <v>0</v>
      </c>
      <c r="JY34" s="28" t="s">
        <v>32</v>
      </c>
      <c r="JZ34" s="29" t="s">
        <v>32</v>
      </c>
      <c r="KA34" s="29" t="s">
        <v>32</v>
      </c>
      <c r="KB34" s="34" t="s">
        <v>32</v>
      </c>
      <c r="KC34" s="34"/>
      <c r="KD34" s="31" t="s">
        <v>32</v>
      </c>
      <c r="KE34" s="34" t="s">
        <v>32</v>
      </c>
      <c r="KF34" s="32" t="s">
        <v>33</v>
      </c>
      <c r="KG34" s="32"/>
      <c r="KH34" s="34"/>
      <c r="KI34" s="28" t="s">
        <v>32</v>
      </c>
      <c r="KJ34" s="28" t="s">
        <v>32</v>
      </c>
      <c r="KK34" s="34" t="s">
        <v>32</v>
      </c>
      <c r="KL34" s="34" t="s">
        <v>32</v>
      </c>
      <c r="KM34" s="32" t="s">
        <v>32</v>
      </c>
      <c r="KN34" s="32" t="s">
        <v>32</v>
      </c>
      <c r="KO34" s="29" t="s">
        <v>32</v>
      </c>
      <c r="KP34" s="28" t="s">
        <v>32</v>
      </c>
      <c r="KQ34" s="26" t="s">
        <v>32</v>
      </c>
      <c r="KR34" s="34" t="s">
        <v>32</v>
      </c>
      <c r="KS34" s="34" t="s">
        <v>32</v>
      </c>
      <c r="KT34" s="34" t="s">
        <v>32</v>
      </c>
      <c r="KU34" s="33">
        <f t="shared" si="34"/>
        <v>0</v>
      </c>
      <c r="KV34" s="24"/>
      <c r="KW34" s="25">
        <v>45747</v>
      </c>
      <c r="KX34" s="26">
        <v>2694</v>
      </c>
      <c r="KY34" s="26">
        <v>159352</v>
      </c>
      <c r="KZ34" s="27">
        <f t="shared" si="11"/>
        <v>283046</v>
      </c>
      <c r="LA34" s="28">
        <v>3175</v>
      </c>
      <c r="LB34" s="29">
        <v>0</v>
      </c>
      <c r="LC34" s="29">
        <v>8.5</v>
      </c>
      <c r="LD34" s="34" t="s">
        <v>32</v>
      </c>
      <c r="LE34" s="34"/>
      <c r="LF34" s="31">
        <v>49884</v>
      </c>
      <c r="LG34" s="34">
        <v>188180</v>
      </c>
      <c r="LH34" s="32" t="s">
        <v>33</v>
      </c>
      <c r="LI34" s="32"/>
      <c r="LJ34" s="34"/>
      <c r="LK34" s="28">
        <v>32968</v>
      </c>
      <c r="LL34" s="28" t="s">
        <v>32</v>
      </c>
      <c r="LM34" s="34">
        <v>793</v>
      </c>
      <c r="LN34" s="34" t="s">
        <v>32</v>
      </c>
      <c r="LO34" s="32">
        <v>8572</v>
      </c>
      <c r="LP34" s="32" t="s">
        <v>32</v>
      </c>
      <c r="LQ34" s="29">
        <v>2649</v>
      </c>
      <c r="LR34" s="28" t="s">
        <v>32</v>
      </c>
      <c r="LS34" s="26" t="s">
        <v>32</v>
      </c>
      <c r="LT34" s="34" t="s">
        <v>32</v>
      </c>
      <c r="LU34" s="34" t="s">
        <v>32</v>
      </c>
      <c r="LV34" s="34" t="s">
        <v>32</v>
      </c>
      <c r="LW34" s="33">
        <f t="shared" si="35"/>
        <v>283046</v>
      </c>
      <c r="LX34" s="24"/>
    </row>
    <row r="35" spans="1:336" x14ac:dyDescent="0.3">
      <c r="A35" s="35"/>
      <c r="B35" s="36">
        <f t="shared" ref="B35:H35" si="36">SUM(B4:B34)</f>
        <v>35093.1</v>
      </c>
      <c r="C35" s="36">
        <f t="shared" si="36"/>
        <v>2047192</v>
      </c>
      <c r="D35" s="37">
        <f t="shared" si="36"/>
        <v>2130889</v>
      </c>
      <c r="E35" s="38">
        <f t="shared" si="36"/>
        <v>39404</v>
      </c>
      <c r="F35" s="39">
        <f t="shared" si="36"/>
        <v>30698</v>
      </c>
      <c r="G35" s="39">
        <f t="shared" si="36"/>
        <v>116.60000000000002</v>
      </c>
      <c r="H35" s="35">
        <f t="shared" si="36"/>
        <v>97635</v>
      </c>
      <c r="I35" s="35">
        <f>SUM(I4:I34)</f>
        <v>112348</v>
      </c>
      <c r="J35" s="40">
        <f>SUM(J4:J34)</f>
        <v>220185</v>
      </c>
      <c r="K35" s="35">
        <f>SUM(K4:K34)</f>
        <v>440000</v>
      </c>
      <c r="L35" s="37">
        <f>SUM(L4:L34)</f>
        <v>89200</v>
      </c>
      <c r="M35" s="37"/>
      <c r="N35" s="35">
        <f t="shared" ref="N35:Y35" si="37">SUM(N4:N34)</f>
        <v>178230</v>
      </c>
      <c r="O35" s="38">
        <f t="shared" si="37"/>
        <v>37668</v>
      </c>
      <c r="P35" s="38">
        <f t="shared" si="37"/>
        <v>1900</v>
      </c>
      <c r="Q35" s="35">
        <f t="shared" si="37"/>
        <v>10724</v>
      </c>
      <c r="R35" s="35">
        <f t="shared" si="37"/>
        <v>0</v>
      </c>
      <c r="S35" s="37">
        <f t="shared" si="37"/>
        <v>911614</v>
      </c>
      <c r="T35" s="37">
        <f t="shared" si="37"/>
        <v>0</v>
      </c>
      <c r="U35" s="41">
        <f t="shared" si="37"/>
        <v>3120</v>
      </c>
      <c r="V35" s="38">
        <f t="shared" si="37"/>
        <v>515</v>
      </c>
      <c r="W35" s="36">
        <f t="shared" si="37"/>
        <v>26800</v>
      </c>
      <c r="X35" s="35">
        <f t="shared" si="37"/>
        <v>0</v>
      </c>
      <c r="Y35" s="35">
        <f t="shared" si="37"/>
        <v>950</v>
      </c>
      <c r="Z35" s="35"/>
      <c r="AA35" s="42">
        <f>SUM(H35:Z35)</f>
        <v>2130889</v>
      </c>
      <c r="AB35" s="24"/>
      <c r="AC35" s="35"/>
      <c r="AD35" s="36">
        <f t="shared" ref="AD35:AJ35" si="38">SUM(AD4:AD34)</f>
        <v>67345</v>
      </c>
      <c r="AE35" s="36">
        <f t="shared" si="38"/>
        <v>3968588</v>
      </c>
      <c r="AF35" s="37">
        <f t="shared" si="38"/>
        <v>3622532</v>
      </c>
      <c r="AG35" s="38">
        <f t="shared" si="38"/>
        <v>88751</v>
      </c>
      <c r="AH35" s="39">
        <f t="shared" si="38"/>
        <v>61782</v>
      </c>
      <c r="AI35" s="39">
        <f t="shared" si="38"/>
        <v>202</v>
      </c>
      <c r="AJ35" s="35">
        <f t="shared" si="38"/>
        <v>132994</v>
      </c>
      <c r="AK35" s="35">
        <f>SUM(AK4:AK34)</f>
        <v>122462</v>
      </c>
      <c r="AL35" s="40">
        <f>SUM(AL4:AL34)</f>
        <v>1110399</v>
      </c>
      <c r="AM35" s="35">
        <f>SUM(AM4:AM34)</f>
        <v>856700</v>
      </c>
      <c r="AN35" s="37">
        <f>SUM(AN4:AN34)</f>
        <v>60970</v>
      </c>
      <c r="AO35" s="37">
        <f>SUM(AO4:AO34)</f>
        <v>11500</v>
      </c>
      <c r="AP35" s="35">
        <f t="shared" ref="AP35:BA35" si="39">SUM(AP4:AP34)</f>
        <v>97150</v>
      </c>
      <c r="AQ35" s="38">
        <f t="shared" si="39"/>
        <v>74514</v>
      </c>
      <c r="AR35" s="38">
        <f t="shared" si="39"/>
        <v>2200</v>
      </c>
      <c r="AS35" s="35">
        <f t="shared" si="39"/>
        <v>5564</v>
      </c>
      <c r="AT35" s="35">
        <f t="shared" si="39"/>
        <v>750</v>
      </c>
      <c r="AU35" s="37">
        <f t="shared" si="39"/>
        <v>1086943</v>
      </c>
      <c r="AV35" s="37">
        <f t="shared" si="39"/>
        <v>0</v>
      </c>
      <c r="AW35" s="41">
        <f t="shared" si="39"/>
        <v>1800</v>
      </c>
      <c r="AX35" s="38">
        <f t="shared" si="39"/>
        <v>295</v>
      </c>
      <c r="AY35" s="36">
        <f t="shared" si="39"/>
        <v>38901</v>
      </c>
      <c r="AZ35" s="35">
        <f t="shared" si="39"/>
        <v>0</v>
      </c>
      <c r="BA35" s="35">
        <f t="shared" si="39"/>
        <v>19390</v>
      </c>
      <c r="BB35" s="35"/>
      <c r="BC35" s="42">
        <f>SUM(AJ35:BB35)</f>
        <v>3622532</v>
      </c>
      <c r="BD35" s="24"/>
      <c r="BE35" s="35"/>
      <c r="BF35" s="36">
        <f t="shared" ref="BF35:BL35" si="40">SUM(BF4:BF34)</f>
        <v>79803</v>
      </c>
      <c r="BG35" s="36">
        <f t="shared" si="40"/>
        <v>4315334</v>
      </c>
      <c r="BH35" s="37">
        <f t="shared" si="40"/>
        <v>2983052</v>
      </c>
      <c r="BI35" s="38">
        <f t="shared" si="40"/>
        <v>74142</v>
      </c>
      <c r="BJ35" s="39">
        <f t="shared" si="40"/>
        <v>61678</v>
      </c>
      <c r="BK35" s="39">
        <f t="shared" si="40"/>
        <v>197.47</v>
      </c>
      <c r="BL35" s="35">
        <f t="shared" si="40"/>
        <v>84487</v>
      </c>
      <c r="BM35" s="35">
        <f>SUM(BM4:BM34)</f>
        <v>80003</v>
      </c>
      <c r="BN35" s="40">
        <f>SUM(BN4:BN34)</f>
        <v>853584</v>
      </c>
      <c r="BO35" s="35">
        <f>SUM(BO4:BO34)</f>
        <v>715900</v>
      </c>
      <c r="BP35" s="37">
        <f>SUM(BP4:BP34)</f>
        <v>138720</v>
      </c>
      <c r="BQ35" s="37">
        <f>SUM(BQ4:BQ34)</f>
        <v>223975</v>
      </c>
      <c r="BR35" s="35">
        <f t="shared" ref="BR35:CC35" si="41">SUM(BR4:BR34)</f>
        <v>111900</v>
      </c>
      <c r="BS35" s="38">
        <f t="shared" si="41"/>
        <v>37148</v>
      </c>
      <c r="BT35" s="38">
        <f t="shared" si="41"/>
        <v>3765</v>
      </c>
      <c r="BU35" s="35">
        <f t="shared" si="41"/>
        <v>15959</v>
      </c>
      <c r="BV35" s="35">
        <f t="shared" si="41"/>
        <v>821</v>
      </c>
      <c r="BW35" s="37">
        <f t="shared" si="41"/>
        <v>471716</v>
      </c>
      <c r="BX35" s="37">
        <f t="shared" si="41"/>
        <v>0</v>
      </c>
      <c r="BY35" s="41">
        <f t="shared" si="41"/>
        <v>11053</v>
      </c>
      <c r="BZ35" s="38">
        <f t="shared" si="41"/>
        <v>580</v>
      </c>
      <c r="CA35" s="36">
        <f t="shared" si="41"/>
        <v>232821</v>
      </c>
      <c r="CB35" s="35">
        <f t="shared" si="41"/>
        <v>0</v>
      </c>
      <c r="CC35" s="35">
        <f t="shared" si="41"/>
        <v>620</v>
      </c>
      <c r="CD35" s="35"/>
      <c r="CE35" s="42">
        <f>SUM(BL35:CD35)</f>
        <v>2983052</v>
      </c>
      <c r="CF35" s="24"/>
      <c r="CG35" s="35"/>
      <c r="CH35" s="36">
        <f t="shared" ref="CH35:CN35" si="42">SUM(CH4:CH34)</f>
        <v>67707</v>
      </c>
      <c r="CI35" s="36">
        <f t="shared" si="42"/>
        <v>3430909</v>
      </c>
      <c r="CJ35" s="37">
        <f t="shared" si="42"/>
        <v>3759620</v>
      </c>
      <c r="CK35" s="38">
        <f t="shared" si="42"/>
        <v>79271</v>
      </c>
      <c r="CL35" s="39">
        <f t="shared" si="42"/>
        <v>62497</v>
      </c>
      <c r="CM35" s="39">
        <f t="shared" si="42"/>
        <v>202.8</v>
      </c>
      <c r="CN35" s="35">
        <f t="shared" si="42"/>
        <v>234511</v>
      </c>
      <c r="CO35" s="35">
        <f>SUM(CO4:CO34)</f>
        <v>269152</v>
      </c>
      <c r="CP35" s="40">
        <f>SUM(CP4:CP34)</f>
        <v>1573022</v>
      </c>
      <c r="CQ35" s="35">
        <f>SUM(CQ4:CQ34)</f>
        <v>539610</v>
      </c>
      <c r="CR35" s="37">
        <f>SUM(CR4:CR34)</f>
        <v>30350</v>
      </c>
      <c r="CS35" s="37">
        <f>SUM(CS4:CS34)</f>
        <v>98800</v>
      </c>
      <c r="CT35" s="35">
        <f t="shared" ref="CT35:DE35" si="43">SUM(CT4:CT34)</f>
        <v>263575</v>
      </c>
      <c r="CU35" s="38">
        <f t="shared" si="43"/>
        <v>1220</v>
      </c>
      <c r="CV35" s="38">
        <f t="shared" si="43"/>
        <v>3150</v>
      </c>
      <c r="CW35" s="35">
        <f t="shared" si="43"/>
        <v>51314</v>
      </c>
      <c r="CX35" s="35">
        <f t="shared" si="43"/>
        <v>0</v>
      </c>
      <c r="CY35" s="37">
        <f t="shared" si="43"/>
        <v>680821</v>
      </c>
      <c r="CZ35" s="37">
        <f t="shared" si="43"/>
        <v>0</v>
      </c>
      <c r="DA35" s="41">
        <f t="shared" si="43"/>
        <v>2700</v>
      </c>
      <c r="DB35" s="38">
        <f t="shared" si="43"/>
        <v>885</v>
      </c>
      <c r="DC35" s="36">
        <f t="shared" si="43"/>
        <v>6910</v>
      </c>
      <c r="DD35" s="35">
        <f t="shared" si="43"/>
        <v>0</v>
      </c>
      <c r="DE35" s="35">
        <f t="shared" si="43"/>
        <v>3600</v>
      </c>
      <c r="DF35" s="35"/>
      <c r="DG35" s="42">
        <f>SUM(CN35:DF35)</f>
        <v>3759620</v>
      </c>
      <c r="DH35" s="24"/>
      <c r="DI35" s="35"/>
      <c r="DJ35" s="36">
        <f t="shared" ref="DJ35:DP35" si="44">SUM(DJ4:DJ34)</f>
        <v>55936</v>
      </c>
      <c r="DK35" s="36">
        <f t="shared" si="44"/>
        <v>3233820</v>
      </c>
      <c r="DL35" s="37">
        <f t="shared" si="44"/>
        <v>3553601</v>
      </c>
      <c r="DM35" s="38">
        <f t="shared" si="44"/>
        <v>66474</v>
      </c>
      <c r="DN35" s="39">
        <f t="shared" si="44"/>
        <v>55292</v>
      </c>
      <c r="DO35" s="39">
        <f t="shared" si="44"/>
        <v>196.05</v>
      </c>
      <c r="DP35" s="35">
        <f t="shared" si="44"/>
        <v>12418</v>
      </c>
      <c r="DQ35" s="35">
        <f>SUM(DQ4:DQ34)</f>
        <v>14982</v>
      </c>
      <c r="DR35" s="40">
        <f>SUM(DR4:DR34)</f>
        <v>600000</v>
      </c>
      <c r="DS35" s="35">
        <f>SUM(DS4:DS34)</f>
        <v>523280</v>
      </c>
      <c r="DT35" s="37">
        <f>SUM(DT4:DT34)</f>
        <v>17270</v>
      </c>
      <c r="DU35" s="37">
        <f>SUM(DU4:DU34)</f>
        <v>136407</v>
      </c>
      <c r="DV35" s="35">
        <f t="shared" ref="DV35:EG35" si="45">SUM(DV4:DV34)</f>
        <v>250000</v>
      </c>
      <c r="DW35" s="38">
        <f t="shared" si="45"/>
        <v>68960</v>
      </c>
      <c r="DX35" s="38">
        <f t="shared" si="45"/>
        <v>5190</v>
      </c>
      <c r="DY35" s="35">
        <f t="shared" si="45"/>
        <v>38986</v>
      </c>
      <c r="DZ35" s="35">
        <f t="shared" si="45"/>
        <v>802</v>
      </c>
      <c r="EA35" s="37">
        <f t="shared" si="45"/>
        <v>1774356</v>
      </c>
      <c r="EB35" s="37">
        <f t="shared" si="45"/>
        <v>0</v>
      </c>
      <c r="EC35" s="41">
        <f t="shared" si="45"/>
        <v>1000</v>
      </c>
      <c r="ED35" s="38">
        <f t="shared" si="45"/>
        <v>1550</v>
      </c>
      <c r="EE35" s="36">
        <f t="shared" si="45"/>
        <v>108400</v>
      </c>
      <c r="EF35" s="35">
        <f t="shared" si="45"/>
        <v>0</v>
      </c>
      <c r="EG35" s="35">
        <f t="shared" si="45"/>
        <v>0</v>
      </c>
      <c r="EH35" s="35"/>
      <c r="EI35" s="42">
        <f>SUM(DP35:EH35)</f>
        <v>3553601</v>
      </c>
      <c r="EJ35" s="24"/>
      <c r="EK35" s="35"/>
      <c r="EL35" s="36">
        <f t="shared" ref="EL35:ER35" si="46">SUM(EL4:EL34)</f>
        <v>76393</v>
      </c>
      <c r="EM35" s="36">
        <f t="shared" si="46"/>
        <v>4024191</v>
      </c>
      <c r="EN35" s="37">
        <f t="shared" si="46"/>
        <v>2765974</v>
      </c>
      <c r="EO35" s="38">
        <f t="shared" si="46"/>
        <v>75504</v>
      </c>
      <c r="EP35" s="39">
        <f t="shared" si="46"/>
        <v>80832</v>
      </c>
      <c r="EQ35" s="39">
        <f t="shared" si="46"/>
        <v>242.15</v>
      </c>
      <c r="ER35" s="35">
        <f t="shared" si="46"/>
        <v>77182</v>
      </c>
      <c r="ES35" s="35">
        <f>SUM(ES4:ES34)</f>
        <v>93218</v>
      </c>
      <c r="ET35" s="40">
        <f>SUM(ET4:ET34)</f>
        <v>438116</v>
      </c>
      <c r="EU35" s="35">
        <f>SUM(EU4:EU34)</f>
        <v>490690</v>
      </c>
      <c r="EV35" s="37">
        <f>SUM(EV4:EV34)</f>
        <v>51857</v>
      </c>
      <c r="EW35" s="37">
        <f>SUM(EW4:EW34)</f>
        <v>459565</v>
      </c>
      <c r="EX35" s="35">
        <f t="shared" ref="EX35:FI35" si="47">SUM(EX4:EX34)</f>
        <v>259100</v>
      </c>
      <c r="EY35" s="38">
        <f t="shared" si="47"/>
        <v>58453</v>
      </c>
      <c r="EZ35" s="38">
        <f t="shared" si="47"/>
        <v>1500</v>
      </c>
      <c r="FA35" s="35">
        <f t="shared" si="47"/>
        <v>32903</v>
      </c>
      <c r="FB35" s="35">
        <f t="shared" si="47"/>
        <v>899</v>
      </c>
      <c r="FC35" s="37">
        <f t="shared" si="47"/>
        <v>708601</v>
      </c>
      <c r="FD35" s="37">
        <f t="shared" si="47"/>
        <v>0</v>
      </c>
      <c r="FE35" s="41">
        <f t="shared" si="47"/>
        <v>1000</v>
      </c>
      <c r="FF35" s="38">
        <f t="shared" si="47"/>
        <v>190</v>
      </c>
      <c r="FG35" s="36">
        <f t="shared" si="47"/>
        <v>92700</v>
      </c>
      <c r="FH35" s="35">
        <f t="shared" si="47"/>
        <v>0</v>
      </c>
      <c r="FI35" s="35">
        <f t="shared" si="47"/>
        <v>0</v>
      </c>
      <c r="FJ35" s="35"/>
      <c r="FK35" s="42">
        <f>SUM(ER35:FJ35)</f>
        <v>2765974</v>
      </c>
      <c r="FL35" s="24"/>
      <c r="FM35" s="35"/>
      <c r="FN35" s="36">
        <f t="shared" ref="FN35:FT35" si="48">SUM(FN4:FN34)</f>
        <v>44525</v>
      </c>
      <c r="FO35" s="36">
        <f t="shared" si="48"/>
        <v>3085151</v>
      </c>
      <c r="FP35" s="37">
        <f t="shared" si="48"/>
        <v>3326736</v>
      </c>
      <c r="FQ35" s="38">
        <f t="shared" si="48"/>
        <v>83677</v>
      </c>
      <c r="FR35" s="39">
        <f t="shared" si="48"/>
        <v>72179</v>
      </c>
      <c r="FS35" s="39">
        <f t="shared" si="48"/>
        <v>225.70000000000002</v>
      </c>
      <c r="FT35" s="35">
        <f t="shared" si="48"/>
        <v>170675</v>
      </c>
      <c r="FU35" s="35">
        <f>SUM(FU4:FU34)</f>
        <v>222352</v>
      </c>
      <c r="FV35" s="40">
        <f>SUM(FV4:FV34)</f>
        <v>532160</v>
      </c>
      <c r="FW35" s="35">
        <f>SUM(FW4:FW34)</f>
        <v>510300</v>
      </c>
      <c r="FX35" s="37">
        <f>SUM(FX4:FX34)</f>
        <v>40964</v>
      </c>
      <c r="FY35" s="37">
        <f>SUM(FY4:FY34)</f>
        <v>182932</v>
      </c>
      <c r="FZ35" s="35">
        <f t="shared" ref="FZ35:GK35" si="49">SUM(FZ4:FZ34)</f>
        <v>353700</v>
      </c>
      <c r="GA35" s="38">
        <f t="shared" si="49"/>
        <v>33468</v>
      </c>
      <c r="GB35" s="38">
        <f t="shared" si="49"/>
        <v>3600</v>
      </c>
      <c r="GC35" s="35">
        <f t="shared" si="49"/>
        <v>33040</v>
      </c>
      <c r="GD35" s="35">
        <f t="shared" si="49"/>
        <v>3600</v>
      </c>
      <c r="GE35" s="37">
        <f t="shared" si="49"/>
        <v>1002940</v>
      </c>
      <c r="GF35" s="37">
        <f t="shared" si="49"/>
        <v>0</v>
      </c>
      <c r="GG35" s="41">
        <f t="shared" si="49"/>
        <v>11145</v>
      </c>
      <c r="GH35" s="38">
        <f t="shared" si="49"/>
        <v>0</v>
      </c>
      <c r="GI35" s="36">
        <f t="shared" si="49"/>
        <v>225860</v>
      </c>
      <c r="GJ35" s="35">
        <f t="shared" si="49"/>
        <v>0</v>
      </c>
      <c r="GK35" s="35">
        <f t="shared" si="49"/>
        <v>0</v>
      </c>
      <c r="GL35" s="35"/>
      <c r="GM35" s="42">
        <f>SUM(FT35:GL35)</f>
        <v>3326736</v>
      </c>
      <c r="GN35" s="24"/>
      <c r="GO35" s="35"/>
      <c r="GP35" s="36">
        <f t="shared" ref="GP35:GV35" si="50">SUM(GP4:GP34)</f>
        <v>71743</v>
      </c>
      <c r="GQ35" s="36">
        <f t="shared" si="50"/>
        <v>3757594</v>
      </c>
      <c r="GR35" s="37">
        <f t="shared" si="50"/>
        <v>2233351</v>
      </c>
      <c r="GS35" s="38">
        <f t="shared" si="50"/>
        <v>43780</v>
      </c>
      <c r="GT35" s="39">
        <f t="shared" si="50"/>
        <v>34808</v>
      </c>
      <c r="GU35" s="39">
        <f t="shared" si="50"/>
        <v>135.25</v>
      </c>
      <c r="GV35" s="35">
        <f t="shared" si="50"/>
        <v>40400</v>
      </c>
      <c r="GW35" s="35">
        <f>SUM(GW4:GW34)</f>
        <v>48800</v>
      </c>
      <c r="GX35" s="40">
        <f>SUM(GX4:GX34)</f>
        <v>302450</v>
      </c>
      <c r="GY35" s="35">
        <f>SUM(GY4:GY34)</f>
        <v>394710</v>
      </c>
      <c r="GZ35" s="37">
        <f>SUM(GZ4:GZ34)</f>
        <v>62764</v>
      </c>
      <c r="HA35" s="37">
        <f>SUM(HA4:HA34)</f>
        <v>73275</v>
      </c>
      <c r="HB35" s="35">
        <f t="shared" ref="HB35:HM35" si="51">SUM(HB4:HB34)</f>
        <v>176825</v>
      </c>
      <c r="HC35" s="38">
        <f t="shared" si="51"/>
        <v>33468</v>
      </c>
      <c r="HD35" s="38">
        <f t="shared" si="51"/>
        <v>1700</v>
      </c>
      <c r="HE35" s="35">
        <f t="shared" si="51"/>
        <v>21670</v>
      </c>
      <c r="HF35" s="35">
        <f t="shared" si="51"/>
        <v>632</v>
      </c>
      <c r="HG35" s="37">
        <f t="shared" si="51"/>
        <v>1015957</v>
      </c>
      <c r="HH35" s="37">
        <f t="shared" si="51"/>
        <v>0</v>
      </c>
      <c r="HI35" s="41">
        <f t="shared" si="51"/>
        <v>51000</v>
      </c>
      <c r="HJ35" s="38">
        <f t="shared" si="51"/>
        <v>0</v>
      </c>
      <c r="HK35" s="36">
        <f t="shared" si="51"/>
        <v>6000</v>
      </c>
      <c r="HL35" s="35">
        <f t="shared" si="51"/>
        <v>0</v>
      </c>
      <c r="HM35" s="35">
        <f t="shared" si="51"/>
        <v>3700</v>
      </c>
      <c r="HN35" s="35"/>
      <c r="HO35" s="42">
        <f>SUM(GV35:HN35)</f>
        <v>2233351</v>
      </c>
      <c r="HP35" s="24"/>
      <c r="HQ35" s="35"/>
      <c r="HR35" s="36">
        <f t="shared" ref="HR35:HX35" si="52">SUM(HR4:HR34)</f>
        <v>48339</v>
      </c>
      <c r="HS35" s="36">
        <f t="shared" si="52"/>
        <v>3504576</v>
      </c>
      <c r="HT35" s="37">
        <f t="shared" si="52"/>
        <v>4076730</v>
      </c>
      <c r="HU35" s="38">
        <f t="shared" si="52"/>
        <v>79465</v>
      </c>
      <c r="HV35" s="39">
        <f t="shared" si="52"/>
        <v>47523</v>
      </c>
      <c r="HW35" s="39">
        <f t="shared" si="52"/>
        <v>186.5</v>
      </c>
      <c r="HX35" s="35">
        <f t="shared" si="52"/>
        <v>210725</v>
      </c>
      <c r="HY35" s="35">
        <f>SUM(HY4:HY34)</f>
        <v>220225</v>
      </c>
      <c r="HZ35" s="40">
        <f>SUM(HZ4:HZ34)</f>
        <v>1258548</v>
      </c>
      <c r="IA35" s="35">
        <f>SUM(IA4:IA34)</f>
        <v>635080</v>
      </c>
      <c r="IB35" s="37">
        <f>SUM(IB4:IB34)</f>
        <v>169550</v>
      </c>
      <c r="IC35" s="37">
        <f>SUM(IC4:IC34)</f>
        <v>84500</v>
      </c>
      <c r="ID35" s="35">
        <f t="shared" ref="ID35:IO35" si="53">SUM(ID4:ID34)</f>
        <v>251900</v>
      </c>
      <c r="IE35" s="38">
        <f t="shared" si="53"/>
        <v>32968</v>
      </c>
      <c r="IF35" s="38">
        <f t="shared" si="53"/>
        <v>1500</v>
      </c>
      <c r="IG35" s="35">
        <f t="shared" si="53"/>
        <v>34340</v>
      </c>
      <c r="IH35" s="35">
        <f t="shared" si="53"/>
        <v>0</v>
      </c>
      <c r="II35" s="37">
        <f t="shared" si="53"/>
        <v>1102962</v>
      </c>
      <c r="IJ35" s="37">
        <f t="shared" si="53"/>
        <v>0</v>
      </c>
      <c r="IK35" s="41">
        <f t="shared" si="53"/>
        <v>1100</v>
      </c>
      <c r="IL35" s="38">
        <f t="shared" si="53"/>
        <v>0</v>
      </c>
      <c r="IM35" s="36">
        <f t="shared" si="53"/>
        <v>59900</v>
      </c>
      <c r="IN35" s="35">
        <f t="shared" si="53"/>
        <v>0</v>
      </c>
      <c r="IO35" s="35">
        <f t="shared" si="53"/>
        <v>13432</v>
      </c>
      <c r="IP35" s="35"/>
      <c r="IQ35" s="42">
        <f>SUM(HX35:IP35)</f>
        <v>4076730</v>
      </c>
      <c r="IR35" s="24"/>
      <c r="IS35" s="35"/>
      <c r="IT35" s="36">
        <f t="shared" ref="IT35:IZ35" si="54">SUM(IT4:IT34)</f>
        <v>72720</v>
      </c>
      <c r="IU35" s="36">
        <f t="shared" si="54"/>
        <v>3841224</v>
      </c>
      <c r="IV35" s="37">
        <f t="shared" si="54"/>
        <v>3409818</v>
      </c>
      <c r="IW35" s="38">
        <f t="shared" si="54"/>
        <v>63317</v>
      </c>
      <c r="IX35" s="39">
        <f t="shared" si="54"/>
        <v>58019</v>
      </c>
      <c r="IY35" s="39">
        <f t="shared" si="54"/>
        <v>179.65</v>
      </c>
      <c r="IZ35" s="35">
        <f t="shared" si="54"/>
        <v>120461</v>
      </c>
      <c r="JA35" s="35">
        <f>SUM(JA4:JA34)</f>
        <v>244146</v>
      </c>
      <c r="JB35" s="40">
        <f>SUM(JB4:JB34)</f>
        <v>485700</v>
      </c>
      <c r="JC35" s="35">
        <f>SUM(JC4:JC34)</f>
        <v>959880</v>
      </c>
      <c r="JD35" s="37">
        <f>SUM(JD4:JD34)</f>
        <v>9465</v>
      </c>
      <c r="JE35" s="37">
        <f>SUM(JE4:JE34)</f>
        <v>93357</v>
      </c>
      <c r="JF35" s="35">
        <f t="shared" ref="JF35:JQ35" si="55">SUM(JF4:JF34)</f>
        <v>405862</v>
      </c>
      <c r="JG35" s="38">
        <f t="shared" si="55"/>
        <v>33468</v>
      </c>
      <c r="JH35" s="38">
        <f t="shared" si="55"/>
        <v>1340</v>
      </c>
      <c r="JI35" s="35">
        <f t="shared" si="55"/>
        <v>32121</v>
      </c>
      <c r="JJ35" s="35">
        <f t="shared" si="55"/>
        <v>1923</v>
      </c>
      <c r="JK35" s="37">
        <f t="shared" si="55"/>
        <v>947801</v>
      </c>
      <c r="JL35" s="37">
        <f t="shared" si="55"/>
        <v>0</v>
      </c>
      <c r="JM35" s="41">
        <f t="shared" si="55"/>
        <v>384</v>
      </c>
      <c r="JN35" s="38">
        <f t="shared" si="55"/>
        <v>0</v>
      </c>
      <c r="JO35" s="36">
        <f t="shared" si="55"/>
        <v>73910</v>
      </c>
      <c r="JP35" s="35">
        <f t="shared" si="55"/>
        <v>0</v>
      </c>
      <c r="JQ35" s="35">
        <f t="shared" si="55"/>
        <v>0</v>
      </c>
      <c r="JR35" s="35"/>
      <c r="JS35" s="42">
        <f>SUM(IZ35:JR35)</f>
        <v>3409818</v>
      </c>
      <c r="JT35" s="24"/>
      <c r="JU35" s="35"/>
      <c r="JV35" s="36">
        <f t="shared" ref="JV35:KB35" si="56">SUM(JV4:JV34)</f>
        <v>60339</v>
      </c>
      <c r="JW35" s="36">
        <f t="shared" si="56"/>
        <v>3507593</v>
      </c>
      <c r="JX35" s="37">
        <f t="shared" si="56"/>
        <v>3638285</v>
      </c>
      <c r="JY35" s="38">
        <f t="shared" si="56"/>
        <v>55589</v>
      </c>
      <c r="JZ35" s="39">
        <f t="shared" si="56"/>
        <v>58154</v>
      </c>
      <c r="KA35" s="39">
        <f t="shared" si="56"/>
        <v>178.7</v>
      </c>
      <c r="KB35" s="35">
        <f t="shared" si="56"/>
        <v>60670</v>
      </c>
      <c r="KC35" s="35">
        <f>SUM(KC4:KC34)</f>
        <v>77830</v>
      </c>
      <c r="KD35" s="40">
        <f>SUM(KD4:KD34)</f>
        <v>1150212</v>
      </c>
      <c r="KE35" s="35">
        <f>SUM(KE4:KE34)</f>
        <v>486292</v>
      </c>
      <c r="KF35" s="37">
        <f>SUM(KF4:KF34)</f>
        <v>84554</v>
      </c>
      <c r="KG35" s="37">
        <f>SUM(KG4:KG34)</f>
        <v>372000</v>
      </c>
      <c r="KH35" s="35">
        <f t="shared" ref="KH35:KS35" si="57">SUM(KH4:KH34)</f>
        <v>198200</v>
      </c>
      <c r="KI35" s="38">
        <f t="shared" si="57"/>
        <v>32968</v>
      </c>
      <c r="KJ35" s="38">
        <f t="shared" si="57"/>
        <v>1050</v>
      </c>
      <c r="KK35" s="35">
        <f t="shared" si="57"/>
        <v>18828</v>
      </c>
      <c r="KL35" s="35">
        <f t="shared" si="57"/>
        <v>0</v>
      </c>
      <c r="KM35" s="37">
        <f t="shared" si="57"/>
        <v>999669</v>
      </c>
      <c r="KN35" s="37">
        <f t="shared" si="57"/>
        <v>0</v>
      </c>
      <c r="KO35" s="41">
        <f t="shared" si="57"/>
        <v>612</v>
      </c>
      <c r="KP35" s="38">
        <f t="shared" si="57"/>
        <v>0</v>
      </c>
      <c r="KQ35" s="36">
        <f t="shared" si="57"/>
        <v>155400</v>
      </c>
      <c r="KR35" s="35">
        <f t="shared" si="57"/>
        <v>0</v>
      </c>
      <c r="KS35" s="35">
        <f t="shared" si="57"/>
        <v>0</v>
      </c>
      <c r="KT35" s="35"/>
      <c r="KU35" s="42">
        <f>SUM(KB35:KT35)</f>
        <v>3638285</v>
      </c>
      <c r="KV35" s="24"/>
      <c r="KW35" s="35"/>
      <c r="KX35" s="36">
        <f t="shared" ref="KX35:LD35" si="58">SUM(KX4:KX34)</f>
        <v>61819</v>
      </c>
      <c r="KY35" s="36">
        <f t="shared" si="58"/>
        <v>4008935</v>
      </c>
      <c r="KZ35" s="37">
        <f t="shared" si="58"/>
        <v>3357282</v>
      </c>
      <c r="LA35" s="38">
        <f t="shared" si="58"/>
        <v>62512</v>
      </c>
      <c r="LB35" s="39">
        <f t="shared" si="58"/>
        <v>50808</v>
      </c>
      <c r="LC35" s="39">
        <f t="shared" si="58"/>
        <v>183.25</v>
      </c>
      <c r="LD35" s="35">
        <f t="shared" si="58"/>
        <v>52800</v>
      </c>
      <c r="LE35" s="35">
        <f>SUM(LE4:LE34)</f>
        <v>63680</v>
      </c>
      <c r="LF35" s="40">
        <f>SUM(LF4:LF34)</f>
        <v>443548</v>
      </c>
      <c r="LG35" s="35">
        <f>SUM(LG4:LG34)</f>
        <v>695880</v>
      </c>
      <c r="LH35" s="37">
        <f>SUM(LH4:LH34)</f>
        <v>50005</v>
      </c>
      <c r="LI35" s="37">
        <f>SUM(LI4:LI34)</f>
        <v>59800</v>
      </c>
      <c r="LJ35" s="35">
        <f t="shared" ref="LJ35:LU35" si="59">SUM(LJ4:LJ34)</f>
        <v>233200</v>
      </c>
      <c r="LK35" s="38">
        <f t="shared" si="59"/>
        <v>33468</v>
      </c>
      <c r="LL35" s="38">
        <f t="shared" si="59"/>
        <v>1500</v>
      </c>
      <c r="LM35" s="35">
        <f t="shared" si="59"/>
        <v>32316</v>
      </c>
      <c r="LN35" s="35">
        <f t="shared" si="59"/>
        <v>3830</v>
      </c>
      <c r="LO35" s="37">
        <f t="shared" si="59"/>
        <v>1667726</v>
      </c>
      <c r="LP35" s="37">
        <f t="shared" si="59"/>
        <v>0</v>
      </c>
      <c r="LQ35" s="41">
        <f t="shared" si="59"/>
        <v>2649</v>
      </c>
      <c r="LR35" s="38">
        <f t="shared" si="59"/>
        <v>130</v>
      </c>
      <c r="LS35" s="36">
        <f t="shared" si="59"/>
        <v>14650</v>
      </c>
      <c r="LT35" s="35">
        <f t="shared" si="59"/>
        <v>0</v>
      </c>
      <c r="LU35" s="35">
        <f t="shared" si="59"/>
        <v>2100</v>
      </c>
      <c r="LV35" s="35"/>
      <c r="LW35" s="42">
        <f>SUM(LD35:LV35)</f>
        <v>3357282</v>
      </c>
      <c r="LX35" s="24"/>
    </row>
    <row r="36" spans="1:336" x14ac:dyDescent="0.3">
      <c r="A36" s="3"/>
      <c r="B36" s="144" t="s">
        <v>1</v>
      </c>
      <c r="C36" s="144" t="s">
        <v>2</v>
      </c>
      <c r="D36" s="146" t="s">
        <v>3</v>
      </c>
      <c r="E36" s="43">
        <v>4</v>
      </c>
      <c r="F36" s="2" t="s">
        <v>5</v>
      </c>
      <c r="G36" s="2" t="s">
        <v>6</v>
      </c>
      <c r="H36" s="3" t="s">
        <v>7</v>
      </c>
      <c r="I36" s="3" t="s">
        <v>38</v>
      </c>
      <c r="J36" s="4" t="s">
        <v>8</v>
      </c>
      <c r="K36" s="3" t="s">
        <v>9</v>
      </c>
      <c r="L36" s="146" t="s">
        <v>10</v>
      </c>
      <c r="M36" s="1" t="s">
        <v>39</v>
      </c>
      <c r="N36" s="3" t="s">
        <v>11</v>
      </c>
      <c r="O36" s="43" t="s">
        <v>60</v>
      </c>
      <c r="P36" s="145" t="s">
        <v>13</v>
      </c>
      <c r="Q36" s="143" t="s">
        <v>14</v>
      </c>
      <c r="R36" s="3" t="s">
        <v>15</v>
      </c>
      <c r="S36" s="146" t="s">
        <v>16</v>
      </c>
      <c r="T36" s="146" t="s">
        <v>17</v>
      </c>
      <c r="U36" s="6" t="s">
        <v>18</v>
      </c>
      <c r="V36" s="145" t="s">
        <v>19</v>
      </c>
      <c r="W36" s="144" t="s">
        <v>20</v>
      </c>
      <c r="X36" s="143" t="s">
        <v>21</v>
      </c>
      <c r="Y36" s="143" t="s">
        <v>22</v>
      </c>
      <c r="Z36" s="143" t="s">
        <v>17</v>
      </c>
      <c r="AA36" s="146" t="s">
        <v>4</v>
      </c>
      <c r="AB36" s="16"/>
      <c r="AC36" s="3"/>
      <c r="AD36" s="144" t="s">
        <v>1</v>
      </c>
      <c r="AE36" s="144" t="s">
        <v>2</v>
      </c>
      <c r="AF36" s="146" t="s">
        <v>3</v>
      </c>
      <c r="AG36" s="43">
        <v>4</v>
      </c>
      <c r="AH36" s="2" t="s">
        <v>5</v>
      </c>
      <c r="AI36" s="2" t="s">
        <v>6</v>
      </c>
      <c r="AJ36" s="3" t="s">
        <v>7</v>
      </c>
      <c r="AK36" s="3" t="s">
        <v>38</v>
      </c>
      <c r="AL36" s="4" t="s">
        <v>8</v>
      </c>
      <c r="AM36" s="3" t="s">
        <v>9</v>
      </c>
      <c r="AN36" s="146" t="s">
        <v>10</v>
      </c>
      <c r="AO36" s="1" t="s">
        <v>39</v>
      </c>
      <c r="AP36" s="3" t="s">
        <v>11</v>
      </c>
      <c r="AQ36" s="43" t="s">
        <v>60</v>
      </c>
      <c r="AR36" s="145" t="s">
        <v>13</v>
      </c>
      <c r="AS36" s="143" t="s">
        <v>14</v>
      </c>
      <c r="AT36" s="3" t="s">
        <v>15</v>
      </c>
      <c r="AU36" s="146" t="s">
        <v>16</v>
      </c>
      <c r="AV36" s="146" t="s">
        <v>17</v>
      </c>
      <c r="AW36" s="6" t="s">
        <v>18</v>
      </c>
      <c r="AX36" s="145" t="s">
        <v>19</v>
      </c>
      <c r="AY36" s="144" t="s">
        <v>20</v>
      </c>
      <c r="AZ36" s="143" t="s">
        <v>21</v>
      </c>
      <c r="BA36" s="143" t="s">
        <v>22</v>
      </c>
      <c r="BB36" s="143" t="s">
        <v>17</v>
      </c>
      <c r="BC36" s="146" t="s">
        <v>4</v>
      </c>
      <c r="BD36" s="16"/>
      <c r="BE36" s="3"/>
      <c r="BF36" s="144" t="s">
        <v>1</v>
      </c>
      <c r="BG36" s="144" t="s">
        <v>2</v>
      </c>
      <c r="BH36" s="146" t="s">
        <v>3</v>
      </c>
      <c r="BI36" s="43">
        <v>4</v>
      </c>
      <c r="BJ36" s="2" t="s">
        <v>5</v>
      </c>
      <c r="BK36" s="2" t="s">
        <v>6</v>
      </c>
      <c r="BL36" s="3" t="s">
        <v>7</v>
      </c>
      <c r="BM36" s="3" t="s">
        <v>38</v>
      </c>
      <c r="BN36" s="4" t="s">
        <v>8</v>
      </c>
      <c r="BO36" s="3" t="s">
        <v>9</v>
      </c>
      <c r="BP36" s="146" t="s">
        <v>10</v>
      </c>
      <c r="BQ36" s="1" t="s">
        <v>39</v>
      </c>
      <c r="BR36" s="3" t="s">
        <v>11</v>
      </c>
      <c r="BS36" s="43" t="s">
        <v>60</v>
      </c>
      <c r="BT36" s="145" t="s">
        <v>13</v>
      </c>
      <c r="BU36" s="143" t="s">
        <v>14</v>
      </c>
      <c r="BV36" s="3" t="s">
        <v>15</v>
      </c>
      <c r="BW36" s="146" t="s">
        <v>16</v>
      </c>
      <c r="BX36" s="146" t="s">
        <v>17</v>
      </c>
      <c r="BY36" s="6" t="s">
        <v>18</v>
      </c>
      <c r="BZ36" s="145" t="s">
        <v>19</v>
      </c>
      <c r="CA36" s="144" t="s">
        <v>20</v>
      </c>
      <c r="CB36" s="143" t="s">
        <v>21</v>
      </c>
      <c r="CC36" s="143" t="s">
        <v>22</v>
      </c>
      <c r="CD36" s="143" t="s">
        <v>17</v>
      </c>
      <c r="CE36" s="146" t="s">
        <v>4</v>
      </c>
      <c r="CF36" s="16"/>
      <c r="CG36" s="3"/>
      <c r="CH36" s="144" t="s">
        <v>1</v>
      </c>
      <c r="CI36" s="144" t="s">
        <v>2</v>
      </c>
      <c r="CJ36" s="146" t="s">
        <v>3</v>
      </c>
      <c r="CK36" s="43">
        <v>4</v>
      </c>
      <c r="CL36" s="2" t="s">
        <v>5</v>
      </c>
      <c r="CM36" s="2" t="s">
        <v>6</v>
      </c>
      <c r="CN36" s="3" t="s">
        <v>7</v>
      </c>
      <c r="CO36" s="3" t="s">
        <v>38</v>
      </c>
      <c r="CP36" s="4" t="s">
        <v>8</v>
      </c>
      <c r="CQ36" s="3" t="s">
        <v>9</v>
      </c>
      <c r="CR36" s="146" t="s">
        <v>10</v>
      </c>
      <c r="CS36" s="1" t="s">
        <v>39</v>
      </c>
      <c r="CT36" s="3" t="s">
        <v>11</v>
      </c>
      <c r="CU36" s="43" t="s">
        <v>60</v>
      </c>
      <c r="CV36" s="145" t="s">
        <v>13</v>
      </c>
      <c r="CW36" s="143" t="s">
        <v>14</v>
      </c>
      <c r="CX36" s="3" t="s">
        <v>15</v>
      </c>
      <c r="CY36" s="146" t="s">
        <v>16</v>
      </c>
      <c r="CZ36" s="146" t="s">
        <v>17</v>
      </c>
      <c r="DA36" s="6" t="s">
        <v>18</v>
      </c>
      <c r="DB36" s="145" t="s">
        <v>19</v>
      </c>
      <c r="DC36" s="144" t="s">
        <v>20</v>
      </c>
      <c r="DD36" s="143" t="s">
        <v>21</v>
      </c>
      <c r="DE36" s="143" t="s">
        <v>22</v>
      </c>
      <c r="DF36" s="143" t="s">
        <v>17</v>
      </c>
      <c r="DG36" s="146" t="s">
        <v>4</v>
      </c>
      <c r="DH36" s="16"/>
      <c r="DI36" s="3"/>
      <c r="DJ36" s="144" t="s">
        <v>1</v>
      </c>
      <c r="DK36" s="144" t="s">
        <v>2</v>
      </c>
      <c r="DL36" s="146" t="s">
        <v>3</v>
      </c>
      <c r="DM36" s="43">
        <v>4</v>
      </c>
      <c r="DN36" s="2" t="s">
        <v>5</v>
      </c>
      <c r="DO36" s="2" t="s">
        <v>6</v>
      </c>
      <c r="DP36" s="3" t="s">
        <v>7</v>
      </c>
      <c r="DQ36" s="3" t="s">
        <v>38</v>
      </c>
      <c r="DR36" s="4" t="s">
        <v>8</v>
      </c>
      <c r="DS36" s="3" t="s">
        <v>9</v>
      </c>
      <c r="DT36" s="146" t="s">
        <v>10</v>
      </c>
      <c r="DU36" s="1" t="s">
        <v>39</v>
      </c>
      <c r="DV36" s="3" t="s">
        <v>11</v>
      </c>
      <c r="DW36" s="43" t="s">
        <v>60</v>
      </c>
      <c r="DX36" s="145" t="s">
        <v>13</v>
      </c>
      <c r="DY36" s="143" t="s">
        <v>14</v>
      </c>
      <c r="DZ36" s="3" t="s">
        <v>15</v>
      </c>
      <c r="EA36" s="146" t="s">
        <v>16</v>
      </c>
      <c r="EB36" s="146" t="s">
        <v>17</v>
      </c>
      <c r="EC36" s="6" t="s">
        <v>18</v>
      </c>
      <c r="ED36" s="145" t="s">
        <v>19</v>
      </c>
      <c r="EE36" s="144" t="s">
        <v>20</v>
      </c>
      <c r="EF36" s="143" t="s">
        <v>21</v>
      </c>
      <c r="EG36" s="143" t="s">
        <v>22</v>
      </c>
      <c r="EH36" s="143" t="s">
        <v>17</v>
      </c>
      <c r="EI36" s="146" t="s">
        <v>4</v>
      </c>
      <c r="EJ36" s="16"/>
      <c r="EK36" s="3"/>
      <c r="EL36" s="144" t="s">
        <v>1</v>
      </c>
      <c r="EM36" s="144" t="s">
        <v>2</v>
      </c>
      <c r="EN36" s="146" t="s">
        <v>3</v>
      </c>
      <c r="EO36" s="43">
        <v>4</v>
      </c>
      <c r="EP36" s="2" t="s">
        <v>5</v>
      </c>
      <c r="EQ36" s="2" t="s">
        <v>6</v>
      </c>
      <c r="ER36" s="3" t="s">
        <v>7</v>
      </c>
      <c r="ES36" s="3" t="s">
        <v>38</v>
      </c>
      <c r="ET36" s="4" t="s">
        <v>8</v>
      </c>
      <c r="EU36" s="3" t="s">
        <v>9</v>
      </c>
      <c r="EV36" s="146" t="s">
        <v>10</v>
      </c>
      <c r="EW36" s="1" t="s">
        <v>39</v>
      </c>
      <c r="EX36" s="3" t="s">
        <v>11</v>
      </c>
      <c r="EY36" s="43" t="s">
        <v>60</v>
      </c>
      <c r="EZ36" s="145" t="s">
        <v>13</v>
      </c>
      <c r="FA36" s="143" t="s">
        <v>14</v>
      </c>
      <c r="FB36" s="3" t="s">
        <v>15</v>
      </c>
      <c r="FC36" s="146" t="s">
        <v>16</v>
      </c>
      <c r="FD36" s="146" t="s">
        <v>17</v>
      </c>
      <c r="FE36" s="6" t="s">
        <v>18</v>
      </c>
      <c r="FF36" s="145" t="s">
        <v>19</v>
      </c>
      <c r="FG36" s="144" t="s">
        <v>20</v>
      </c>
      <c r="FH36" s="143" t="s">
        <v>21</v>
      </c>
      <c r="FI36" s="143" t="s">
        <v>22</v>
      </c>
      <c r="FJ36" s="143" t="s">
        <v>17</v>
      </c>
      <c r="FK36" s="146" t="s">
        <v>4</v>
      </c>
      <c r="FL36" s="16"/>
      <c r="FM36" s="3"/>
      <c r="FN36" s="144" t="s">
        <v>1</v>
      </c>
      <c r="FO36" s="144" t="s">
        <v>2</v>
      </c>
      <c r="FP36" s="146" t="s">
        <v>3</v>
      </c>
      <c r="FQ36" s="43">
        <v>4</v>
      </c>
      <c r="FR36" s="2" t="s">
        <v>5</v>
      </c>
      <c r="FS36" s="2" t="s">
        <v>6</v>
      </c>
      <c r="FT36" s="3" t="s">
        <v>7</v>
      </c>
      <c r="FU36" s="3" t="s">
        <v>38</v>
      </c>
      <c r="FV36" s="4" t="s">
        <v>8</v>
      </c>
      <c r="FW36" s="3" t="s">
        <v>9</v>
      </c>
      <c r="FX36" s="146" t="s">
        <v>10</v>
      </c>
      <c r="FY36" s="1" t="s">
        <v>39</v>
      </c>
      <c r="FZ36" s="3" t="s">
        <v>11</v>
      </c>
      <c r="GA36" s="43" t="s">
        <v>60</v>
      </c>
      <c r="GB36" s="145" t="s">
        <v>13</v>
      </c>
      <c r="GC36" s="143" t="s">
        <v>14</v>
      </c>
      <c r="GD36" s="3" t="s">
        <v>15</v>
      </c>
      <c r="GE36" s="146" t="s">
        <v>16</v>
      </c>
      <c r="GF36" s="146" t="s">
        <v>17</v>
      </c>
      <c r="GG36" s="6" t="s">
        <v>18</v>
      </c>
      <c r="GH36" s="145" t="s">
        <v>19</v>
      </c>
      <c r="GI36" s="144" t="s">
        <v>20</v>
      </c>
      <c r="GJ36" s="143" t="s">
        <v>21</v>
      </c>
      <c r="GK36" s="143" t="s">
        <v>22</v>
      </c>
      <c r="GL36" s="143" t="s">
        <v>17</v>
      </c>
      <c r="GM36" s="146" t="s">
        <v>4</v>
      </c>
      <c r="GN36" s="16"/>
      <c r="GO36" s="3"/>
      <c r="GP36" s="144" t="s">
        <v>1</v>
      </c>
      <c r="GQ36" s="144" t="s">
        <v>2</v>
      </c>
      <c r="GR36" s="146" t="s">
        <v>3</v>
      </c>
      <c r="GS36" s="43">
        <v>4</v>
      </c>
      <c r="GT36" s="2" t="s">
        <v>5</v>
      </c>
      <c r="GU36" s="2" t="s">
        <v>6</v>
      </c>
      <c r="GV36" s="3" t="s">
        <v>7</v>
      </c>
      <c r="GW36" s="3" t="s">
        <v>38</v>
      </c>
      <c r="GX36" s="4" t="s">
        <v>8</v>
      </c>
      <c r="GY36" s="3" t="s">
        <v>9</v>
      </c>
      <c r="GZ36" s="146" t="s">
        <v>10</v>
      </c>
      <c r="HA36" s="1" t="s">
        <v>39</v>
      </c>
      <c r="HB36" s="3" t="s">
        <v>11</v>
      </c>
      <c r="HC36" s="43" t="s">
        <v>60</v>
      </c>
      <c r="HD36" s="145" t="s">
        <v>13</v>
      </c>
      <c r="HE36" s="143" t="s">
        <v>14</v>
      </c>
      <c r="HF36" s="3" t="s">
        <v>15</v>
      </c>
      <c r="HG36" s="146" t="s">
        <v>16</v>
      </c>
      <c r="HH36" s="146" t="s">
        <v>17</v>
      </c>
      <c r="HI36" s="6" t="s">
        <v>18</v>
      </c>
      <c r="HJ36" s="145" t="s">
        <v>19</v>
      </c>
      <c r="HK36" s="144" t="s">
        <v>20</v>
      </c>
      <c r="HL36" s="143" t="s">
        <v>21</v>
      </c>
      <c r="HM36" s="143" t="s">
        <v>22</v>
      </c>
      <c r="HN36" s="143" t="s">
        <v>17</v>
      </c>
      <c r="HO36" s="146" t="s">
        <v>4</v>
      </c>
      <c r="HP36" s="16"/>
      <c r="HQ36" s="3"/>
      <c r="HR36" s="144" t="s">
        <v>1</v>
      </c>
      <c r="HS36" s="144" t="s">
        <v>2</v>
      </c>
      <c r="HT36" s="146" t="s">
        <v>3</v>
      </c>
      <c r="HU36" s="43">
        <v>4</v>
      </c>
      <c r="HV36" s="2" t="s">
        <v>5</v>
      </c>
      <c r="HW36" s="2" t="s">
        <v>6</v>
      </c>
      <c r="HX36" s="3" t="s">
        <v>7</v>
      </c>
      <c r="HY36" s="3" t="s">
        <v>38</v>
      </c>
      <c r="HZ36" s="4" t="s">
        <v>8</v>
      </c>
      <c r="IA36" s="3" t="s">
        <v>9</v>
      </c>
      <c r="IB36" s="146" t="s">
        <v>10</v>
      </c>
      <c r="IC36" s="1" t="s">
        <v>39</v>
      </c>
      <c r="ID36" s="3" t="s">
        <v>11</v>
      </c>
      <c r="IE36" s="43" t="s">
        <v>60</v>
      </c>
      <c r="IF36" s="145" t="s">
        <v>13</v>
      </c>
      <c r="IG36" s="143" t="s">
        <v>14</v>
      </c>
      <c r="IH36" s="3" t="s">
        <v>15</v>
      </c>
      <c r="II36" s="146" t="s">
        <v>16</v>
      </c>
      <c r="IJ36" s="146" t="s">
        <v>17</v>
      </c>
      <c r="IK36" s="6" t="s">
        <v>18</v>
      </c>
      <c r="IL36" s="145" t="s">
        <v>19</v>
      </c>
      <c r="IM36" s="144" t="s">
        <v>20</v>
      </c>
      <c r="IN36" s="143" t="s">
        <v>21</v>
      </c>
      <c r="IO36" s="143" t="s">
        <v>22</v>
      </c>
      <c r="IP36" s="143" t="s">
        <v>17</v>
      </c>
      <c r="IQ36" s="146" t="s">
        <v>4</v>
      </c>
      <c r="IR36" s="16"/>
      <c r="IS36" s="3"/>
      <c r="IT36" s="144" t="s">
        <v>1</v>
      </c>
      <c r="IU36" s="144" t="s">
        <v>2</v>
      </c>
      <c r="IV36" s="146" t="s">
        <v>3</v>
      </c>
      <c r="IW36" s="43">
        <v>4</v>
      </c>
      <c r="IX36" s="2" t="s">
        <v>5</v>
      </c>
      <c r="IY36" s="2" t="s">
        <v>6</v>
      </c>
      <c r="IZ36" s="3" t="s">
        <v>7</v>
      </c>
      <c r="JA36" s="3" t="s">
        <v>38</v>
      </c>
      <c r="JB36" s="4" t="s">
        <v>8</v>
      </c>
      <c r="JC36" s="3" t="s">
        <v>9</v>
      </c>
      <c r="JD36" s="146" t="s">
        <v>10</v>
      </c>
      <c r="JE36" s="1" t="s">
        <v>39</v>
      </c>
      <c r="JF36" s="3" t="s">
        <v>11</v>
      </c>
      <c r="JG36" s="43" t="s">
        <v>60</v>
      </c>
      <c r="JH36" s="145" t="s">
        <v>13</v>
      </c>
      <c r="JI36" s="143" t="s">
        <v>14</v>
      </c>
      <c r="JJ36" s="3" t="s">
        <v>15</v>
      </c>
      <c r="JK36" s="146" t="s">
        <v>16</v>
      </c>
      <c r="JL36" s="146" t="s">
        <v>17</v>
      </c>
      <c r="JM36" s="6" t="s">
        <v>18</v>
      </c>
      <c r="JN36" s="145" t="s">
        <v>19</v>
      </c>
      <c r="JO36" s="144" t="s">
        <v>20</v>
      </c>
      <c r="JP36" s="143" t="s">
        <v>21</v>
      </c>
      <c r="JQ36" s="143" t="s">
        <v>22</v>
      </c>
      <c r="JR36" s="143" t="s">
        <v>17</v>
      </c>
      <c r="JS36" s="146" t="s">
        <v>4</v>
      </c>
      <c r="JT36" s="16"/>
      <c r="JU36" s="3"/>
      <c r="JV36" s="144" t="s">
        <v>1</v>
      </c>
      <c r="JW36" s="144" t="s">
        <v>2</v>
      </c>
      <c r="JX36" s="146" t="s">
        <v>3</v>
      </c>
      <c r="JY36" s="43">
        <v>4</v>
      </c>
      <c r="JZ36" s="2" t="s">
        <v>5</v>
      </c>
      <c r="KA36" s="2" t="s">
        <v>6</v>
      </c>
      <c r="KB36" s="3" t="s">
        <v>7</v>
      </c>
      <c r="KC36" s="3" t="s">
        <v>38</v>
      </c>
      <c r="KD36" s="4" t="s">
        <v>8</v>
      </c>
      <c r="KE36" s="3" t="s">
        <v>9</v>
      </c>
      <c r="KF36" s="146" t="s">
        <v>10</v>
      </c>
      <c r="KG36" s="1" t="s">
        <v>39</v>
      </c>
      <c r="KH36" s="3" t="s">
        <v>11</v>
      </c>
      <c r="KI36" s="43" t="s">
        <v>60</v>
      </c>
      <c r="KJ36" s="145" t="s">
        <v>13</v>
      </c>
      <c r="KK36" s="143" t="s">
        <v>14</v>
      </c>
      <c r="KL36" s="3" t="s">
        <v>15</v>
      </c>
      <c r="KM36" s="146" t="s">
        <v>16</v>
      </c>
      <c r="KN36" s="146" t="s">
        <v>17</v>
      </c>
      <c r="KO36" s="6" t="s">
        <v>18</v>
      </c>
      <c r="KP36" s="145" t="s">
        <v>19</v>
      </c>
      <c r="KQ36" s="144" t="s">
        <v>20</v>
      </c>
      <c r="KR36" s="143" t="s">
        <v>21</v>
      </c>
      <c r="KS36" s="143" t="s">
        <v>22</v>
      </c>
      <c r="KT36" s="143" t="s">
        <v>17</v>
      </c>
      <c r="KU36" s="146" t="s">
        <v>4</v>
      </c>
      <c r="KV36" s="16"/>
      <c r="KW36" s="3"/>
      <c r="KX36" s="144" t="s">
        <v>1</v>
      </c>
      <c r="KY36" s="144" t="s">
        <v>2</v>
      </c>
      <c r="KZ36" s="146" t="s">
        <v>3</v>
      </c>
      <c r="LA36" s="43">
        <v>4</v>
      </c>
      <c r="LB36" s="2" t="s">
        <v>5</v>
      </c>
      <c r="LC36" s="2" t="s">
        <v>6</v>
      </c>
      <c r="LD36" s="3" t="s">
        <v>7</v>
      </c>
      <c r="LE36" s="3" t="s">
        <v>38</v>
      </c>
      <c r="LF36" s="4" t="s">
        <v>8</v>
      </c>
      <c r="LG36" s="3" t="s">
        <v>9</v>
      </c>
      <c r="LH36" s="146" t="s">
        <v>10</v>
      </c>
      <c r="LI36" s="1" t="s">
        <v>39</v>
      </c>
      <c r="LJ36" s="3" t="s">
        <v>11</v>
      </c>
      <c r="LK36" s="43" t="s">
        <v>60</v>
      </c>
      <c r="LL36" s="145" t="s">
        <v>13</v>
      </c>
      <c r="LM36" s="143" t="s">
        <v>14</v>
      </c>
      <c r="LN36" s="3" t="s">
        <v>15</v>
      </c>
      <c r="LO36" s="146" t="s">
        <v>16</v>
      </c>
      <c r="LP36" s="146" t="s">
        <v>17</v>
      </c>
      <c r="LQ36" s="6" t="s">
        <v>18</v>
      </c>
      <c r="LR36" s="145" t="s">
        <v>19</v>
      </c>
      <c r="LS36" s="144" t="s">
        <v>20</v>
      </c>
      <c r="LT36" s="143" t="s">
        <v>21</v>
      </c>
      <c r="LU36" s="143" t="s">
        <v>22</v>
      </c>
      <c r="LV36" s="143" t="s">
        <v>17</v>
      </c>
      <c r="LW36" s="146" t="s">
        <v>4</v>
      </c>
      <c r="LX36" s="16"/>
    </row>
    <row r="37" spans="1:336" x14ac:dyDescent="0.3">
      <c r="A37" s="44" t="s">
        <v>32</v>
      </c>
      <c r="B37" s="147"/>
      <c r="C37" s="147"/>
      <c r="D37" s="148"/>
      <c r="E37" s="10" t="s">
        <v>23</v>
      </c>
      <c r="F37" s="11" t="s">
        <v>24</v>
      </c>
      <c r="G37" s="11" t="s">
        <v>25</v>
      </c>
      <c r="H37" s="12" t="s">
        <v>26</v>
      </c>
      <c r="I37" s="12"/>
      <c r="J37" s="13" t="s">
        <v>27</v>
      </c>
      <c r="K37" s="12" t="s">
        <v>28</v>
      </c>
      <c r="L37" s="148"/>
      <c r="M37" s="9"/>
      <c r="N37" s="12" t="s">
        <v>29</v>
      </c>
      <c r="O37" s="10" t="s">
        <v>37</v>
      </c>
      <c r="P37" s="149"/>
      <c r="Q37" s="150"/>
      <c r="R37" s="12" t="s">
        <v>30</v>
      </c>
      <c r="S37" s="148"/>
      <c r="T37" s="148"/>
      <c r="U37" s="15" t="s">
        <v>31</v>
      </c>
      <c r="V37" s="149"/>
      <c r="W37" s="147"/>
      <c r="X37" s="150"/>
      <c r="Y37" s="150"/>
      <c r="Z37" s="150"/>
      <c r="AA37" s="148"/>
      <c r="AB37" s="16"/>
      <c r="AC37" s="44" t="s">
        <v>32</v>
      </c>
      <c r="AD37" s="147"/>
      <c r="AE37" s="147"/>
      <c r="AF37" s="148"/>
      <c r="AG37" s="10" t="s">
        <v>23</v>
      </c>
      <c r="AH37" s="11" t="s">
        <v>24</v>
      </c>
      <c r="AI37" s="11" t="s">
        <v>25</v>
      </c>
      <c r="AJ37" s="12" t="s">
        <v>26</v>
      </c>
      <c r="AK37" s="12"/>
      <c r="AL37" s="13" t="s">
        <v>27</v>
      </c>
      <c r="AM37" s="12" t="s">
        <v>28</v>
      </c>
      <c r="AN37" s="148"/>
      <c r="AO37" s="9"/>
      <c r="AP37" s="12" t="s">
        <v>29</v>
      </c>
      <c r="AQ37" s="10" t="s">
        <v>37</v>
      </c>
      <c r="AR37" s="149"/>
      <c r="AS37" s="150"/>
      <c r="AT37" s="12" t="s">
        <v>30</v>
      </c>
      <c r="AU37" s="148"/>
      <c r="AV37" s="148"/>
      <c r="AW37" s="15" t="s">
        <v>31</v>
      </c>
      <c r="AX37" s="149"/>
      <c r="AY37" s="147"/>
      <c r="AZ37" s="150"/>
      <c r="BA37" s="150"/>
      <c r="BB37" s="150"/>
      <c r="BC37" s="148"/>
      <c r="BD37" s="16"/>
      <c r="BE37" s="44" t="s">
        <v>32</v>
      </c>
      <c r="BF37" s="147"/>
      <c r="BG37" s="147"/>
      <c r="BH37" s="148"/>
      <c r="BI37" s="10" t="s">
        <v>23</v>
      </c>
      <c r="BJ37" s="11" t="s">
        <v>24</v>
      </c>
      <c r="BK37" s="11" t="s">
        <v>25</v>
      </c>
      <c r="BL37" s="12" t="s">
        <v>26</v>
      </c>
      <c r="BM37" s="12"/>
      <c r="BN37" s="13" t="s">
        <v>27</v>
      </c>
      <c r="BO37" s="12" t="s">
        <v>28</v>
      </c>
      <c r="BP37" s="148"/>
      <c r="BQ37" s="9"/>
      <c r="BR37" s="12" t="s">
        <v>29</v>
      </c>
      <c r="BS37" s="10" t="s">
        <v>37</v>
      </c>
      <c r="BT37" s="149"/>
      <c r="BU37" s="150"/>
      <c r="BV37" s="12" t="s">
        <v>30</v>
      </c>
      <c r="BW37" s="148"/>
      <c r="BX37" s="148"/>
      <c r="BY37" s="15" t="s">
        <v>31</v>
      </c>
      <c r="BZ37" s="149"/>
      <c r="CA37" s="147"/>
      <c r="CB37" s="150"/>
      <c r="CC37" s="150"/>
      <c r="CD37" s="150"/>
      <c r="CE37" s="148"/>
      <c r="CF37" s="16"/>
      <c r="CG37" s="44" t="s">
        <v>32</v>
      </c>
      <c r="CH37" s="147"/>
      <c r="CI37" s="147"/>
      <c r="CJ37" s="148"/>
      <c r="CK37" s="10" t="s">
        <v>23</v>
      </c>
      <c r="CL37" s="11" t="s">
        <v>24</v>
      </c>
      <c r="CM37" s="11" t="s">
        <v>25</v>
      </c>
      <c r="CN37" s="12" t="s">
        <v>26</v>
      </c>
      <c r="CO37" s="12"/>
      <c r="CP37" s="13" t="s">
        <v>27</v>
      </c>
      <c r="CQ37" s="12" t="s">
        <v>28</v>
      </c>
      <c r="CR37" s="148"/>
      <c r="CS37" s="9"/>
      <c r="CT37" s="12" t="s">
        <v>29</v>
      </c>
      <c r="CU37" s="10" t="s">
        <v>37</v>
      </c>
      <c r="CV37" s="149"/>
      <c r="CW37" s="150"/>
      <c r="CX37" s="12" t="s">
        <v>30</v>
      </c>
      <c r="CY37" s="148"/>
      <c r="CZ37" s="148"/>
      <c r="DA37" s="15" t="s">
        <v>31</v>
      </c>
      <c r="DB37" s="149"/>
      <c r="DC37" s="147"/>
      <c r="DD37" s="150"/>
      <c r="DE37" s="150"/>
      <c r="DF37" s="150"/>
      <c r="DG37" s="148"/>
      <c r="DH37" s="16"/>
      <c r="DI37" s="44" t="s">
        <v>32</v>
      </c>
      <c r="DJ37" s="147"/>
      <c r="DK37" s="147"/>
      <c r="DL37" s="148"/>
      <c r="DM37" s="10" t="s">
        <v>23</v>
      </c>
      <c r="DN37" s="11" t="s">
        <v>24</v>
      </c>
      <c r="DO37" s="11" t="s">
        <v>25</v>
      </c>
      <c r="DP37" s="12" t="s">
        <v>26</v>
      </c>
      <c r="DQ37" s="12"/>
      <c r="DR37" s="13" t="s">
        <v>27</v>
      </c>
      <c r="DS37" s="12" t="s">
        <v>28</v>
      </c>
      <c r="DT37" s="148"/>
      <c r="DU37" s="9"/>
      <c r="DV37" s="12" t="s">
        <v>29</v>
      </c>
      <c r="DW37" s="10" t="s">
        <v>37</v>
      </c>
      <c r="DX37" s="149"/>
      <c r="DY37" s="150"/>
      <c r="DZ37" s="12" t="s">
        <v>30</v>
      </c>
      <c r="EA37" s="148"/>
      <c r="EB37" s="148"/>
      <c r="EC37" s="15" t="s">
        <v>31</v>
      </c>
      <c r="ED37" s="149"/>
      <c r="EE37" s="147"/>
      <c r="EF37" s="150"/>
      <c r="EG37" s="150"/>
      <c r="EH37" s="150"/>
      <c r="EI37" s="148"/>
      <c r="EJ37" s="16"/>
      <c r="EK37" s="44" t="s">
        <v>32</v>
      </c>
      <c r="EL37" s="147"/>
      <c r="EM37" s="147"/>
      <c r="EN37" s="148"/>
      <c r="EO37" s="10" t="s">
        <v>23</v>
      </c>
      <c r="EP37" s="11" t="s">
        <v>24</v>
      </c>
      <c r="EQ37" s="11" t="s">
        <v>25</v>
      </c>
      <c r="ER37" s="12" t="s">
        <v>26</v>
      </c>
      <c r="ES37" s="12"/>
      <c r="ET37" s="13" t="s">
        <v>27</v>
      </c>
      <c r="EU37" s="12" t="s">
        <v>28</v>
      </c>
      <c r="EV37" s="148"/>
      <c r="EW37" s="9"/>
      <c r="EX37" s="12" t="s">
        <v>29</v>
      </c>
      <c r="EY37" s="10" t="s">
        <v>37</v>
      </c>
      <c r="EZ37" s="149"/>
      <c r="FA37" s="150"/>
      <c r="FB37" s="12" t="s">
        <v>30</v>
      </c>
      <c r="FC37" s="148"/>
      <c r="FD37" s="148"/>
      <c r="FE37" s="15" t="s">
        <v>31</v>
      </c>
      <c r="FF37" s="149"/>
      <c r="FG37" s="147"/>
      <c r="FH37" s="150"/>
      <c r="FI37" s="150"/>
      <c r="FJ37" s="150"/>
      <c r="FK37" s="148"/>
      <c r="FL37" s="16"/>
      <c r="FM37" s="44" t="s">
        <v>32</v>
      </c>
      <c r="FN37" s="147"/>
      <c r="FO37" s="147"/>
      <c r="FP37" s="148"/>
      <c r="FQ37" s="10" t="s">
        <v>23</v>
      </c>
      <c r="FR37" s="11" t="s">
        <v>24</v>
      </c>
      <c r="FS37" s="11" t="s">
        <v>25</v>
      </c>
      <c r="FT37" s="12" t="s">
        <v>26</v>
      </c>
      <c r="FU37" s="12"/>
      <c r="FV37" s="13" t="s">
        <v>27</v>
      </c>
      <c r="FW37" s="12" t="s">
        <v>28</v>
      </c>
      <c r="FX37" s="148"/>
      <c r="FY37" s="9"/>
      <c r="FZ37" s="12" t="s">
        <v>29</v>
      </c>
      <c r="GA37" s="10" t="s">
        <v>37</v>
      </c>
      <c r="GB37" s="149"/>
      <c r="GC37" s="150"/>
      <c r="GD37" s="12" t="s">
        <v>30</v>
      </c>
      <c r="GE37" s="148"/>
      <c r="GF37" s="148"/>
      <c r="GG37" s="15" t="s">
        <v>31</v>
      </c>
      <c r="GH37" s="149"/>
      <c r="GI37" s="147"/>
      <c r="GJ37" s="150"/>
      <c r="GK37" s="150"/>
      <c r="GL37" s="150"/>
      <c r="GM37" s="148"/>
      <c r="GN37" s="16"/>
      <c r="GO37" s="44" t="s">
        <v>32</v>
      </c>
      <c r="GP37" s="147"/>
      <c r="GQ37" s="147"/>
      <c r="GR37" s="148"/>
      <c r="GS37" s="10" t="s">
        <v>23</v>
      </c>
      <c r="GT37" s="11" t="s">
        <v>24</v>
      </c>
      <c r="GU37" s="11" t="s">
        <v>25</v>
      </c>
      <c r="GV37" s="12" t="s">
        <v>26</v>
      </c>
      <c r="GW37" s="12"/>
      <c r="GX37" s="13" t="s">
        <v>27</v>
      </c>
      <c r="GY37" s="12" t="s">
        <v>28</v>
      </c>
      <c r="GZ37" s="148"/>
      <c r="HA37" s="9"/>
      <c r="HB37" s="12" t="s">
        <v>29</v>
      </c>
      <c r="HC37" s="10" t="s">
        <v>37</v>
      </c>
      <c r="HD37" s="149"/>
      <c r="HE37" s="150"/>
      <c r="HF37" s="12" t="s">
        <v>30</v>
      </c>
      <c r="HG37" s="148"/>
      <c r="HH37" s="148"/>
      <c r="HI37" s="15" t="s">
        <v>31</v>
      </c>
      <c r="HJ37" s="149"/>
      <c r="HK37" s="147"/>
      <c r="HL37" s="150"/>
      <c r="HM37" s="150"/>
      <c r="HN37" s="150"/>
      <c r="HO37" s="148"/>
      <c r="HP37" s="16"/>
      <c r="HQ37" s="44" t="s">
        <v>32</v>
      </c>
      <c r="HR37" s="147"/>
      <c r="HS37" s="147"/>
      <c r="HT37" s="148"/>
      <c r="HU37" s="10" t="s">
        <v>23</v>
      </c>
      <c r="HV37" s="11" t="s">
        <v>24</v>
      </c>
      <c r="HW37" s="11" t="s">
        <v>25</v>
      </c>
      <c r="HX37" s="12" t="s">
        <v>26</v>
      </c>
      <c r="HY37" s="12"/>
      <c r="HZ37" s="13" t="s">
        <v>27</v>
      </c>
      <c r="IA37" s="12" t="s">
        <v>28</v>
      </c>
      <c r="IB37" s="148"/>
      <c r="IC37" s="9"/>
      <c r="ID37" s="12" t="s">
        <v>29</v>
      </c>
      <c r="IE37" s="10" t="s">
        <v>37</v>
      </c>
      <c r="IF37" s="149"/>
      <c r="IG37" s="150"/>
      <c r="IH37" s="12" t="s">
        <v>30</v>
      </c>
      <c r="II37" s="148"/>
      <c r="IJ37" s="148"/>
      <c r="IK37" s="15" t="s">
        <v>31</v>
      </c>
      <c r="IL37" s="149"/>
      <c r="IM37" s="147"/>
      <c r="IN37" s="150"/>
      <c r="IO37" s="150"/>
      <c r="IP37" s="150"/>
      <c r="IQ37" s="148"/>
      <c r="IR37" s="16"/>
      <c r="IS37" s="44" t="s">
        <v>32</v>
      </c>
      <c r="IT37" s="147"/>
      <c r="IU37" s="147"/>
      <c r="IV37" s="148"/>
      <c r="IW37" s="10" t="s">
        <v>23</v>
      </c>
      <c r="IX37" s="11" t="s">
        <v>24</v>
      </c>
      <c r="IY37" s="11" t="s">
        <v>25</v>
      </c>
      <c r="IZ37" s="12" t="s">
        <v>26</v>
      </c>
      <c r="JA37" s="12"/>
      <c r="JB37" s="13" t="s">
        <v>27</v>
      </c>
      <c r="JC37" s="12" t="s">
        <v>28</v>
      </c>
      <c r="JD37" s="148"/>
      <c r="JE37" s="9"/>
      <c r="JF37" s="12" t="s">
        <v>29</v>
      </c>
      <c r="JG37" s="10" t="s">
        <v>37</v>
      </c>
      <c r="JH37" s="149"/>
      <c r="JI37" s="150"/>
      <c r="JJ37" s="12" t="s">
        <v>30</v>
      </c>
      <c r="JK37" s="148"/>
      <c r="JL37" s="148"/>
      <c r="JM37" s="15" t="s">
        <v>31</v>
      </c>
      <c r="JN37" s="149"/>
      <c r="JO37" s="147"/>
      <c r="JP37" s="150"/>
      <c r="JQ37" s="150"/>
      <c r="JR37" s="150"/>
      <c r="JS37" s="148"/>
      <c r="JT37" s="16"/>
      <c r="JU37" s="44" t="s">
        <v>32</v>
      </c>
      <c r="JV37" s="147"/>
      <c r="JW37" s="147"/>
      <c r="JX37" s="148"/>
      <c r="JY37" s="10" t="s">
        <v>23</v>
      </c>
      <c r="JZ37" s="11" t="s">
        <v>24</v>
      </c>
      <c r="KA37" s="11" t="s">
        <v>25</v>
      </c>
      <c r="KB37" s="12" t="s">
        <v>26</v>
      </c>
      <c r="KC37" s="12"/>
      <c r="KD37" s="13" t="s">
        <v>27</v>
      </c>
      <c r="KE37" s="12" t="s">
        <v>28</v>
      </c>
      <c r="KF37" s="148"/>
      <c r="KG37" s="9"/>
      <c r="KH37" s="12" t="s">
        <v>29</v>
      </c>
      <c r="KI37" s="10" t="s">
        <v>37</v>
      </c>
      <c r="KJ37" s="149"/>
      <c r="KK37" s="150"/>
      <c r="KL37" s="12" t="s">
        <v>30</v>
      </c>
      <c r="KM37" s="148"/>
      <c r="KN37" s="148"/>
      <c r="KO37" s="15" t="s">
        <v>31</v>
      </c>
      <c r="KP37" s="149"/>
      <c r="KQ37" s="147"/>
      <c r="KR37" s="150"/>
      <c r="KS37" s="150"/>
      <c r="KT37" s="150"/>
      <c r="KU37" s="148"/>
      <c r="KV37" s="16"/>
      <c r="KW37" s="44" t="s">
        <v>32</v>
      </c>
      <c r="KX37" s="147"/>
      <c r="KY37" s="147"/>
      <c r="KZ37" s="148"/>
      <c r="LA37" s="10" t="s">
        <v>23</v>
      </c>
      <c r="LB37" s="11" t="s">
        <v>24</v>
      </c>
      <c r="LC37" s="11" t="s">
        <v>25</v>
      </c>
      <c r="LD37" s="12" t="s">
        <v>26</v>
      </c>
      <c r="LE37" s="12"/>
      <c r="LF37" s="13" t="s">
        <v>27</v>
      </c>
      <c r="LG37" s="12" t="s">
        <v>28</v>
      </c>
      <c r="LH37" s="148"/>
      <c r="LI37" s="9"/>
      <c r="LJ37" s="12" t="s">
        <v>29</v>
      </c>
      <c r="LK37" s="10" t="s">
        <v>37</v>
      </c>
      <c r="LL37" s="149"/>
      <c r="LM37" s="150"/>
      <c r="LN37" s="12" t="s">
        <v>30</v>
      </c>
      <c r="LO37" s="148"/>
      <c r="LP37" s="148"/>
      <c r="LQ37" s="15" t="s">
        <v>31</v>
      </c>
      <c r="LR37" s="149"/>
      <c r="LS37" s="147"/>
      <c r="LT37" s="150"/>
      <c r="LU37" s="150"/>
      <c r="LV37" s="150"/>
      <c r="LW37" s="148"/>
      <c r="LX37" s="16"/>
    </row>
  </sheetData>
  <mergeCells count="372">
    <mergeCell ref="AJ3:AP3"/>
    <mergeCell ref="AD36:AD37"/>
    <mergeCell ref="AE36:AE37"/>
    <mergeCell ref="AF36:AF37"/>
    <mergeCell ref="AN36:AN37"/>
    <mergeCell ref="AR36:AR37"/>
    <mergeCell ref="AS36:AS37"/>
    <mergeCell ref="AU36:AU37"/>
    <mergeCell ref="AV36:AV37"/>
    <mergeCell ref="AS1:AS2"/>
    <mergeCell ref="AU1:AU2"/>
    <mergeCell ref="AV1:AV2"/>
    <mergeCell ref="AX36:AX37"/>
    <mergeCell ref="AY36:AY37"/>
    <mergeCell ref="AZ36:AZ37"/>
    <mergeCell ref="BA36:BA37"/>
    <mergeCell ref="BB36:BB37"/>
    <mergeCell ref="BC36:BC37"/>
    <mergeCell ref="BC1:BC2"/>
    <mergeCell ref="B36:B37"/>
    <mergeCell ref="C36:C37"/>
    <mergeCell ref="D36:D37"/>
    <mergeCell ref="L36:L37"/>
    <mergeCell ref="P36:P37"/>
    <mergeCell ref="Q36:Q37"/>
    <mergeCell ref="H3:N3"/>
    <mergeCell ref="L1:L2"/>
    <mergeCell ref="P1:P2"/>
    <mergeCell ref="Q1:Q2"/>
    <mergeCell ref="Z36:Z37"/>
    <mergeCell ref="AA36:AA37"/>
    <mergeCell ref="V1:V2"/>
    <mergeCell ref="W1:W2"/>
    <mergeCell ref="X1:X2"/>
    <mergeCell ref="Y1:Y2"/>
    <mergeCell ref="Z1:Z2"/>
    <mergeCell ref="S36:S37"/>
    <mergeCell ref="T36:T37"/>
    <mergeCell ref="V36:V37"/>
    <mergeCell ref="W36:W37"/>
    <mergeCell ref="X36:X37"/>
    <mergeCell ref="Y36:Y37"/>
    <mergeCell ref="S1:S2"/>
    <mergeCell ref="T1:T2"/>
    <mergeCell ref="AA1:AA2"/>
    <mergeCell ref="BF1:BF2"/>
    <mergeCell ref="BG1:BG2"/>
    <mergeCell ref="BH1:BH2"/>
    <mergeCell ref="BI1:BI2"/>
    <mergeCell ref="BP1:BP2"/>
    <mergeCell ref="BT1:BT2"/>
    <mergeCell ref="A1:A2"/>
    <mergeCell ref="B1:B2"/>
    <mergeCell ref="C1:C2"/>
    <mergeCell ref="D1:D2"/>
    <mergeCell ref="E1:E2"/>
    <mergeCell ref="BE1:BE2"/>
    <mergeCell ref="AC1:AC2"/>
    <mergeCell ref="AD1:AD2"/>
    <mergeCell ref="AE1:AE2"/>
    <mergeCell ref="AF1:AF2"/>
    <mergeCell ref="AG1:AG2"/>
    <mergeCell ref="AX1:AX2"/>
    <mergeCell ref="AY1:AY2"/>
    <mergeCell ref="AZ1:AZ2"/>
    <mergeCell ref="BA1:BA2"/>
    <mergeCell ref="BB1:BB2"/>
    <mergeCell ref="AN1:AN2"/>
    <mergeCell ref="AR1:AR2"/>
    <mergeCell ref="BF36:BF37"/>
    <mergeCell ref="BG36:BG37"/>
    <mergeCell ref="BH36:BH37"/>
    <mergeCell ref="BP36:BP37"/>
    <mergeCell ref="BT36:BT37"/>
    <mergeCell ref="BU36:BU37"/>
    <mergeCell ref="BW36:BW37"/>
    <mergeCell ref="CZ1:CZ2"/>
    <mergeCell ref="DB1:DB2"/>
    <mergeCell ref="CJ1:CJ2"/>
    <mergeCell ref="CK1:CK2"/>
    <mergeCell ref="CR1:CR2"/>
    <mergeCell ref="CV1:CV2"/>
    <mergeCell ref="CW1:CW2"/>
    <mergeCell ref="CY1:CY2"/>
    <mergeCell ref="CC1:CC2"/>
    <mergeCell ref="CD1:CD2"/>
    <mergeCell ref="CE1:CE2"/>
    <mergeCell ref="CG1:CG2"/>
    <mergeCell ref="CH1:CH2"/>
    <mergeCell ref="CI1:CI2"/>
    <mergeCell ref="BU1:BU2"/>
    <mergeCell ref="BW1:BW2"/>
    <mergeCell ref="BX1:BX2"/>
    <mergeCell ref="BX36:BX37"/>
    <mergeCell ref="BZ36:BZ37"/>
    <mergeCell ref="CA36:CA37"/>
    <mergeCell ref="CB36:CB37"/>
    <mergeCell ref="CC36:CC37"/>
    <mergeCell ref="CD36:CD37"/>
    <mergeCell ref="DG1:DG2"/>
    <mergeCell ref="BL3:BR3"/>
    <mergeCell ref="CN3:CT3"/>
    <mergeCell ref="DC1:DC2"/>
    <mergeCell ref="DD1:DD2"/>
    <mergeCell ref="DE1:DE2"/>
    <mergeCell ref="DF1:DF2"/>
    <mergeCell ref="BZ1:BZ2"/>
    <mergeCell ref="CA1:CA2"/>
    <mergeCell ref="CB1:CB2"/>
    <mergeCell ref="CW36:CW37"/>
    <mergeCell ref="CY36:CY37"/>
    <mergeCell ref="CZ36:CZ37"/>
    <mergeCell ref="DB36:DB37"/>
    <mergeCell ref="DC36:DC37"/>
    <mergeCell ref="DD36:DD37"/>
    <mergeCell ref="CE36:CE37"/>
    <mergeCell ref="CH36:CH37"/>
    <mergeCell ref="CI36:CI37"/>
    <mergeCell ref="CJ36:CJ37"/>
    <mergeCell ref="CR36:CR37"/>
    <mergeCell ref="CV36:CV37"/>
    <mergeCell ref="EH1:EH2"/>
    <mergeCell ref="DL1:DL2"/>
    <mergeCell ref="DM1:DM2"/>
    <mergeCell ref="DT1:DT2"/>
    <mergeCell ref="DX1:DX2"/>
    <mergeCell ref="DY1:DY2"/>
    <mergeCell ref="EA1:EA2"/>
    <mergeCell ref="DE36:DE37"/>
    <mergeCell ref="DF36:DF37"/>
    <mergeCell ref="DG36:DG37"/>
    <mergeCell ref="DI1:DI2"/>
    <mergeCell ref="DJ1:DJ2"/>
    <mergeCell ref="DK1:DK2"/>
    <mergeCell ref="DJ36:DJ37"/>
    <mergeCell ref="DK36:DK37"/>
    <mergeCell ref="ED36:ED37"/>
    <mergeCell ref="EE36:EE37"/>
    <mergeCell ref="EF36:EF37"/>
    <mergeCell ref="EG36:EG37"/>
    <mergeCell ref="EH36:EH37"/>
    <mergeCell ref="FG1:FG2"/>
    <mergeCell ref="FH1:FH2"/>
    <mergeCell ref="FI1:FI2"/>
    <mergeCell ref="FJ1:FJ2"/>
    <mergeCell ref="FK1:FK2"/>
    <mergeCell ref="DP3:DV3"/>
    <mergeCell ref="ER3:EX3"/>
    <mergeCell ref="EV1:EV2"/>
    <mergeCell ref="EZ1:EZ2"/>
    <mergeCell ref="FA1:FA2"/>
    <mergeCell ref="FC1:FC2"/>
    <mergeCell ref="FD1:FD2"/>
    <mergeCell ref="FF1:FF2"/>
    <mergeCell ref="EI1:EI2"/>
    <mergeCell ref="EK1:EK2"/>
    <mergeCell ref="EL1:EL2"/>
    <mergeCell ref="EM1:EM2"/>
    <mergeCell ref="EN1:EN2"/>
    <mergeCell ref="EO1:EO2"/>
    <mergeCell ref="EB1:EB2"/>
    <mergeCell ref="ED1:ED2"/>
    <mergeCell ref="EE1:EE2"/>
    <mergeCell ref="EF1:EF2"/>
    <mergeCell ref="EG1:EG2"/>
    <mergeCell ref="EI36:EI37"/>
    <mergeCell ref="DL36:DL37"/>
    <mergeCell ref="DT36:DT37"/>
    <mergeCell ref="DX36:DX37"/>
    <mergeCell ref="DY36:DY37"/>
    <mergeCell ref="EA36:EA37"/>
    <mergeCell ref="EB36:EB37"/>
    <mergeCell ref="FC36:FC37"/>
    <mergeCell ref="FD36:FD37"/>
    <mergeCell ref="FF36:FF37"/>
    <mergeCell ref="FG36:FG37"/>
    <mergeCell ref="FH36:FH37"/>
    <mergeCell ref="FI36:FI37"/>
    <mergeCell ref="EL36:EL37"/>
    <mergeCell ref="EM36:EM37"/>
    <mergeCell ref="EN36:EN37"/>
    <mergeCell ref="EV36:EV37"/>
    <mergeCell ref="EZ36:EZ37"/>
    <mergeCell ref="FA36:FA37"/>
    <mergeCell ref="FJ36:FJ37"/>
    <mergeCell ref="FK36:FK37"/>
    <mergeCell ref="FM1:FM2"/>
    <mergeCell ref="FN1:FN2"/>
    <mergeCell ref="FO1:FO2"/>
    <mergeCell ref="FP1:FP2"/>
    <mergeCell ref="FN36:FN37"/>
    <mergeCell ref="FO36:FO37"/>
    <mergeCell ref="FP36:FP37"/>
    <mergeCell ref="GI1:GI2"/>
    <mergeCell ref="GJ1:GJ2"/>
    <mergeCell ref="GK1:GK2"/>
    <mergeCell ref="GL1:GL2"/>
    <mergeCell ref="GM1:GM2"/>
    <mergeCell ref="FQ1:FQ2"/>
    <mergeCell ref="FX1:FX2"/>
    <mergeCell ref="GB1:GB2"/>
    <mergeCell ref="GC1:GC2"/>
    <mergeCell ref="GE1:GE2"/>
    <mergeCell ref="GF1:GF2"/>
    <mergeCell ref="FX36:FX37"/>
    <mergeCell ref="GB36:GB37"/>
    <mergeCell ref="GC36:GC37"/>
    <mergeCell ref="GE36:GE37"/>
    <mergeCell ref="GF36:GF37"/>
    <mergeCell ref="GH36:GH37"/>
    <mergeCell ref="HL1:HL2"/>
    <mergeCell ref="HM1:HM2"/>
    <mergeCell ref="HN1:HN2"/>
    <mergeCell ref="FT3:FZ3"/>
    <mergeCell ref="GV3:HB3"/>
    <mergeCell ref="HD1:HD2"/>
    <mergeCell ref="HE1:HE2"/>
    <mergeCell ref="HG1:HG2"/>
    <mergeCell ref="HH1:HH2"/>
    <mergeCell ref="HJ1:HJ2"/>
    <mergeCell ref="HK1:HK2"/>
    <mergeCell ref="GO1:GO2"/>
    <mergeCell ref="GP1:GP2"/>
    <mergeCell ref="GQ1:GQ2"/>
    <mergeCell ref="GR1:GR2"/>
    <mergeCell ref="GS1:GS2"/>
    <mergeCell ref="GZ1:GZ2"/>
    <mergeCell ref="GH1:GH2"/>
    <mergeCell ref="GQ36:GQ37"/>
    <mergeCell ref="GR36:GR37"/>
    <mergeCell ref="GZ36:GZ37"/>
    <mergeCell ref="HD36:HD37"/>
    <mergeCell ref="HE36:HE37"/>
    <mergeCell ref="HG36:HG37"/>
    <mergeCell ref="GI36:GI37"/>
    <mergeCell ref="GJ36:GJ37"/>
    <mergeCell ref="GK36:GK37"/>
    <mergeCell ref="GL36:GL37"/>
    <mergeCell ref="GM36:GM37"/>
    <mergeCell ref="GP36:GP37"/>
    <mergeCell ref="HO36:HO37"/>
    <mergeCell ref="HQ1:HQ2"/>
    <mergeCell ref="HR1:HR2"/>
    <mergeCell ref="HS1:HS2"/>
    <mergeCell ref="HT1:HT2"/>
    <mergeCell ref="HU1:HU2"/>
    <mergeCell ref="HH36:HH37"/>
    <mergeCell ref="HJ36:HJ37"/>
    <mergeCell ref="HK36:HK37"/>
    <mergeCell ref="HL36:HL37"/>
    <mergeCell ref="HM36:HM37"/>
    <mergeCell ref="HN36:HN37"/>
    <mergeCell ref="HO1:HO2"/>
    <mergeCell ref="HX3:ID3"/>
    <mergeCell ref="IZ3:JF3"/>
    <mergeCell ref="HR36:HR37"/>
    <mergeCell ref="HS36:HS37"/>
    <mergeCell ref="HT36:HT37"/>
    <mergeCell ref="IB36:IB37"/>
    <mergeCell ref="IF36:IF37"/>
    <mergeCell ref="JI1:JI2"/>
    <mergeCell ref="JK1:JK2"/>
    <mergeCell ref="IT1:IT2"/>
    <mergeCell ref="IU1:IU2"/>
    <mergeCell ref="IV1:IV2"/>
    <mergeCell ref="IW1:IW2"/>
    <mergeCell ref="JD1:JD2"/>
    <mergeCell ref="JH1:JH2"/>
    <mergeCell ref="IM1:IM2"/>
    <mergeCell ref="IN1:IN2"/>
    <mergeCell ref="IO1:IO2"/>
    <mergeCell ref="IP1:IP2"/>
    <mergeCell ref="IQ1:IQ2"/>
    <mergeCell ref="IS1:IS2"/>
    <mergeCell ref="IB1:IB2"/>
    <mergeCell ref="IF1:IF2"/>
    <mergeCell ref="IG1:IG2"/>
    <mergeCell ref="IG36:IG37"/>
    <mergeCell ref="II36:II37"/>
    <mergeCell ref="IJ36:IJ37"/>
    <mergeCell ref="IL36:IL37"/>
    <mergeCell ref="IM36:IM37"/>
    <mergeCell ref="IN36:IN37"/>
    <mergeCell ref="JQ1:JQ2"/>
    <mergeCell ref="JR1:JR2"/>
    <mergeCell ref="JS1:JS2"/>
    <mergeCell ref="JL1:JL2"/>
    <mergeCell ref="JN1:JN2"/>
    <mergeCell ref="JO1:JO2"/>
    <mergeCell ref="JP1:JP2"/>
    <mergeCell ref="II1:II2"/>
    <mergeCell ref="IJ1:IJ2"/>
    <mergeCell ref="IL1:IL2"/>
    <mergeCell ref="JD36:JD37"/>
    <mergeCell ref="JH36:JH37"/>
    <mergeCell ref="JI36:JI37"/>
    <mergeCell ref="JK36:JK37"/>
    <mergeCell ref="JL36:JL37"/>
    <mergeCell ref="JN36:JN37"/>
    <mergeCell ref="IO36:IO37"/>
    <mergeCell ref="IP36:IP37"/>
    <mergeCell ref="KS36:KS37"/>
    <mergeCell ref="KJ1:KJ2"/>
    <mergeCell ref="KM36:KM37"/>
    <mergeCell ref="KF36:KF37"/>
    <mergeCell ref="KJ36:KJ37"/>
    <mergeCell ref="IQ36:IQ37"/>
    <mergeCell ref="IT36:IT37"/>
    <mergeCell ref="IU36:IU37"/>
    <mergeCell ref="IV36:IV37"/>
    <mergeCell ref="JV1:JV2"/>
    <mergeCell ref="JW1:JW2"/>
    <mergeCell ref="JX1:JX2"/>
    <mergeCell ref="JY1:JY2"/>
    <mergeCell ref="KF1:KF2"/>
    <mergeCell ref="JO36:JO37"/>
    <mergeCell ref="JP36:JP37"/>
    <mergeCell ref="JQ36:JQ37"/>
    <mergeCell ref="JR36:JR37"/>
    <mergeCell ref="JS36:JS37"/>
    <mergeCell ref="JU1:JU2"/>
    <mergeCell ref="JV36:JV37"/>
    <mergeCell ref="JW36:JW37"/>
    <mergeCell ref="JX36:JX37"/>
    <mergeCell ref="LH36:LH37"/>
    <mergeCell ref="LL36:LL37"/>
    <mergeCell ref="KK36:KK37"/>
    <mergeCell ref="LP1:LP2"/>
    <mergeCell ref="LR1:LR2"/>
    <mergeCell ref="KZ1:KZ2"/>
    <mergeCell ref="LA1:LA2"/>
    <mergeCell ref="LH1:LH2"/>
    <mergeCell ref="LL1:LL2"/>
    <mergeCell ref="LM1:LM2"/>
    <mergeCell ref="LO1:LO2"/>
    <mergeCell ref="KS1:KS2"/>
    <mergeCell ref="KT1:KT2"/>
    <mergeCell ref="KU1:KU2"/>
    <mergeCell ref="KW1:KW2"/>
    <mergeCell ref="KX1:KX2"/>
    <mergeCell ref="KY1:KY2"/>
    <mergeCell ref="KK1:KK2"/>
    <mergeCell ref="KM1:KM2"/>
    <mergeCell ref="KN1:KN2"/>
    <mergeCell ref="KN36:KN37"/>
    <mergeCell ref="KP36:KP37"/>
    <mergeCell ref="KQ36:KQ37"/>
    <mergeCell ref="KR36:KR37"/>
    <mergeCell ref="LU36:LU37"/>
    <mergeCell ref="LV36:LV37"/>
    <mergeCell ref="LW36:LW37"/>
    <mergeCell ref="KT36:KT37"/>
    <mergeCell ref="LW1:LW2"/>
    <mergeCell ref="KB3:KH3"/>
    <mergeCell ref="LD3:LJ3"/>
    <mergeCell ref="LS1:LS2"/>
    <mergeCell ref="LT1:LT2"/>
    <mergeCell ref="LU1:LU2"/>
    <mergeCell ref="LV1:LV2"/>
    <mergeCell ref="KP1:KP2"/>
    <mergeCell ref="KQ1:KQ2"/>
    <mergeCell ref="KR1:KR2"/>
    <mergeCell ref="LM36:LM37"/>
    <mergeCell ref="LO36:LO37"/>
    <mergeCell ref="LP36:LP37"/>
    <mergeCell ref="LR36:LR37"/>
    <mergeCell ref="LS36:LS37"/>
    <mergeCell ref="LT36:LT37"/>
    <mergeCell ref="KU36:KU37"/>
    <mergeCell ref="KX36:KX37"/>
    <mergeCell ref="KY36:KY37"/>
    <mergeCell ref="KZ36:KZ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4244-D821-4A32-B8A5-A30DDA208A97}">
  <dimension ref="A1:LX35"/>
  <sheetViews>
    <sheetView topLeftCell="KU1" zoomScale="90" zoomScaleNormal="90" workbookViewId="0">
      <pane ySplit="1" topLeftCell="A24" activePane="bottomLeft" state="frozen"/>
      <selection activeCell="EY1" sqref="EY1"/>
      <selection pane="bottomLeft" activeCell="FS34" sqref="FS34"/>
    </sheetView>
  </sheetViews>
  <sheetFormatPr defaultRowHeight="13.8" x14ac:dyDescent="0.3"/>
  <cols>
    <col min="1" max="1" width="9.5546875" style="8" bestFit="1" customWidth="1"/>
    <col min="2" max="22" width="8.88671875" style="8"/>
    <col min="23" max="23" width="10" style="8" bestFit="1" customWidth="1"/>
    <col min="24" max="27" width="8.88671875" style="8"/>
    <col min="28" max="28" width="2" style="8" customWidth="1"/>
    <col min="29" max="29" width="10.109375" style="8" bestFit="1" customWidth="1"/>
    <col min="30" max="30" width="6.5546875" style="8" bestFit="1" customWidth="1"/>
    <col min="31" max="32" width="8.77734375" style="8" bestFit="1" customWidth="1"/>
    <col min="33" max="33" width="6.6640625" style="8" customWidth="1"/>
    <col min="34" max="34" width="6.21875" style="8" customWidth="1"/>
    <col min="35" max="35" width="5" style="8" customWidth="1"/>
    <col min="36" max="36" width="7.44140625" style="8" customWidth="1"/>
    <col min="37" max="37" width="8.21875" style="8" bestFit="1" customWidth="1"/>
    <col min="38" max="39" width="8.88671875" style="8"/>
    <col min="40" max="40" width="6.44140625" style="8" customWidth="1"/>
    <col min="41" max="41" width="7.5546875" style="8" customWidth="1"/>
    <col min="42" max="42" width="7.6640625" style="8" bestFit="1" customWidth="1"/>
    <col min="43" max="43" width="7.109375" style="8" bestFit="1" customWidth="1"/>
    <col min="44" max="44" width="5.44140625" style="8" bestFit="1" customWidth="1"/>
    <col min="45" max="45" width="6.5546875" style="8" bestFit="1" customWidth="1"/>
    <col min="46" max="46" width="5" style="8" customWidth="1"/>
    <col min="47" max="47" width="8.6640625" style="8" bestFit="1" customWidth="1"/>
    <col min="48" max="48" width="8.88671875" style="8"/>
    <col min="49" max="49" width="6.88671875" style="8" bestFit="1" customWidth="1"/>
    <col min="50" max="50" width="8.5546875" style="8" bestFit="1" customWidth="1"/>
    <col min="51" max="52" width="8.88671875" style="8"/>
    <col min="53" max="53" width="5.44140625" style="8" bestFit="1" customWidth="1"/>
    <col min="54" max="55" width="8.88671875" style="8"/>
    <col min="56" max="56" width="1.88671875" style="8" customWidth="1"/>
    <col min="57" max="57" width="9.5546875" style="8" bestFit="1" customWidth="1"/>
    <col min="58" max="83" width="8.88671875" style="8"/>
    <col min="84" max="84" width="2.44140625" style="8" customWidth="1"/>
    <col min="85" max="85" width="9.109375" style="8" bestFit="1" customWidth="1"/>
    <col min="86" max="111" width="8.88671875" style="8"/>
    <col min="112" max="112" width="2.6640625" style="8" customWidth="1"/>
    <col min="113" max="113" width="9.88671875" style="8" bestFit="1" customWidth="1"/>
    <col min="114" max="119" width="8.88671875" style="8"/>
    <col min="120" max="120" width="7.109375" style="8" customWidth="1"/>
    <col min="121" max="121" width="6.77734375" style="8" customWidth="1"/>
    <col min="122" max="122" width="7.6640625" style="8" customWidth="1"/>
    <col min="123" max="123" width="7.77734375" style="8" bestFit="1" customWidth="1"/>
    <col min="124" max="124" width="6.77734375" style="8" customWidth="1"/>
    <col min="125" max="125" width="7.77734375" style="8" bestFit="1" customWidth="1"/>
    <col min="126" max="126" width="9" style="8" customWidth="1"/>
    <col min="127" max="127" width="7.109375" style="8" customWidth="1"/>
    <col min="128" max="128" width="6.33203125" style="8" customWidth="1"/>
    <col min="129" max="129" width="6.5546875" style="8" bestFit="1" customWidth="1"/>
    <col min="130" max="130" width="6.77734375" style="8" bestFit="1" customWidth="1"/>
    <col min="131" max="132" width="8.88671875" style="8"/>
    <col min="133" max="133" width="6.88671875" style="8" bestFit="1" customWidth="1"/>
    <col min="134" max="134" width="6" style="8" customWidth="1"/>
    <col min="135" max="135" width="7.88671875" style="8" customWidth="1"/>
    <col min="136" max="136" width="6.6640625" style="8" customWidth="1"/>
    <col min="137" max="137" width="6.5546875" style="8" bestFit="1" customWidth="1"/>
    <col min="138" max="139" width="8.88671875" style="8"/>
    <col min="140" max="140" width="2.6640625" style="8" customWidth="1"/>
    <col min="141" max="141" width="9.88671875" style="8" bestFit="1" customWidth="1"/>
    <col min="142" max="142" width="8.88671875" style="8"/>
    <col min="143" max="144" width="8.88671875" style="112"/>
    <col min="145" max="151" width="8.88671875" style="8"/>
    <col min="152" max="153" width="8.88671875" style="113"/>
    <col min="154" max="160" width="8.88671875" style="8"/>
    <col min="161" max="161" width="8.88671875" style="114"/>
    <col min="162" max="162" width="8.88671875" style="115"/>
    <col min="163" max="165" width="8.88671875" style="8"/>
    <col min="166" max="166" width="6.33203125" style="8" customWidth="1"/>
    <col min="167" max="167" width="8.88671875" style="8"/>
    <col min="168" max="168" width="2.44140625" style="8" customWidth="1"/>
    <col min="169" max="169" width="9.6640625" style="8" bestFit="1" customWidth="1"/>
    <col min="170" max="170" width="8.88671875" style="112"/>
    <col min="171" max="172" width="8.88671875" style="114"/>
    <col min="173" max="174" width="8.88671875" style="68"/>
    <col min="175" max="175" width="8.88671875" style="115"/>
    <col min="176" max="177" width="8.88671875" style="8"/>
    <col min="178" max="178" width="8.88671875" style="68"/>
    <col min="179" max="179" width="8.88671875" style="8"/>
    <col min="180" max="180" width="8.88671875" style="115"/>
    <col min="181" max="184" width="8.88671875" style="8"/>
    <col min="185" max="185" width="8.88671875" style="116"/>
    <col min="186" max="190" width="8.88671875" style="8"/>
    <col min="191" max="191" width="10" style="8" bestFit="1" customWidth="1"/>
    <col min="192" max="192" width="8.88671875" style="8"/>
    <col min="193" max="193" width="8.88671875" style="115"/>
    <col min="194" max="194" width="4.6640625" style="8" customWidth="1"/>
    <col min="195" max="195" width="8.88671875" style="8"/>
    <col min="196" max="196" width="2.5546875" style="8" customWidth="1"/>
    <col min="197" max="197" width="9.77734375" style="8" bestFit="1" customWidth="1"/>
    <col min="198" max="204" width="8.88671875" style="8"/>
    <col min="205" max="205" width="9.44140625" style="112" customWidth="1"/>
    <col min="206" max="206" width="10.88671875" style="8" customWidth="1"/>
    <col min="207" max="207" width="12" style="8" customWidth="1"/>
    <col min="208" max="212" width="8.88671875" style="8"/>
    <col min="213" max="213" width="8.88671875" style="68"/>
    <col min="214" max="214" width="5.77734375" style="8" bestFit="1" customWidth="1"/>
    <col min="215" max="215" width="9.6640625" style="8" customWidth="1"/>
    <col min="216" max="217" width="8.88671875" style="8"/>
    <col min="218" max="218" width="9.88671875" style="115" customWidth="1"/>
    <col min="219" max="219" width="11.109375" style="8" customWidth="1"/>
    <col min="220" max="220" width="8.88671875" style="68"/>
    <col min="221" max="221" width="8.88671875" style="116"/>
    <col min="222" max="222" width="13.6640625" style="116" bestFit="1" customWidth="1"/>
    <col min="223" max="223" width="8.88671875" style="8"/>
    <col min="224" max="224" width="2.44140625" style="8" customWidth="1"/>
    <col min="225" max="225" width="10" style="8" bestFit="1" customWidth="1"/>
    <col min="226" max="226" width="9.109375" style="8" bestFit="1" customWidth="1"/>
    <col min="227" max="228" width="8.88671875" style="114"/>
    <col min="229" max="231" width="8.88671875" style="8"/>
    <col min="232" max="232" width="10.77734375" style="113" bestFit="1" customWidth="1"/>
    <col min="233" max="233" width="9.109375" style="112" customWidth="1"/>
    <col min="234" max="234" width="11.5546875" style="68" customWidth="1"/>
    <col min="235" max="235" width="11.5546875" style="113" customWidth="1"/>
    <col min="236" max="236" width="8.88671875" style="115"/>
    <col min="237" max="237" width="8.88671875" style="114"/>
    <col min="238" max="238" width="8.88671875" style="113"/>
    <col min="239" max="240" width="8.88671875" style="112"/>
    <col min="241" max="241" width="8.88671875" style="117"/>
    <col min="242" max="242" width="9.21875" style="113" customWidth="1"/>
    <col min="243" max="243" width="10.33203125" style="112" customWidth="1"/>
    <col min="244" max="244" width="13.44140625" style="112" customWidth="1"/>
    <col min="245" max="245" width="8.88671875" style="114"/>
    <col min="246" max="246" width="9.77734375" style="115" customWidth="1"/>
    <col min="247" max="247" width="11.21875" style="68" customWidth="1"/>
    <col min="248" max="248" width="9" style="68" bestFit="1" customWidth="1"/>
    <col min="249" max="249" width="8.88671875" style="116"/>
    <col min="250" max="250" width="13.44140625" style="116" customWidth="1"/>
    <col min="251" max="251" width="8.88671875" style="8"/>
    <col min="252" max="252" width="2.21875" style="8" customWidth="1"/>
    <col min="253" max="253" width="9.5546875" style="8" bestFit="1" customWidth="1"/>
    <col min="254" max="279" width="8.88671875" style="8"/>
    <col min="280" max="280" width="2.6640625" style="8" customWidth="1"/>
    <col min="281" max="281" width="9.77734375" style="8" bestFit="1" customWidth="1"/>
    <col min="282" max="307" width="8.88671875" style="8"/>
    <col min="308" max="308" width="2.21875" style="8" customWidth="1"/>
    <col min="309" max="309" width="10" style="8" bestFit="1" customWidth="1"/>
    <col min="310" max="335" width="8.88671875" style="8"/>
    <col min="336" max="336" width="2" style="8" customWidth="1"/>
    <col min="337" max="16384" width="8.88671875" style="8"/>
  </cols>
  <sheetData>
    <row r="1" spans="1:336" s="110" customFormat="1" ht="55.2" x14ac:dyDescent="0.3">
      <c r="A1" s="87" t="s">
        <v>0</v>
      </c>
      <c r="B1" s="85" t="s">
        <v>1</v>
      </c>
      <c r="C1" s="85" t="s">
        <v>2</v>
      </c>
      <c r="D1" s="1" t="s">
        <v>3</v>
      </c>
      <c r="E1" s="86" t="s">
        <v>36</v>
      </c>
      <c r="F1" s="100" t="s">
        <v>5</v>
      </c>
      <c r="G1" s="100" t="s">
        <v>6</v>
      </c>
      <c r="H1" s="98" t="s">
        <v>7</v>
      </c>
      <c r="I1" s="98" t="s">
        <v>38</v>
      </c>
      <c r="J1" s="101" t="s">
        <v>8</v>
      </c>
      <c r="K1" s="98" t="s">
        <v>9</v>
      </c>
      <c r="L1" s="1" t="s">
        <v>10</v>
      </c>
      <c r="M1" s="91" t="s">
        <v>39</v>
      </c>
      <c r="N1" s="98" t="s">
        <v>11</v>
      </c>
      <c r="O1" s="92" t="s">
        <v>37</v>
      </c>
      <c r="P1" s="86" t="s">
        <v>13</v>
      </c>
      <c r="Q1" s="84" t="s">
        <v>14</v>
      </c>
      <c r="R1" s="98" t="s">
        <v>15</v>
      </c>
      <c r="S1" s="1" t="s">
        <v>16</v>
      </c>
      <c r="T1" s="1" t="s">
        <v>17</v>
      </c>
      <c r="U1" s="102" t="s">
        <v>18</v>
      </c>
      <c r="V1" s="86" t="s">
        <v>19</v>
      </c>
      <c r="W1" s="85" t="s">
        <v>20</v>
      </c>
      <c r="X1" s="84" t="s">
        <v>21</v>
      </c>
      <c r="Y1" s="84" t="s">
        <v>22</v>
      </c>
      <c r="Z1" s="84" t="s">
        <v>17</v>
      </c>
      <c r="AA1" s="1" t="s">
        <v>4</v>
      </c>
      <c r="AB1" s="103"/>
      <c r="AC1" s="87" t="s">
        <v>0</v>
      </c>
      <c r="AD1" s="85" t="s">
        <v>1</v>
      </c>
      <c r="AE1" s="85" t="s">
        <v>2</v>
      </c>
      <c r="AF1" s="1" t="s">
        <v>3</v>
      </c>
      <c r="AG1" s="86" t="s">
        <v>36</v>
      </c>
      <c r="AH1" s="100" t="s">
        <v>5</v>
      </c>
      <c r="AI1" s="100" t="s">
        <v>6</v>
      </c>
      <c r="AJ1" s="98" t="s">
        <v>7</v>
      </c>
      <c r="AK1" s="98" t="s">
        <v>38</v>
      </c>
      <c r="AL1" s="101" t="s">
        <v>8</v>
      </c>
      <c r="AM1" s="98" t="s">
        <v>9</v>
      </c>
      <c r="AN1" s="1" t="s">
        <v>10</v>
      </c>
      <c r="AO1" s="91" t="s">
        <v>39</v>
      </c>
      <c r="AP1" s="98" t="s">
        <v>11</v>
      </c>
      <c r="AQ1" s="92" t="s">
        <v>37</v>
      </c>
      <c r="AR1" s="86" t="s">
        <v>13</v>
      </c>
      <c r="AS1" s="84" t="s">
        <v>14</v>
      </c>
      <c r="AT1" s="98" t="s">
        <v>15</v>
      </c>
      <c r="AU1" s="1" t="s">
        <v>16</v>
      </c>
      <c r="AV1" s="1" t="s">
        <v>17</v>
      </c>
      <c r="AW1" s="102" t="s">
        <v>18</v>
      </c>
      <c r="AX1" s="86" t="s">
        <v>19</v>
      </c>
      <c r="AY1" s="85" t="s">
        <v>20</v>
      </c>
      <c r="AZ1" s="84" t="s">
        <v>21</v>
      </c>
      <c r="BA1" s="84" t="s">
        <v>22</v>
      </c>
      <c r="BB1" s="84" t="s">
        <v>17</v>
      </c>
      <c r="BC1" s="1" t="s">
        <v>4</v>
      </c>
      <c r="BD1" s="103"/>
      <c r="BE1" s="87" t="s">
        <v>0</v>
      </c>
      <c r="BF1" s="85" t="s">
        <v>1</v>
      </c>
      <c r="BG1" s="85" t="s">
        <v>2</v>
      </c>
      <c r="BH1" s="1" t="s">
        <v>3</v>
      </c>
      <c r="BI1" s="86" t="s">
        <v>36</v>
      </c>
      <c r="BJ1" s="100" t="s">
        <v>5</v>
      </c>
      <c r="BK1" s="100" t="s">
        <v>6</v>
      </c>
      <c r="BL1" s="98" t="s">
        <v>7</v>
      </c>
      <c r="BM1" s="98" t="s">
        <v>38</v>
      </c>
      <c r="BN1" s="101" t="s">
        <v>8</v>
      </c>
      <c r="BO1" s="98" t="s">
        <v>9</v>
      </c>
      <c r="BP1" s="1" t="s">
        <v>10</v>
      </c>
      <c r="BQ1" s="91" t="s">
        <v>39</v>
      </c>
      <c r="BR1" s="98" t="s">
        <v>11</v>
      </c>
      <c r="BS1" s="92" t="s">
        <v>37</v>
      </c>
      <c r="BT1" s="86" t="s">
        <v>13</v>
      </c>
      <c r="BU1" s="84" t="s">
        <v>14</v>
      </c>
      <c r="BV1" s="98" t="s">
        <v>15</v>
      </c>
      <c r="BW1" s="1" t="s">
        <v>16</v>
      </c>
      <c r="BX1" s="1" t="s">
        <v>17</v>
      </c>
      <c r="BY1" s="102" t="s">
        <v>18</v>
      </c>
      <c r="BZ1" s="86" t="s">
        <v>19</v>
      </c>
      <c r="CA1" s="85" t="s">
        <v>20</v>
      </c>
      <c r="CB1" s="84" t="s">
        <v>21</v>
      </c>
      <c r="CC1" s="84" t="s">
        <v>22</v>
      </c>
      <c r="CD1" s="84" t="s">
        <v>17</v>
      </c>
      <c r="CE1" s="1" t="s">
        <v>4</v>
      </c>
      <c r="CF1" s="103"/>
      <c r="CG1" s="87" t="s">
        <v>0</v>
      </c>
      <c r="CH1" s="85" t="s">
        <v>1</v>
      </c>
      <c r="CI1" s="85" t="s">
        <v>2</v>
      </c>
      <c r="CJ1" s="1" t="s">
        <v>3</v>
      </c>
      <c r="CK1" s="86" t="s">
        <v>36</v>
      </c>
      <c r="CL1" s="100" t="s">
        <v>5</v>
      </c>
      <c r="CM1" s="100" t="s">
        <v>6</v>
      </c>
      <c r="CN1" s="98" t="s">
        <v>7</v>
      </c>
      <c r="CO1" s="98" t="s">
        <v>38</v>
      </c>
      <c r="CP1" s="101" t="s">
        <v>8</v>
      </c>
      <c r="CQ1" s="98" t="s">
        <v>9</v>
      </c>
      <c r="CR1" s="1" t="s">
        <v>10</v>
      </c>
      <c r="CS1" s="91" t="s">
        <v>39</v>
      </c>
      <c r="CT1" s="98" t="s">
        <v>11</v>
      </c>
      <c r="CU1" s="92" t="s">
        <v>37</v>
      </c>
      <c r="CV1" s="86" t="s">
        <v>13</v>
      </c>
      <c r="CW1" s="84" t="s">
        <v>14</v>
      </c>
      <c r="CX1" s="98" t="s">
        <v>15</v>
      </c>
      <c r="CY1" s="1" t="s">
        <v>16</v>
      </c>
      <c r="CZ1" s="1" t="s">
        <v>17</v>
      </c>
      <c r="DA1" s="102" t="s">
        <v>18</v>
      </c>
      <c r="DB1" s="86" t="s">
        <v>19</v>
      </c>
      <c r="DC1" s="85" t="s">
        <v>20</v>
      </c>
      <c r="DD1" s="84" t="s">
        <v>21</v>
      </c>
      <c r="DE1" s="84" t="s">
        <v>22</v>
      </c>
      <c r="DF1" s="84" t="s">
        <v>17</v>
      </c>
      <c r="DG1" s="1" t="s">
        <v>4</v>
      </c>
      <c r="DH1" s="103"/>
      <c r="DI1" s="87" t="s">
        <v>0</v>
      </c>
      <c r="DJ1" s="85" t="s">
        <v>1</v>
      </c>
      <c r="DK1" s="85" t="s">
        <v>2</v>
      </c>
      <c r="DL1" s="86" t="s">
        <v>36</v>
      </c>
      <c r="DM1" s="100" t="s">
        <v>5</v>
      </c>
      <c r="DN1" s="100" t="s">
        <v>6</v>
      </c>
      <c r="DO1" s="1" t="s">
        <v>3</v>
      </c>
      <c r="DP1" s="98" t="s">
        <v>7</v>
      </c>
      <c r="DQ1" s="98" t="s">
        <v>38</v>
      </c>
      <c r="DR1" s="101" t="s">
        <v>8</v>
      </c>
      <c r="DS1" s="98" t="s">
        <v>9</v>
      </c>
      <c r="DT1" s="1" t="s">
        <v>10</v>
      </c>
      <c r="DU1" s="91" t="s">
        <v>39</v>
      </c>
      <c r="DV1" s="98" t="s">
        <v>11</v>
      </c>
      <c r="DW1" s="92" t="s">
        <v>37</v>
      </c>
      <c r="DX1" s="86" t="s">
        <v>13</v>
      </c>
      <c r="DY1" s="84" t="s">
        <v>14</v>
      </c>
      <c r="DZ1" s="98" t="s">
        <v>15</v>
      </c>
      <c r="EA1" s="1" t="s">
        <v>16</v>
      </c>
      <c r="EB1" s="1" t="s">
        <v>17</v>
      </c>
      <c r="EC1" s="102" t="s">
        <v>18</v>
      </c>
      <c r="ED1" s="86" t="s">
        <v>19</v>
      </c>
      <c r="EE1" s="85" t="s">
        <v>20</v>
      </c>
      <c r="EF1" s="84" t="s">
        <v>21</v>
      </c>
      <c r="EG1" s="84" t="s">
        <v>22</v>
      </c>
      <c r="EH1" s="84" t="s">
        <v>17</v>
      </c>
      <c r="EI1" s="1" t="s">
        <v>4</v>
      </c>
      <c r="EJ1" s="103"/>
      <c r="EK1" s="96" t="s">
        <v>0</v>
      </c>
      <c r="EL1" s="92" t="s">
        <v>161</v>
      </c>
      <c r="EM1" s="104" t="s">
        <v>155</v>
      </c>
      <c r="EN1" s="105" t="s">
        <v>162</v>
      </c>
      <c r="EO1" s="99" t="s">
        <v>1</v>
      </c>
      <c r="EP1" s="99" t="s">
        <v>152</v>
      </c>
      <c r="EQ1" s="91" t="s">
        <v>3</v>
      </c>
      <c r="ER1" s="106" t="s">
        <v>163</v>
      </c>
      <c r="ES1" s="92" t="s">
        <v>38</v>
      </c>
      <c r="ET1" s="99" t="s">
        <v>156</v>
      </c>
      <c r="EU1" s="107" t="s">
        <v>157</v>
      </c>
      <c r="EV1" s="91" t="s">
        <v>10</v>
      </c>
      <c r="EW1" s="104" t="s">
        <v>39</v>
      </c>
      <c r="EX1" s="106" t="s">
        <v>158</v>
      </c>
      <c r="EY1" s="108" t="s">
        <v>164</v>
      </c>
      <c r="EZ1" s="92" t="s">
        <v>13</v>
      </c>
      <c r="FA1" s="93" t="s">
        <v>14</v>
      </c>
      <c r="FB1" s="106" t="s">
        <v>159</v>
      </c>
      <c r="FC1" s="92" t="s">
        <v>16</v>
      </c>
      <c r="FD1" s="92" t="s">
        <v>17</v>
      </c>
      <c r="FE1" s="104" t="s">
        <v>160</v>
      </c>
      <c r="FF1" s="91" t="s">
        <v>19</v>
      </c>
      <c r="FG1" s="93" t="s">
        <v>20</v>
      </c>
      <c r="FH1" s="93" t="s">
        <v>21</v>
      </c>
      <c r="FI1" s="94" t="s">
        <v>22</v>
      </c>
      <c r="FJ1" s="94" t="s">
        <v>17</v>
      </c>
      <c r="FK1" s="91" t="s">
        <v>4</v>
      </c>
      <c r="FL1" s="103"/>
      <c r="FM1" s="96" t="s">
        <v>0</v>
      </c>
      <c r="FN1" s="92" t="s">
        <v>161</v>
      </c>
      <c r="FO1" s="104" t="s">
        <v>155</v>
      </c>
      <c r="FP1" s="105" t="s">
        <v>162</v>
      </c>
      <c r="FQ1" s="99" t="s">
        <v>1</v>
      </c>
      <c r="FR1" s="99" t="s">
        <v>152</v>
      </c>
      <c r="FS1" s="91" t="s">
        <v>3</v>
      </c>
      <c r="FT1" s="106" t="s">
        <v>163</v>
      </c>
      <c r="FU1" s="92" t="s">
        <v>38</v>
      </c>
      <c r="FV1" s="99" t="s">
        <v>156</v>
      </c>
      <c r="FW1" s="107" t="s">
        <v>157</v>
      </c>
      <c r="FX1" s="91" t="s">
        <v>10</v>
      </c>
      <c r="FY1" s="104" t="s">
        <v>39</v>
      </c>
      <c r="FZ1" s="106" t="s">
        <v>158</v>
      </c>
      <c r="GA1" s="108" t="s">
        <v>164</v>
      </c>
      <c r="GB1" s="92" t="s">
        <v>13</v>
      </c>
      <c r="GC1" s="93" t="s">
        <v>14</v>
      </c>
      <c r="GD1" s="106" t="s">
        <v>159</v>
      </c>
      <c r="GE1" s="92" t="s">
        <v>16</v>
      </c>
      <c r="GF1" s="92" t="s">
        <v>17</v>
      </c>
      <c r="GG1" s="104" t="s">
        <v>160</v>
      </c>
      <c r="GH1" s="91" t="s">
        <v>19</v>
      </c>
      <c r="GI1" s="93" t="s">
        <v>20</v>
      </c>
      <c r="GJ1" s="93" t="s">
        <v>21</v>
      </c>
      <c r="GK1" s="94" t="s">
        <v>22</v>
      </c>
      <c r="GL1" s="94" t="s">
        <v>17</v>
      </c>
      <c r="GM1" s="91" t="s">
        <v>4</v>
      </c>
      <c r="GN1" s="103"/>
      <c r="GO1" s="96" t="s">
        <v>0</v>
      </c>
      <c r="GP1" s="92" t="s">
        <v>161</v>
      </c>
      <c r="GQ1" s="104" t="s">
        <v>155</v>
      </c>
      <c r="GR1" s="105" t="s">
        <v>162</v>
      </c>
      <c r="GS1" s="99" t="s">
        <v>1</v>
      </c>
      <c r="GT1" s="99" t="s">
        <v>152</v>
      </c>
      <c r="GU1" s="91" t="s">
        <v>3</v>
      </c>
      <c r="GV1" s="106" t="s">
        <v>163</v>
      </c>
      <c r="GW1" s="92" t="s">
        <v>38</v>
      </c>
      <c r="GX1" s="99" t="s">
        <v>156</v>
      </c>
      <c r="GY1" s="107" t="s">
        <v>157</v>
      </c>
      <c r="GZ1" s="91" t="s">
        <v>10</v>
      </c>
      <c r="HA1" s="104" t="s">
        <v>39</v>
      </c>
      <c r="HB1" s="106" t="s">
        <v>158</v>
      </c>
      <c r="HC1" s="108" t="s">
        <v>164</v>
      </c>
      <c r="HD1" s="92" t="s">
        <v>13</v>
      </c>
      <c r="HE1" s="93" t="s">
        <v>14</v>
      </c>
      <c r="HF1" s="106" t="s">
        <v>159</v>
      </c>
      <c r="HG1" s="92" t="s">
        <v>16</v>
      </c>
      <c r="HH1" s="92" t="s">
        <v>17</v>
      </c>
      <c r="HI1" s="104" t="s">
        <v>160</v>
      </c>
      <c r="HJ1" s="91" t="s">
        <v>19</v>
      </c>
      <c r="HK1" s="93" t="s">
        <v>20</v>
      </c>
      <c r="HL1" s="93" t="s">
        <v>21</v>
      </c>
      <c r="HM1" s="94" t="s">
        <v>22</v>
      </c>
      <c r="HN1" s="94" t="s">
        <v>17</v>
      </c>
      <c r="HO1" s="91" t="s">
        <v>4</v>
      </c>
      <c r="HP1" s="103"/>
      <c r="HQ1" s="96" t="s">
        <v>0</v>
      </c>
      <c r="HR1" s="92" t="s">
        <v>161</v>
      </c>
      <c r="HS1" s="104" t="s">
        <v>155</v>
      </c>
      <c r="HT1" s="105" t="s">
        <v>162</v>
      </c>
      <c r="HU1" s="99" t="s">
        <v>1</v>
      </c>
      <c r="HV1" s="99" t="s">
        <v>152</v>
      </c>
      <c r="HW1" s="91" t="s">
        <v>3</v>
      </c>
      <c r="HX1" s="106" t="s">
        <v>163</v>
      </c>
      <c r="HY1" s="92" t="s">
        <v>38</v>
      </c>
      <c r="HZ1" s="99" t="s">
        <v>156</v>
      </c>
      <c r="IA1" s="107" t="s">
        <v>157</v>
      </c>
      <c r="IB1" s="91" t="s">
        <v>10</v>
      </c>
      <c r="IC1" s="104" t="s">
        <v>39</v>
      </c>
      <c r="ID1" s="106" t="s">
        <v>158</v>
      </c>
      <c r="IE1" s="108" t="s">
        <v>164</v>
      </c>
      <c r="IF1" s="92" t="s">
        <v>13</v>
      </c>
      <c r="IG1" s="93" t="s">
        <v>14</v>
      </c>
      <c r="IH1" s="106" t="s">
        <v>159</v>
      </c>
      <c r="II1" s="92" t="s">
        <v>16</v>
      </c>
      <c r="IJ1" s="92" t="s">
        <v>17</v>
      </c>
      <c r="IK1" s="104" t="s">
        <v>160</v>
      </c>
      <c r="IL1" s="91" t="s">
        <v>19</v>
      </c>
      <c r="IM1" s="93" t="s">
        <v>20</v>
      </c>
      <c r="IN1" s="93" t="s">
        <v>21</v>
      </c>
      <c r="IO1" s="94" t="s">
        <v>22</v>
      </c>
      <c r="IP1" s="94" t="s">
        <v>17</v>
      </c>
      <c r="IQ1" s="91" t="s">
        <v>4</v>
      </c>
      <c r="IR1" s="91" t="s">
        <v>32</v>
      </c>
      <c r="IS1" s="96" t="s">
        <v>0</v>
      </c>
      <c r="IT1" s="92" t="s">
        <v>161</v>
      </c>
      <c r="IU1" s="104" t="s">
        <v>155</v>
      </c>
      <c r="IV1" s="105" t="s">
        <v>162</v>
      </c>
      <c r="IW1" s="99" t="s">
        <v>1</v>
      </c>
      <c r="IX1" s="99" t="s">
        <v>152</v>
      </c>
      <c r="IY1" s="91" t="s">
        <v>3</v>
      </c>
      <c r="IZ1" s="106" t="s">
        <v>163</v>
      </c>
      <c r="JA1" s="92" t="s">
        <v>38</v>
      </c>
      <c r="JB1" s="99" t="s">
        <v>156</v>
      </c>
      <c r="JC1" s="107" t="s">
        <v>157</v>
      </c>
      <c r="JD1" s="91" t="s">
        <v>10</v>
      </c>
      <c r="JE1" s="104" t="s">
        <v>39</v>
      </c>
      <c r="JF1" s="106" t="s">
        <v>158</v>
      </c>
      <c r="JG1" s="108" t="s">
        <v>164</v>
      </c>
      <c r="JH1" s="92" t="s">
        <v>13</v>
      </c>
      <c r="JI1" s="93" t="s">
        <v>14</v>
      </c>
      <c r="JJ1" s="106" t="s">
        <v>159</v>
      </c>
      <c r="JK1" s="92" t="s">
        <v>16</v>
      </c>
      <c r="JL1" s="92" t="s">
        <v>17</v>
      </c>
      <c r="JM1" s="104" t="s">
        <v>160</v>
      </c>
      <c r="JN1" s="91" t="s">
        <v>19</v>
      </c>
      <c r="JO1" s="93" t="s">
        <v>20</v>
      </c>
      <c r="JP1" s="93" t="s">
        <v>21</v>
      </c>
      <c r="JQ1" s="94" t="s">
        <v>22</v>
      </c>
      <c r="JR1" s="94" t="s">
        <v>17</v>
      </c>
      <c r="JS1" s="91" t="s">
        <v>4</v>
      </c>
      <c r="JT1" s="103"/>
      <c r="JU1" s="96" t="s">
        <v>0</v>
      </c>
      <c r="JV1" s="92" t="s">
        <v>161</v>
      </c>
      <c r="JW1" s="104" t="s">
        <v>155</v>
      </c>
      <c r="JX1" s="105" t="s">
        <v>162</v>
      </c>
      <c r="JY1" s="99" t="s">
        <v>1</v>
      </c>
      <c r="JZ1" s="99" t="s">
        <v>152</v>
      </c>
      <c r="KA1" s="91" t="s">
        <v>3</v>
      </c>
      <c r="KB1" s="106" t="s">
        <v>163</v>
      </c>
      <c r="KC1" s="92" t="s">
        <v>38</v>
      </c>
      <c r="KD1" s="99" t="s">
        <v>156</v>
      </c>
      <c r="KE1" s="107" t="s">
        <v>157</v>
      </c>
      <c r="KF1" s="91" t="s">
        <v>10</v>
      </c>
      <c r="KG1" s="104" t="s">
        <v>39</v>
      </c>
      <c r="KH1" s="106" t="s">
        <v>158</v>
      </c>
      <c r="KI1" s="108" t="s">
        <v>164</v>
      </c>
      <c r="KJ1" s="92" t="s">
        <v>13</v>
      </c>
      <c r="KK1" s="93" t="s">
        <v>14</v>
      </c>
      <c r="KL1" s="106" t="s">
        <v>159</v>
      </c>
      <c r="KM1" s="92" t="s">
        <v>16</v>
      </c>
      <c r="KN1" s="92" t="s">
        <v>17</v>
      </c>
      <c r="KO1" s="104" t="s">
        <v>160</v>
      </c>
      <c r="KP1" s="91" t="s">
        <v>19</v>
      </c>
      <c r="KQ1" s="93" t="s">
        <v>20</v>
      </c>
      <c r="KR1" s="93" t="s">
        <v>21</v>
      </c>
      <c r="KS1" s="94" t="s">
        <v>22</v>
      </c>
      <c r="KT1" s="94" t="s">
        <v>17</v>
      </c>
      <c r="KU1" s="91" t="s">
        <v>4</v>
      </c>
      <c r="KV1" s="103"/>
      <c r="KW1" s="96" t="s">
        <v>0</v>
      </c>
      <c r="KX1" s="92" t="s">
        <v>161</v>
      </c>
      <c r="KY1" s="104" t="s">
        <v>155</v>
      </c>
      <c r="KZ1" s="105" t="s">
        <v>162</v>
      </c>
      <c r="LA1" s="99" t="s">
        <v>1</v>
      </c>
      <c r="LB1" s="99" t="s">
        <v>152</v>
      </c>
      <c r="LC1" s="91" t="s">
        <v>3</v>
      </c>
      <c r="LD1" s="106" t="s">
        <v>163</v>
      </c>
      <c r="LE1" s="92" t="s">
        <v>38</v>
      </c>
      <c r="LF1" s="99" t="s">
        <v>156</v>
      </c>
      <c r="LG1" s="107" t="s">
        <v>157</v>
      </c>
      <c r="LH1" s="91" t="s">
        <v>10</v>
      </c>
      <c r="LI1" s="104" t="s">
        <v>39</v>
      </c>
      <c r="LJ1" s="106" t="s">
        <v>158</v>
      </c>
      <c r="LK1" s="108" t="s">
        <v>164</v>
      </c>
      <c r="LL1" s="92" t="s">
        <v>13</v>
      </c>
      <c r="LM1" s="93" t="s">
        <v>14</v>
      </c>
      <c r="LN1" s="106" t="s">
        <v>159</v>
      </c>
      <c r="LO1" s="92" t="s">
        <v>16</v>
      </c>
      <c r="LP1" s="92" t="s">
        <v>17</v>
      </c>
      <c r="LQ1" s="104" t="s">
        <v>160</v>
      </c>
      <c r="LR1" s="91" t="s">
        <v>19</v>
      </c>
      <c r="LS1" s="93" t="s">
        <v>20</v>
      </c>
      <c r="LT1" s="93" t="s">
        <v>21</v>
      </c>
      <c r="LU1" s="94" t="s">
        <v>22</v>
      </c>
      <c r="LV1" s="94" t="s">
        <v>17</v>
      </c>
      <c r="LW1" s="91" t="s">
        <v>4</v>
      </c>
      <c r="LX1" s="103"/>
    </row>
    <row r="2" spans="1:336" x14ac:dyDescent="0.3">
      <c r="A2" s="17"/>
      <c r="B2" s="18"/>
      <c r="C2" s="18"/>
      <c r="D2" s="19"/>
      <c r="E2" s="20"/>
      <c r="F2" s="21"/>
      <c r="G2" s="21"/>
      <c r="H2" s="142" t="s">
        <v>120</v>
      </c>
      <c r="I2" s="142"/>
      <c r="J2" s="142"/>
      <c r="K2" s="142"/>
      <c r="L2" s="142"/>
      <c r="M2" s="142"/>
      <c r="N2" s="142"/>
      <c r="O2" s="20"/>
      <c r="P2" s="20"/>
      <c r="Q2" s="17"/>
      <c r="R2" s="17"/>
      <c r="S2" s="19"/>
      <c r="T2" s="19"/>
      <c r="U2" s="22"/>
      <c r="V2" s="20"/>
      <c r="W2" s="23"/>
      <c r="X2" s="17"/>
      <c r="Y2" s="17"/>
      <c r="Z2" s="17"/>
      <c r="AA2" s="19"/>
      <c r="AB2" s="24"/>
      <c r="AC2" s="17"/>
      <c r="AD2" s="18"/>
      <c r="AE2" s="18"/>
      <c r="AF2" s="19"/>
      <c r="AG2" s="20"/>
      <c r="AH2" s="21"/>
      <c r="AI2" s="21"/>
      <c r="AJ2" s="142" t="s">
        <v>32</v>
      </c>
      <c r="AK2" s="142"/>
      <c r="AL2" s="142"/>
      <c r="AM2" s="142"/>
      <c r="AN2" s="142"/>
      <c r="AO2" s="142"/>
      <c r="AP2" s="142"/>
      <c r="AQ2" s="20"/>
      <c r="AR2" s="20"/>
      <c r="AS2" s="17"/>
      <c r="AT2" s="17"/>
      <c r="AU2" s="19"/>
      <c r="AV2" s="19"/>
      <c r="AW2" s="22"/>
      <c r="AX2" s="20"/>
      <c r="AY2" s="23"/>
      <c r="AZ2" s="17"/>
      <c r="BA2" s="17"/>
      <c r="BB2" s="17"/>
      <c r="BC2" s="19"/>
      <c r="BD2" s="24"/>
      <c r="BE2" s="17"/>
      <c r="BF2" s="18"/>
      <c r="BG2" s="18"/>
      <c r="BH2" s="19"/>
      <c r="BI2" s="20"/>
      <c r="BJ2" s="21"/>
      <c r="BK2" s="21"/>
      <c r="BL2" s="142" t="s">
        <v>45</v>
      </c>
      <c r="BM2" s="142"/>
      <c r="BN2" s="142"/>
      <c r="BO2" s="142"/>
      <c r="BP2" s="142"/>
      <c r="BQ2" s="142"/>
      <c r="BR2" s="142"/>
      <c r="BS2" s="20"/>
      <c r="BT2" s="20"/>
      <c r="BU2" s="17"/>
      <c r="BV2" s="17"/>
      <c r="BW2" s="19"/>
      <c r="BX2" s="19"/>
      <c r="BY2" s="22"/>
      <c r="BZ2" s="20"/>
      <c r="CA2" s="23"/>
      <c r="CB2" s="17"/>
      <c r="CC2" s="17"/>
      <c r="CD2" s="17"/>
      <c r="CE2" s="19"/>
      <c r="CF2" s="24"/>
      <c r="CG2" s="17"/>
      <c r="CH2" s="18"/>
      <c r="CI2" s="18"/>
      <c r="CJ2" s="19"/>
      <c r="CK2" s="20"/>
      <c r="CL2" s="21"/>
      <c r="CM2" s="21"/>
      <c r="CN2" s="142" t="s">
        <v>45</v>
      </c>
      <c r="CO2" s="142"/>
      <c r="CP2" s="142"/>
      <c r="CQ2" s="142"/>
      <c r="CR2" s="142"/>
      <c r="CS2" s="142"/>
      <c r="CT2" s="142"/>
      <c r="CU2" s="20"/>
      <c r="CV2" s="20"/>
      <c r="CW2" s="17"/>
      <c r="CX2" s="17"/>
      <c r="CY2" s="19"/>
      <c r="CZ2" s="19"/>
      <c r="DA2" s="22"/>
      <c r="DB2" s="20"/>
      <c r="DC2" s="23"/>
      <c r="DD2" s="17"/>
      <c r="DE2" s="17"/>
      <c r="DF2" s="17"/>
      <c r="DG2" s="19"/>
      <c r="DH2" s="24"/>
      <c r="DI2" s="17"/>
      <c r="DJ2" s="18"/>
      <c r="DK2" s="18"/>
      <c r="DL2" s="20"/>
      <c r="DM2" s="21"/>
      <c r="DN2" s="21"/>
      <c r="DO2" s="19"/>
      <c r="DP2" s="142" t="s">
        <v>45</v>
      </c>
      <c r="DQ2" s="142"/>
      <c r="DR2" s="142"/>
      <c r="DS2" s="142"/>
      <c r="DT2" s="142"/>
      <c r="DU2" s="142"/>
      <c r="DV2" s="142"/>
      <c r="DW2" s="20"/>
      <c r="DX2" s="20"/>
      <c r="DY2" s="17"/>
      <c r="DZ2" s="17"/>
      <c r="EA2" s="19"/>
      <c r="EB2" s="19"/>
      <c r="EC2" s="22"/>
      <c r="ED2" s="20"/>
      <c r="EE2" s="23"/>
      <c r="EF2" s="17"/>
      <c r="EG2" s="17"/>
      <c r="EH2" s="17"/>
      <c r="EI2" s="19"/>
      <c r="EJ2" s="24"/>
      <c r="EK2" s="17"/>
      <c r="EL2" s="20"/>
      <c r="EM2" s="72"/>
      <c r="EN2" s="72"/>
      <c r="EO2" s="18"/>
      <c r="EP2" s="18"/>
      <c r="EQ2" s="19"/>
      <c r="ER2" s="142" t="s">
        <v>45</v>
      </c>
      <c r="ES2" s="142"/>
      <c r="ET2" s="142"/>
      <c r="EU2" s="142"/>
      <c r="EV2" s="142"/>
      <c r="EW2" s="142"/>
      <c r="EX2" s="142"/>
      <c r="EY2" s="20"/>
      <c r="EZ2" s="20"/>
      <c r="FA2" s="17"/>
      <c r="FB2" s="17"/>
      <c r="FC2" s="19"/>
      <c r="FD2" s="19"/>
      <c r="FE2" s="23"/>
      <c r="FF2" s="19"/>
      <c r="FG2" s="23"/>
      <c r="FH2" s="17"/>
      <c r="FI2" s="17"/>
      <c r="FJ2" s="17"/>
      <c r="FK2" s="19"/>
      <c r="FL2" s="24"/>
      <c r="FM2" s="17"/>
      <c r="FN2" s="20"/>
      <c r="FO2" s="76"/>
      <c r="FP2" s="76"/>
      <c r="FQ2" s="65"/>
      <c r="FR2" s="65"/>
      <c r="FS2" s="79"/>
      <c r="FT2" s="142" t="s">
        <v>45</v>
      </c>
      <c r="FU2" s="142"/>
      <c r="FV2" s="142"/>
      <c r="FW2" s="142"/>
      <c r="FX2" s="142"/>
      <c r="FY2" s="142"/>
      <c r="FZ2" s="142"/>
      <c r="GA2" s="20"/>
      <c r="GB2" s="20"/>
      <c r="GC2" s="81"/>
      <c r="GD2" s="17"/>
      <c r="GE2" s="19"/>
      <c r="GF2" s="19"/>
      <c r="GG2" s="22"/>
      <c r="GH2" s="20"/>
      <c r="GI2" s="23"/>
      <c r="GJ2" s="17"/>
      <c r="GK2" s="19"/>
      <c r="GL2" s="17"/>
      <c r="GM2" s="19"/>
      <c r="GN2" s="24"/>
      <c r="GO2" s="17"/>
      <c r="GP2" s="20"/>
      <c r="GQ2" s="76"/>
      <c r="GR2" s="76"/>
      <c r="GS2" s="65"/>
      <c r="GT2" s="65"/>
      <c r="GU2" s="79"/>
      <c r="GV2" s="142" t="s">
        <v>45</v>
      </c>
      <c r="GW2" s="142"/>
      <c r="GX2" s="142"/>
      <c r="GY2" s="142"/>
      <c r="GZ2" s="142"/>
      <c r="HA2" s="142"/>
      <c r="HB2" s="142"/>
      <c r="HC2" s="20"/>
      <c r="HD2" s="20"/>
      <c r="HE2" s="18"/>
      <c r="HF2" s="17"/>
      <c r="HG2" s="19"/>
      <c r="HH2" s="19"/>
      <c r="HI2" s="22"/>
      <c r="HJ2" s="19"/>
      <c r="HK2" s="23"/>
      <c r="HL2" s="18"/>
      <c r="HM2" s="81"/>
      <c r="HN2" s="81"/>
      <c r="HO2" s="19"/>
      <c r="HP2" s="24"/>
      <c r="HQ2" s="17"/>
      <c r="HR2" s="20"/>
      <c r="HS2" s="76"/>
      <c r="HT2" s="76"/>
      <c r="HU2" s="65"/>
      <c r="HV2" s="65"/>
      <c r="HW2" s="79"/>
      <c r="HX2" s="142" t="s">
        <v>45</v>
      </c>
      <c r="HY2" s="142"/>
      <c r="HZ2" s="142"/>
      <c r="IA2" s="142"/>
      <c r="IB2" s="142"/>
      <c r="IC2" s="142"/>
      <c r="ID2" s="142"/>
      <c r="IE2" s="20"/>
      <c r="IF2" s="20"/>
      <c r="IG2" s="89"/>
      <c r="IH2" s="90"/>
      <c r="II2" s="20"/>
      <c r="IJ2" s="20"/>
      <c r="IK2" s="23"/>
      <c r="IL2" s="19"/>
      <c r="IM2" s="18"/>
      <c r="IN2" s="18"/>
      <c r="IO2" s="81"/>
      <c r="IP2" s="81"/>
      <c r="IQ2" s="19"/>
      <c r="IR2" s="24"/>
      <c r="IS2" s="17"/>
      <c r="IT2" s="20"/>
      <c r="IU2" s="76"/>
      <c r="IV2" s="76"/>
      <c r="IW2" s="65"/>
      <c r="IX2" s="65"/>
      <c r="IY2" s="79"/>
      <c r="IZ2" s="142" t="s">
        <v>45</v>
      </c>
      <c r="JA2" s="142"/>
      <c r="JB2" s="142"/>
      <c r="JC2" s="142"/>
      <c r="JD2" s="142"/>
      <c r="JE2" s="142"/>
      <c r="JF2" s="142"/>
      <c r="JG2" s="20"/>
      <c r="JH2" s="20"/>
      <c r="JI2" s="88"/>
      <c r="JJ2" s="17"/>
      <c r="JK2" s="19"/>
      <c r="JL2" s="19"/>
      <c r="JM2" s="22"/>
      <c r="JN2" s="20"/>
      <c r="JO2" s="23"/>
      <c r="JP2" s="17"/>
      <c r="JQ2" s="19"/>
      <c r="JR2" s="17"/>
      <c r="JS2" s="19"/>
      <c r="JT2" s="24"/>
      <c r="JU2" s="17"/>
      <c r="JV2" s="20"/>
      <c r="JW2" s="76"/>
      <c r="JX2" s="76"/>
      <c r="JY2" s="65"/>
      <c r="JZ2" s="65"/>
      <c r="KA2" s="79"/>
      <c r="KB2" s="142" t="s">
        <v>45</v>
      </c>
      <c r="KC2" s="142"/>
      <c r="KD2" s="142"/>
      <c r="KE2" s="142"/>
      <c r="KF2" s="142"/>
      <c r="KG2" s="142"/>
      <c r="KH2" s="142"/>
      <c r="KI2" s="20"/>
      <c r="KJ2" s="20"/>
      <c r="KK2" s="88"/>
      <c r="KL2" s="17"/>
      <c r="KM2" s="19"/>
      <c r="KN2" s="19"/>
      <c r="KO2" s="22"/>
      <c r="KP2" s="20"/>
      <c r="KQ2" s="23"/>
      <c r="KR2" s="17"/>
      <c r="KS2" s="19"/>
      <c r="KT2" s="17"/>
      <c r="KU2" s="19"/>
      <c r="KV2" s="24"/>
      <c r="KW2" s="17"/>
      <c r="KX2" s="20"/>
      <c r="KY2" s="76"/>
      <c r="KZ2" s="76"/>
      <c r="LA2" s="65"/>
      <c r="LB2" s="65"/>
      <c r="LC2" s="79"/>
      <c r="LD2" s="142" t="s">
        <v>45</v>
      </c>
      <c r="LE2" s="142"/>
      <c r="LF2" s="142"/>
      <c r="LG2" s="142"/>
      <c r="LH2" s="142"/>
      <c r="LI2" s="142"/>
      <c r="LJ2" s="142"/>
      <c r="LK2" s="20"/>
      <c r="LL2" s="20"/>
      <c r="LM2" s="88"/>
      <c r="LN2" s="17"/>
      <c r="LO2" s="19"/>
      <c r="LP2" s="19"/>
      <c r="LQ2" s="22"/>
      <c r="LR2" s="20"/>
      <c r="LS2" s="23"/>
      <c r="LT2" s="17"/>
      <c r="LU2" s="19"/>
      <c r="LV2" s="17"/>
      <c r="LW2" s="19"/>
      <c r="LX2" s="24"/>
    </row>
    <row r="3" spans="1:336" x14ac:dyDescent="0.3">
      <c r="A3" s="25">
        <v>45748</v>
      </c>
      <c r="B3" s="26">
        <v>0</v>
      </c>
      <c r="C3" s="26">
        <v>0</v>
      </c>
      <c r="D3" s="27">
        <f t="shared" ref="D3:D33" si="0">AA3</f>
        <v>0</v>
      </c>
      <c r="E3" s="28">
        <v>3848</v>
      </c>
      <c r="F3" s="29">
        <v>0</v>
      </c>
      <c r="G3" s="29">
        <v>6.5</v>
      </c>
      <c r="H3" s="30" t="s">
        <v>32</v>
      </c>
      <c r="I3" s="30"/>
      <c r="J3" s="31" t="s">
        <v>32</v>
      </c>
      <c r="K3" s="30" t="s">
        <v>32</v>
      </c>
      <c r="L3" s="30" t="s">
        <v>32</v>
      </c>
      <c r="M3" s="30"/>
      <c r="N3" s="30"/>
      <c r="O3" s="28"/>
      <c r="P3" s="28" t="s">
        <v>32</v>
      </c>
      <c r="Q3" s="30" t="s">
        <v>32</v>
      </c>
      <c r="R3" s="30" t="s">
        <v>32</v>
      </c>
      <c r="S3" s="32" t="s">
        <v>32</v>
      </c>
      <c r="T3" s="32" t="s">
        <v>32</v>
      </c>
      <c r="U3" s="29" t="s">
        <v>32</v>
      </c>
      <c r="V3" s="28" t="s">
        <v>32</v>
      </c>
      <c r="W3" s="26" t="s">
        <v>32</v>
      </c>
      <c r="X3" s="30" t="s">
        <v>32</v>
      </c>
      <c r="Y3" s="30" t="s">
        <v>32</v>
      </c>
      <c r="Z3" s="30"/>
      <c r="AA3" s="33">
        <f>SUM(H3:Y3)</f>
        <v>0</v>
      </c>
      <c r="AB3" s="24"/>
      <c r="AC3" s="25">
        <v>45778</v>
      </c>
      <c r="AD3" s="26">
        <v>0</v>
      </c>
      <c r="AE3" s="26">
        <v>0</v>
      </c>
      <c r="AF3" s="27">
        <f t="shared" ref="AF3:AF33" si="1">BC3</f>
        <v>0</v>
      </c>
      <c r="AG3" s="28">
        <v>3478</v>
      </c>
      <c r="AH3" s="29">
        <v>0</v>
      </c>
      <c r="AI3" s="29">
        <v>5.25</v>
      </c>
      <c r="AJ3" s="30" t="s">
        <v>32</v>
      </c>
      <c r="AK3" s="30"/>
      <c r="AL3" s="31" t="s">
        <v>32</v>
      </c>
      <c r="AM3" s="30" t="s">
        <v>32</v>
      </c>
      <c r="AN3" s="30" t="s">
        <v>32</v>
      </c>
      <c r="AO3" s="30"/>
      <c r="AP3" s="30"/>
      <c r="AQ3" s="28"/>
      <c r="AR3" s="28" t="s">
        <v>32</v>
      </c>
      <c r="AS3" s="30" t="s">
        <v>32</v>
      </c>
      <c r="AT3" s="30" t="s">
        <v>32</v>
      </c>
      <c r="AU3" s="32" t="s">
        <v>32</v>
      </c>
      <c r="AV3" s="32" t="s">
        <v>32</v>
      </c>
      <c r="AW3" s="29" t="s">
        <v>32</v>
      </c>
      <c r="AX3" s="28" t="s">
        <v>32</v>
      </c>
      <c r="AY3" s="26" t="s">
        <v>32</v>
      </c>
      <c r="AZ3" s="30" t="s">
        <v>32</v>
      </c>
      <c r="BA3" s="30" t="s">
        <v>32</v>
      </c>
      <c r="BB3" s="30"/>
      <c r="BC3" s="33">
        <f>SUM(AJ3:BA3)</f>
        <v>0</v>
      </c>
      <c r="BD3" s="24"/>
      <c r="BE3" s="25">
        <v>45809</v>
      </c>
      <c r="BF3" s="26">
        <v>0</v>
      </c>
      <c r="BG3" s="26">
        <v>0</v>
      </c>
      <c r="BH3" s="27">
        <f t="shared" ref="BH3:BH33" si="2">CE3</f>
        <v>0</v>
      </c>
      <c r="BI3" s="28">
        <v>3085</v>
      </c>
      <c r="BJ3" s="29">
        <v>6044</v>
      </c>
      <c r="BK3" s="29">
        <v>12</v>
      </c>
      <c r="BL3" s="30" t="s">
        <v>32</v>
      </c>
      <c r="BM3" s="30"/>
      <c r="BN3" s="31" t="s">
        <v>32</v>
      </c>
      <c r="BO3" s="30" t="s">
        <v>32</v>
      </c>
      <c r="BP3" s="30" t="s">
        <v>32</v>
      </c>
      <c r="BQ3" s="30"/>
      <c r="BR3" s="30"/>
      <c r="BS3" s="28"/>
      <c r="BT3" s="28" t="s">
        <v>32</v>
      </c>
      <c r="BU3" s="30" t="s">
        <v>32</v>
      </c>
      <c r="BV3" s="30" t="s">
        <v>32</v>
      </c>
      <c r="BW3" s="32" t="s">
        <v>32</v>
      </c>
      <c r="BX3" s="32" t="s">
        <v>32</v>
      </c>
      <c r="BY3" s="29" t="s">
        <v>32</v>
      </c>
      <c r="BZ3" s="28" t="s">
        <v>32</v>
      </c>
      <c r="CA3" s="26" t="s">
        <v>32</v>
      </c>
      <c r="CB3" s="30" t="s">
        <v>32</v>
      </c>
      <c r="CC3" s="30" t="s">
        <v>32</v>
      </c>
      <c r="CD3" s="30"/>
      <c r="CE3" s="33">
        <f>SUM(BL3:CC3)</f>
        <v>0</v>
      </c>
      <c r="CF3" s="24"/>
      <c r="CG3" s="25">
        <v>45839</v>
      </c>
      <c r="CH3" s="26">
        <v>0</v>
      </c>
      <c r="CI3" s="26">
        <v>0</v>
      </c>
      <c r="CJ3" s="27">
        <f t="shared" ref="CJ3:CJ33" si="3">DG3</f>
        <v>0</v>
      </c>
      <c r="CK3" s="28">
        <v>2310</v>
      </c>
      <c r="CL3" s="29">
        <v>1963</v>
      </c>
      <c r="CM3" s="29">
        <v>9.5</v>
      </c>
      <c r="CN3" s="30" t="s">
        <v>32</v>
      </c>
      <c r="CO3" s="30"/>
      <c r="CP3" s="31" t="s">
        <v>32</v>
      </c>
      <c r="CQ3" s="30" t="s">
        <v>32</v>
      </c>
      <c r="CR3" s="30" t="s">
        <v>32</v>
      </c>
      <c r="CS3" s="30"/>
      <c r="CT3" s="30"/>
      <c r="CU3" s="28"/>
      <c r="CV3" s="28" t="s">
        <v>32</v>
      </c>
      <c r="CW3" s="30" t="s">
        <v>32</v>
      </c>
      <c r="CX3" s="30" t="s">
        <v>32</v>
      </c>
      <c r="CY3" s="32" t="s">
        <v>32</v>
      </c>
      <c r="CZ3" s="32" t="s">
        <v>32</v>
      </c>
      <c r="DA3" s="29" t="s">
        <v>32</v>
      </c>
      <c r="DB3" s="28" t="s">
        <v>32</v>
      </c>
      <c r="DC3" s="26" t="s">
        <v>32</v>
      </c>
      <c r="DD3" s="30" t="s">
        <v>32</v>
      </c>
      <c r="DE3" s="30" t="s">
        <v>32</v>
      </c>
      <c r="DF3" s="30"/>
      <c r="DG3" s="33">
        <f>SUM(CN3:DE3)</f>
        <v>0</v>
      </c>
      <c r="DH3" s="24"/>
      <c r="DI3" s="25">
        <v>45870</v>
      </c>
      <c r="DJ3" s="26">
        <v>0</v>
      </c>
      <c r="DK3" s="26">
        <v>0</v>
      </c>
      <c r="DL3" s="28">
        <v>2689</v>
      </c>
      <c r="DM3" s="29">
        <v>5149</v>
      </c>
      <c r="DN3" s="29">
        <v>8</v>
      </c>
      <c r="DO3" s="27">
        <f t="shared" ref="DO3:DO33" si="4">EI3</f>
        <v>0</v>
      </c>
      <c r="DP3" s="30" t="s">
        <v>32</v>
      </c>
      <c r="DQ3" s="30"/>
      <c r="DR3" s="31" t="s">
        <v>32</v>
      </c>
      <c r="DS3" s="30" t="s">
        <v>32</v>
      </c>
      <c r="DT3" s="30" t="s">
        <v>32</v>
      </c>
      <c r="DU3" s="30"/>
      <c r="DV3" s="30"/>
      <c r="DW3" s="28"/>
      <c r="DX3" s="28" t="s">
        <v>32</v>
      </c>
      <c r="DY3" s="30" t="s">
        <v>32</v>
      </c>
      <c r="DZ3" s="30" t="s">
        <v>32</v>
      </c>
      <c r="EA3" s="32" t="s">
        <v>32</v>
      </c>
      <c r="EB3" s="32" t="s">
        <v>32</v>
      </c>
      <c r="EC3" s="29" t="s">
        <v>32</v>
      </c>
      <c r="ED3" s="28" t="s">
        <v>32</v>
      </c>
      <c r="EE3" s="26" t="s">
        <v>32</v>
      </c>
      <c r="EF3" s="30" t="s">
        <v>32</v>
      </c>
      <c r="EG3" s="30" t="s">
        <v>32</v>
      </c>
      <c r="EH3" s="30"/>
      <c r="EI3" s="33">
        <f>SUM(DP3:EG3)</f>
        <v>0</v>
      </c>
      <c r="EJ3" s="24"/>
      <c r="EK3" s="25">
        <v>45901</v>
      </c>
      <c r="EL3" s="28">
        <v>2952</v>
      </c>
      <c r="EM3" s="28">
        <v>2638</v>
      </c>
      <c r="EN3" s="28">
        <v>4</v>
      </c>
      <c r="EO3" s="26">
        <v>0</v>
      </c>
      <c r="EP3" s="26">
        <v>0</v>
      </c>
      <c r="EQ3" s="27">
        <f t="shared" ref="EQ3:EQ33" si="5">FK3</f>
        <v>0</v>
      </c>
      <c r="ER3" s="30" t="s">
        <v>32</v>
      </c>
      <c r="ES3" s="30"/>
      <c r="ET3" s="31" t="s">
        <v>32</v>
      </c>
      <c r="EU3" s="30" t="s">
        <v>32</v>
      </c>
      <c r="EV3" s="30" t="s">
        <v>32</v>
      </c>
      <c r="EW3" s="30"/>
      <c r="EX3" s="30"/>
      <c r="EY3" s="28"/>
      <c r="EZ3" s="28" t="s">
        <v>32</v>
      </c>
      <c r="FA3" s="30" t="s">
        <v>32</v>
      </c>
      <c r="FB3" s="30" t="s">
        <v>32</v>
      </c>
      <c r="FC3" s="32" t="s">
        <v>32</v>
      </c>
      <c r="FD3" s="32" t="s">
        <v>32</v>
      </c>
      <c r="FE3" s="75" t="s">
        <v>32</v>
      </c>
      <c r="FF3" s="32" t="s">
        <v>32</v>
      </c>
      <c r="FG3" s="26" t="s">
        <v>32</v>
      </c>
      <c r="FH3" s="30" t="s">
        <v>32</v>
      </c>
      <c r="FI3" s="30" t="s">
        <v>32</v>
      </c>
      <c r="FJ3" s="30"/>
      <c r="FK3" s="33">
        <f>SUM(ER3:FI3)</f>
        <v>0</v>
      </c>
      <c r="FL3" s="24"/>
      <c r="FM3" s="25">
        <v>45931</v>
      </c>
      <c r="FN3" s="28">
        <v>4967</v>
      </c>
      <c r="FO3" s="75">
        <v>0</v>
      </c>
      <c r="FP3" s="75">
        <v>4</v>
      </c>
      <c r="FQ3" s="26">
        <v>0</v>
      </c>
      <c r="FR3" s="26">
        <v>0</v>
      </c>
      <c r="FS3" s="32">
        <f>SUM(FT2:GK2)</f>
        <v>0</v>
      </c>
      <c r="FT3" s="30" t="s">
        <v>32</v>
      </c>
      <c r="FU3" s="30"/>
      <c r="FV3" s="26" t="s">
        <v>32</v>
      </c>
      <c r="FW3" s="30" t="s">
        <v>32</v>
      </c>
      <c r="FX3" s="32" t="s">
        <v>32</v>
      </c>
      <c r="FY3" s="30"/>
      <c r="FZ3" s="30"/>
      <c r="GA3" s="28"/>
      <c r="GB3" s="28" t="s">
        <v>32</v>
      </c>
      <c r="GC3" s="82" t="s">
        <v>32</v>
      </c>
      <c r="GD3" s="30" t="s">
        <v>32</v>
      </c>
      <c r="GE3" s="32" t="s">
        <v>32</v>
      </c>
      <c r="GF3" s="32" t="s">
        <v>32</v>
      </c>
      <c r="GG3" s="29" t="s">
        <v>32</v>
      </c>
      <c r="GH3" s="28" t="s">
        <v>32</v>
      </c>
      <c r="GI3" s="26" t="s">
        <v>32</v>
      </c>
      <c r="GJ3" s="30" t="s">
        <v>32</v>
      </c>
      <c r="GK3" s="32" t="s">
        <v>32</v>
      </c>
      <c r="GL3" s="30"/>
      <c r="GM3" s="33">
        <f>SUM(FT3:GK3)</f>
        <v>0</v>
      </c>
      <c r="GN3" s="24"/>
      <c r="GO3" s="25">
        <v>45962</v>
      </c>
      <c r="GP3" s="28">
        <v>2752</v>
      </c>
      <c r="GQ3" s="75">
        <v>0</v>
      </c>
      <c r="GR3" s="75">
        <v>5.5</v>
      </c>
      <c r="GS3" s="26">
        <v>0</v>
      </c>
      <c r="GT3" s="26">
        <v>0</v>
      </c>
      <c r="GU3" s="32">
        <f t="shared" ref="GU3:GU32" si="6">HO3</f>
        <v>0</v>
      </c>
      <c r="GV3" s="30" t="s">
        <v>32</v>
      </c>
      <c r="GW3" s="28"/>
      <c r="GX3" s="26" t="s">
        <v>32</v>
      </c>
      <c r="GY3" s="30" t="s">
        <v>32</v>
      </c>
      <c r="GZ3" s="32" t="s">
        <v>32</v>
      </c>
      <c r="HA3" s="30"/>
      <c r="HB3" s="30"/>
      <c r="HC3" s="28"/>
      <c r="HD3" s="28" t="s">
        <v>32</v>
      </c>
      <c r="HE3" s="26" t="s">
        <v>32</v>
      </c>
      <c r="HF3" s="30" t="s">
        <v>32</v>
      </c>
      <c r="HG3" s="32" t="s">
        <v>32</v>
      </c>
      <c r="HH3" s="32" t="s">
        <v>32</v>
      </c>
      <c r="HI3" s="29" t="s">
        <v>32</v>
      </c>
      <c r="HJ3" s="32" t="s">
        <v>32</v>
      </c>
      <c r="HK3" s="26" t="s">
        <v>32</v>
      </c>
      <c r="HL3" s="26" t="s">
        <v>32</v>
      </c>
      <c r="HM3" s="82" t="s">
        <v>32</v>
      </c>
      <c r="HN3" s="82"/>
      <c r="HO3" s="33">
        <f>SUM(GV3:HM3)</f>
        <v>0</v>
      </c>
      <c r="HP3" s="24"/>
      <c r="HQ3" s="25">
        <v>45992</v>
      </c>
      <c r="HR3" s="28">
        <v>510</v>
      </c>
      <c r="HS3" s="75">
        <v>0</v>
      </c>
      <c r="HT3" s="75">
        <v>4</v>
      </c>
      <c r="HU3" s="26">
        <v>0</v>
      </c>
      <c r="HV3" s="26">
        <v>0</v>
      </c>
      <c r="HW3" s="32">
        <f t="shared" ref="HW3:HW33" si="7">SUM(HX3:IO3)</f>
        <v>0</v>
      </c>
      <c r="HX3" s="30" t="s">
        <v>32</v>
      </c>
      <c r="HY3" s="28"/>
      <c r="HZ3" s="26" t="s">
        <v>32</v>
      </c>
      <c r="IA3" s="30" t="s">
        <v>32</v>
      </c>
      <c r="IB3" s="32" t="s">
        <v>32</v>
      </c>
      <c r="IC3" s="75"/>
      <c r="ID3" s="30"/>
      <c r="IE3" s="28"/>
      <c r="IF3" s="28" t="s">
        <v>32</v>
      </c>
      <c r="IG3" s="26" t="s">
        <v>32</v>
      </c>
      <c r="IH3" s="30" t="s">
        <v>32</v>
      </c>
      <c r="II3" s="28" t="s">
        <v>32</v>
      </c>
      <c r="IJ3" s="28" t="s">
        <v>32</v>
      </c>
      <c r="IK3" s="75" t="s">
        <v>32</v>
      </c>
      <c r="IL3" s="32" t="s">
        <v>32</v>
      </c>
      <c r="IM3" s="26" t="s">
        <v>32</v>
      </c>
      <c r="IN3" s="26" t="s">
        <v>32</v>
      </c>
      <c r="IO3" s="82" t="s">
        <v>32</v>
      </c>
      <c r="IP3" s="82"/>
      <c r="IQ3" s="33">
        <f>SUM(HX3:IO3)</f>
        <v>0</v>
      </c>
      <c r="IR3" s="24"/>
      <c r="IS3" s="25">
        <v>46023</v>
      </c>
      <c r="IT3" s="28">
        <v>1100</v>
      </c>
      <c r="IU3" s="75">
        <v>2295</v>
      </c>
      <c r="IV3" s="75">
        <v>3.5</v>
      </c>
      <c r="IW3" s="26">
        <v>0</v>
      </c>
      <c r="IX3" s="26">
        <v>0</v>
      </c>
      <c r="IY3" s="32">
        <f t="shared" ref="IY3:IY33" si="8">SUM(IZ3:JQ3)</f>
        <v>0</v>
      </c>
      <c r="IZ3" s="30" t="s">
        <v>32</v>
      </c>
      <c r="JA3" s="30"/>
      <c r="JB3" s="26" t="s">
        <v>32</v>
      </c>
      <c r="JC3" s="30" t="s">
        <v>32</v>
      </c>
      <c r="JD3" s="32" t="s">
        <v>32</v>
      </c>
      <c r="JE3" s="30"/>
      <c r="JF3" s="30"/>
      <c r="JG3" s="28"/>
      <c r="JH3" s="28" t="s">
        <v>32</v>
      </c>
      <c r="JI3" s="82" t="s">
        <v>32</v>
      </c>
      <c r="JJ3" s="30" t="s">
        <v>32</v>
      </c>
      <c r="JK3" s="32" t="s">
        <v>32</v>
      </c>
      <c r="JL3" s="32" t="s">
        <v>32</v>
      </c>
      <c r="JM3" s="29" t="s">
        <v>32</v>
      </c>
      <c r="JN3" s="28" t="s">
        <v>32</v>
      </c>
      <c r="JO3" s="26" t="s">
        <v>32</v>
      </c>
      <c r="JP3" s="30" t="s">
        <v>32</v>
      </c>
      <c r="JQ3" s="32" t="s">
        <v>32</v>
      </c>
      <c r="JR3" s="30"/>
      <c r="JS3" s="33">
        <f>SUM(IZ3:JQ3)</f>
        <v>0</v>
      </c>
      <c r="JT3" s="24"/>
      <c r="JU3" s="25">
        <v>46054</v>
      </c>
      <c r="JV3" s="28">
        <v>4014</v>
      </c>
      <c r="JW3" s="75">
        <v>1965</v>
      </c>
      <c r="JX3" s="75">
        <v>5</v>
      </c>
      <c r="JY3" s="26">
        <v>0</v>
      </c>
      <c r="JZ3" s="26">
        <v>0</v>
      </c>
      <c r="KA3" s="32">
        <f t="shared" ref="KA3:KA33" si="9">SUM(KB3:KS3)</f>
        <v>0</v>
      </c>
      <c r="KB3" s="30" t="s">
        <v>32</v>
      </c>
      <c r="KC3" s="30"/>
      <c r="KD3" s="26" t="s">
        <v>32</v>
      </c>
      <c r="KE3" s="30" t="s">
        <v>32</v>
      </c>
      <c r="KF3" s="32" t="s">
        <v>32</v>
      </c>
      <c r="KG3" s="30"/>
      <c r="KH3" s="30"/>
      <c r="KI3" s="28"/>
      <c r="KJ3" s="28" t="s">
        <v>32</v>
      </c>
      <c r="KK3" s="82" t="s">
        <v>32</v>
      </c>
      <c r="KL3" s="30" t="s">
        <v>32</v>
      </c>
      <c r="KM3" s="32" t="s">
        <v>32</v>
      </c>
      <c r="KN3" s="32" t="s">
        <v>32</v>
      </c>
      <c r="KO3" s="29" t="s">
        <v>32</v>
      </c>
      <c r="KP3" s="28" t="s">
        <v>32</v>
      </c>
      <c r="KQ3" s="26" t="s">
        <v>32</v>
      </c>
      <c r="KR3" s="30" t="s">
        <v>32</v>
      </c>
      <c r="KS3" s="32" t="s">
        <v>32</v>
      </c>
      <c r="KT3" s="30"/>
      <c r="KU3" s="33">
        <f>SUM(KB3:KS3)</f>
        <v>0</v>
      </c>
      <c r="KV3" s="24"/>
      <c r="KW3" s="25">
        <v>46082</v>
      </c>
      <c r="KX3" s="28">
        <v>1249</v>
      </c>
      <c r="KY3" s="75">
        <v>0</v>
      </c>
      <c r="KZ3" s="75">
        <v>0</v>
      </c>
      <c r="LA3" s="26">
        <v>0</v>
      </c>
      <c r="LB3" s="26">
        <v>0</v>
      </c>
      <c r="LC3" s="32">
        <f t="shared" ref="LC3:LC33" si="10">SUM(LD3:LU3)</f>
        <v>0</v>
      </c>
      <c r="LD3" s="30" t="s">
        <v>32</v>
      </c>
      <c r="LE3" s="30"/>
      <c r="LF3" s="26" t="s">
        <v>32</v>
      </c>
      <c r="LG3" s="30" t="s">
        <v>32</v>
      </c>
      <c r="LH3" s="32" t="s">
        <v>32</v>
      </c>
      <c r="LI3" s="30"/>
      <c r="LJ3" s="30"/>
      <c r="LK3" s="28"/>
      <c r="LL3" s="28" t="s">
        <v>32</v>
      </c>
      <c r="LM3" s="82" t="s">
        <v>32</v>
      </c>
      <c r="LN3" s="30" t="s">
        <v>32</v>
      </c>
      <c r="LO3" s="32" t="s">
        <v>32</v>
      </c>
      <c r="LP3" s="32" t="s">
        <v>32</v>
      </c>
      <c r="LQ3" s="29" t="s">
        <v>32</v>
      </c>
      <c r="LR3" s="28" t="s">
        <v>32</v>
      </c>
      <c r="LS3" s="26" t="s">
        <v>32</v>
      </c>
      <c r="LT3" s="30" t="s">
        <v>32</v>
      </c>
      <c r="LU3" s="32" t="s">
        <v>32</v>
      </c>
      <c r="LV3" s="30"/>
      <c r="LW3" s="33">
        <f>SUM(LD3:LU3)</f>
        <v>0</v>
      </c>
      <c r="LX3" s="24"/>
    </row>
    <row r="4" spans="1:336" x14ac:dyDescent="0.3">
      <c r="A4" s="25">
        <v>45749</v>
      </c>
      <c r="B4" s="26">
        <v>0</v>
      </c>
      <c r="C4" s="26">
        <v>0</v>
      </c>
      <c r="D4" s="27">
        <f t="shared" si="0"/>
        <v>0</v>
      </c>
      <c r="E4" s="28">
        <v>4195</v>
      </c>
      <c r="F4" s="29">
        <v>2331</v>
      </c>
      <c r="G4" s="29">
        <v>4</v>
      </c>
      <c r="H4" s="34" t="s">
        <v>32</v>
      </c>
      <c r="I4" s="34"/>
      <c r="J4" s="31" t="s">
        <v>32</v>
      </c>
      <c r="K4" s="34" t="s">
        <v>32</v>
      </c>
      <c r="L4" s="32" t="s">
        <v>32</v>
      </c>
      <c r="M4" s="32"/>
      <c r="N4" s="34" t="s">
        <v>32</v>
      </c>
      <c r="O4" s="28" t="s">
        <v>32</v>
      </c>
      <c r="P4" s="28" t="s">
        <v>32</v>
      </c>
      <c r="Q4" s="34" t="s">
        <v>32</v>
      </c>
      <c r="R4" s="34" t="s">
        <v>32</v>
      </c>
      <c r="S4" s="32" t="s">
        <v>32</v>
      </c>
      <c r="T4" s="32" t="s">
        <v>32</v>
      </c>
      <c r="U4" s="29" t="s">
        <v>32</v>
      </c>
      <c r="V4" s="28"/>
      <c r="W4" s="26" t="s">
        <v>32</v>
      </c>
      <c r="X4" s="34" t="s">
        <v>32</v>
      </c>
      <c r="Y4" s="34" t="s">
        <v>32</v>
      </c>
      <c r="Z4" s="34" t="s">
        <v>32</v>
      </c>
      <c r="AA4" s="33">
        <f>SUM(H4:Y4)</f>
        <v>0</v>
      </c>
      <c r="AB4" s="24"/>
      <c r="AC4" s="25">
        <v>45779</v>
      </c>
      <c r="AD4" s="26">
        <v>2119</v>
      </c>
      <c r="AE4" s="26">
        <v>89700</v>
      </c>
      <c r="AF4" s="27">
        <f t="shared" si="1"/>
        <v>151535</v>
      </c>
      <c r="AG4" s="28">
        <v>2840</v>
      </c>
      <c r="AH4" s="29">
        <v>2189</v>
      </c>
      <c r="AI4" s="29">
        <v>7</v>
      </c>
      <c r="AJ4" s="34" t="s">
        <v>32</v>
      </c>
      <c r="AK4" s="34"/>
      <c r="AL4" s="31">
        <v>15000</v>
      </c>
      <c r="AM4" s="34" t="s">
        <v>32</v>
      </c>
      <c r="AN4" s="32" t="s">
        <v>32</v>
      </c>
      <c r="AO4" s="32">
        <v>7800</v>
      </c>
      <c r="AP4" s="34">
        <v>50000</v>
      </c>
      <c r="AQ4" s="28">
        <v>23360</v>
      </c>
      <c r="AR4" s="28" t="s">
        <v>32</v>
      </c>
      <c r="AS4" s="34">
        <v>2075</v>
      </c>
      <c r="AT4" s="34" t="s">
        <v>32</v>
      </c>
      <c r="AU4" s="32" t="s">
        <v>32</v>
      </c>
      <c r="AV4" s="32" t="s">
        <v>32</v>
      </c>
      <c r="AW4" s="29">
        <v>3100</v>
      </c>
      <c r="AX4" s="28"/>
      <c r="AY4" s="26">
        <v>50200</v>
      </c>
      <c r="AZ4" s="34" t="s">
        <v>123</v>
      </c>
      <c r="BA4" s="34" t="s">
        <v>32</v>
      </c>
      <c r="BB4" s="34" t="s">
        <v>32</v>
      </c>
      <c r="BC4" s="33">
        <f>SUM(AJ4:BA4)</f>
        <v>151535</v>
      </c>
      <c r="BD4" s="24"/>
      <c r="BE4" s="25">
        <v>45810</v>
      </c>
      <c r="BF4" s="26">
        <v>0</v>
      </c>
      <c r="BG4" s="26">
        <v>0</v>
      </c>
      <c r="BH4" s="27">
        <f t="shared" si="2"/>
        <v>81930</v>
      </c>
      <c r="BI4" s="28">
        <v>1682</v>
      </c>
      <c r="BJ4" s="29">
        <v>2631</v>
      </c>
      <c r="BK4" s="29">
        <v>5</v>
      </c>
      <c r="BL4" s="34" t="s">
        <v>32</v>
      </c>
      <c r="BM4" s="34"/>
      <c r="BN4" s="31">
        <v>30000</v>
      </c>
      <c r="BO4" s="34" t="s">
        <v>32</v>
      </c>
      <c r="BP4" s="32" t="s">
        <v>32</v>
      </c>
      <c r="BQ4" s="32"/>
      <c r="BR4" s="34">
        <v>45000</v>
      </c>
      <c r="BS4" s="28" t="s">
        <v>32</v>
      </c>
      <c r="BT4" s="28">
        <v>500</v>
      </c>
      <c r="BU4" s="34">
        <v>1430</v>
      </c>
      <c r="BV4" s="34" t="s">
        <v>32</v>
      </c>
      <c r="BW4" s="32" t="s">
        <v>32</v>
      </c>
      <c r="BX4" s="32" t="s">
        <v>32</v>
      </c>
      <c r="BY4" s="29">
        <v>5000</v>
      </c>
      <c r="BZ4" s="28" t="s">
        <v>40</v>
      </c>
      <c r="CA4" s="26" t="s">
        <v>32</v>
      </c>
      <c r="CB4" s="34" t="s">
        <v>32</v>
      </c>
      <c r="CC4" s="34" t="s">
        <v>32</v>
      </c>
      <c r="CD4" s="34" t="s">
        <v>32</v>
      </c>
      <c r="CE4" s="33">
        <f>SUM(BL4:CC4)</f>
        <v>81930</v>
      </c>
      <c r="CF4" s="24"/>
      <c r="CG4" s="25">
        <v>45840</v>
      </c>
      <c r="CH4" s="26">
        <v>0</v>
      </c>
      <c r="CI4" s="26">
        <v>0</v>
      </c>
      <c r="CJ4" s="27">
        <f t="shared" si="3"/>
        <v>0</v>
      </c>
      <c r="CK4" s="28">
        <v>1058</v>
      </c>
      <c r="CL4" s="29">
        <v>0</v>
      </c>
      <c r="CM4" s="29">
        <v>3.15</v>
      </c>
      <c r="CN4" s="34" t="s">
        <v>32</v>
      </c>
      <c r="CO4" s="34"/>
      <c r="CP4" s="31" t="s">
        <v>32</v>
      </c>
      <c r="CQ4" s="34" t="s">
        <v>32</v>
      </c>
      <c r="CR4" s="32" t="s">
        <v>32</v>
      </c>
      <c r="CS4" s="32"/>
      <c r="CT4" s="34" t="s">
        <v>32</v>
      </c>
      <c r="CU4" s="28" t="s">
        <v>32</v>
      </c>
      <c r="CV4" s="28" t="s">
        <v>32</v>
      </c>
      <c r="CW4" s="34" t="s">
        <v>32</v>
      </c>
      <c r="CX4" s="34" t="s">
        <v>32</v>
      </c>
      <c r="CY4" s="32" t="s">
        <v>32</v>
      </c>
      <c r="CZ4" s="32" t="s">
        <v>32</v>
      </c>
      <c r="DA4" s="29" t="s">
        <v>32</v>
      </c>
      <c r="DB4" s="28"/>
      <c r="DC4" s="26" t="s">
        <v>32</v>
      </c>
      <c r="DD4" s="34" t="s">
        <v>32</v>
      </c>
      <c r="DE4" s="34" t="s">
        <v>32</v>
      </c>
      <c r="DF4" s="34" t="s">
        <v>32</v>
      </c>
      <c r="DG4" s="33">
        <f>SUM(CN4:DE4)</f>
        <v>0</v>
      </c>
      <c r="DH4" s="24"/>
      <c r="DI4" s="25">
        <v>45871</v>
      </c>
      <c r="DJ4" s="26">
        <v>0</v>
      </c>
      <c r="DK4" s="26">
        <v>0</v>
      </c>
      <c r="DL4" s="28">
        <v>1448</v>
      </c>
      <c r="DM4" s="29">
        <v>3814</v>
      </c>
      <c r="DN4" s="29">
        <v>10</v>
      </c>
      <c r="DO4" s="27">
        <f t="shared" si="4"/>
        <v>0</v>
      </c>
      <c r="DP4" s="34" t="s">
        <v>32</v>
      </c>
      <c r="DQ4" s="34"/>
      <c r="DR4" s="31" t="s">
        <v>32</v>
      </c>
      <c r="DS4" s="34" t="s">
        <v>32</v>
      </c>
      <c r="DT4" s="32" t="s">
        <v>32</v>
      </c>
      <c r="DU4" s="32"/>
      <c r="DV4" s="34" t="s">
        <v>32</v>
      </c>
      <c r="DW4" s="28" t="s">
        <v>32</v>
      </c>
      <c r="DX4" s="28" t="s">
        <v>32</v>
      </c>
      <c r="DY4" s="34" t="s">
        <v>32</v>
      </c>
      <c r="DZ4" s="34" t="s">
        <v>32</v>
      </c>
      <c r="EA4" s="32" t="s">
        <v>32</v>
      </c>
      <c r="EB4" s="32" t="s">
        <v>32</v>
      </c>
      <c r="EC4" s="29" t="s">
        <v>32</v>
      </c>
      <c r="ED4" s="28"/>
      <c r="EE4" s="26" t="s">
        <v>32</v>
      </c>
      <c r="EF4" s="34" t="s">
        <v>32</v>
      </c>
      <c r="EG4" s="34" t="s">
        <v>32</v>
      </c>
      <c r="EH4" s="34" t="s">
        <v>32</v>
      </c>
      <c r="EI4" s="33">
        <f>SUM(DP4:EG4)</f>
        <v>0</v>
      </c>
      <c r="EJ4" s="24"/>
      <c r="EK4" s="25">
        <v>45902</v>
      </c>
      <c r="EL4" s="28">
        <v>2983</v>
      </c>
      <c r="EM4" s="28">
        <v>4114</v>
      </c>
      <c r="EN4" s="28">
        <v>6.25</v>
      </c>
      <c r="EO4" s="26">
        <v>0</v>
      </c>
      <c r="EP4" s="26">
        <v>0</v>
      </c>
      <c r="EQ4" s="27">
        <f t="shared" si="5"/>
        <v>163926</v>
      </c>
      <c r="ER4" s="34" t="s">
        <v>32</v>
      </c>
      <c r="ES4" s="34"/>
      <c r="ET4" s="31" t="s">
        <v>32</v>
      </c>
      <c r="EU4" s="34">
        <v>100000</v>
      </c>
      <c r="EV4" s="30" t="s">
        <v>32</v>
      </c>
      <c r="EW4" s="30"/>
      <c r="EX4" s="34" t="s">
        <v>32</v>
      </c>
      <c r="EY4" s="28">
        <v>28000</v>
      </c>
      <c r="EZ4" s="28" t="s">
        <v>32</v>
      </c>
      <c r="FA4" s="34">
        <v>1550</v>
      </c>
      <c r="FB4" s="34" t="s">
        <v>32</v>
      </c>
      <c r="FC4" s="32">
        <v>34376</v>
      </c>
      <c r="FD4" s="32" t="s">
        <v>140</v>
      </c>
      <c r="FE4" s="75" t="s">
        <v>32</v>
      </c>
      <c r="FF4" s="32"/>
      <c r="FG4" s="26" t="s">
        <v>32</v>
      </c>
      <c r="FH4" s="34" t="s">
        <v>32</v>
      </c>
      <c r="FI4" s="34" t="s">
        <v>32</v>
      </c>
      <c r="FJ4" s="34" t="s">
        <v>32</v>
      </c>
      <c r="FK4" s="33">
        <f>SUM(ER4:FI4)</f>
        <v>163926</v>
      </c>
      <c r="FL4" s="24"/>
      <c r="FM4" s="25">
        <v>45932</v>
      </c>
      <c r="FN4" s="28">
        <v>3701</v>
      </c>
      <c r="FO4" s="75">
        <v>0</v>
      </c>
      <c r="FP4" s="75">
        <v>4.75</v>
      </c>
      <c r="FQ4" s="26">
        <v>17062</v>
      </c>
      <c r="FR4" s="26">
        <v>883920</v>
      </c>
      <c r="FS4" s="32">
        <f t="shared" ref="FS4:FS23" si="11">SUM(FT4:GK4)</f>
        <v>45825</v>
      </c>
      <c r="FT4" s="34" t="s">
        <v>32</v>
      </c>
      <c r="FU4" s="34"/>
      <c r="FV4" s="26">
        <v>32800</v>
      </c>
      <c r="FW4" s="34" t="s">
        <v>32</v>
      </c>
      <c r="FX4" s="32" t="s">
        <v>32</v>
      </c>
      <c r="FY4" s="32"/>
      <c r="FZ4" s="34">
        <v>11900</v>
      </c>
      <c r="GA4" s="28" t="s">
        <v>32</v>
      </c>
      <c r="GB4" s="28" t="s">
        <v>32</v>
      </c>
      <c r="GC4" s="82">
        <v>1125</v>
      </c>
      <c r="GD4" s="34" t="s">
        <v>32</v>
      </c>
      <c r="GE4" s="32" t="s">
        <v>32</v>
      </c>
      <c r="GF4" s="32" t="s">
        <v>32</v>
      </c>
      <c r="GG4" s="29" t="s">
        <v>32</v>
      </c>
      <c r="GH4" s="28"/>
      <c r="GI4" s="26" t="s">
        <v>32</v>
      </c>
      <c r="GJ4" s="34" t="s">
        <v>32</v>
      </c>
      <c r="GK4" s="32" t="s">
        <v>32</v>
      </c>
      <c r="GL4" s="34" t="s">
        <v>32</v>
      </c>
      <c r="GM4" s="33">
        <f>SUM(FT4:GK4)</f>
        <v>45825</v>
      </c>
      <c r="GN4" s="24"/>
      <c r="GO4" s="25">
        <v>45963</v>
      </c>
      <c r="GP4" s="28">
        <v>3512</v>
      </c>
      <c r="GQ4" s="75">
        <v>1256</v>
      </c>
      <c r="GR4" s="75">
        <v>5.5</v>
      </c>
      <c r="GS4" s="26">
        <v>0</v>
      </c>
      <c r="GT4" s="26">
        <v>0</v>
      </c>
      <c r="GU4" s="32">
        <f t="shared" si="6"/>
        <v>0</v>
      </c>
      <c r="GV4" s="34" t="s">
        <v>32</v>
      </c>
      <c r="GW4" s="28"/>
      <c r="GX4" s="26" t="s">
        <v>32</v>
      </c>
      <c r="GY4" s="34" t="s">
        <v>32</v>
      </c>
      <c r="GZ4" s="32" t="s">
        <v>32</v>
      </c>
      <c r="HA4" s="32"/>
      <c r="HB4" s="34" t="s">
        <v>32</v>
      </c>
      <c r="HC4" s="28" t="s">
        <v>32</v>
      </c>
      <c r="HD4" s="28" t="s">
        <v>32</v>
      </c>
      <c r="HE4" s="26" t="s">
        <v>32</v>
      </c>
      <c r="HF4" s="34" t="s">
        <v>32</v>
      </c>
      <c r="HG4" s="32" t="s">
        <v>32</v>
      </c>
      <c r="HH4" s="32" t="s">
        <v>32</v>
      </c>
      <c r="HI4" s="29" t="s">
        <v>32</v>
      </c>
      <c r="HJ4" s="32"/>
      <c r="HK4" s="26" t="s">
        <v>32</v>
      </c>
      <c r="HL4" s="26" t="s">
        <v>32</v>
      </c>
      <c r="HM4" s="82" t="s">
        <v>32</v>
      </c>
      <c r="HN4" s="82" t="s">
        <v>32</v>
      </c>
      <c r="HO4" s="33">
        <f>SUM(GV4:HM4)</f>
        <v>0</v>
      </c>
      <c r="HP4" s="24"/>
      <c r="HQ4" s="25">
        <v>45993</v>
      </c>
      <c r="HR4" s="28">
        <v>2437</v>
      </c>
      <c r="HS4" s="75">
        <v>5109</v>
      </c>
      <c r="HT4" s="75">
        <v>9</v>
      </c>
      <c r="HU4" s="26">
        <v>406</v>
      </c>
      <c r="HV4" s="26">
        <v>24375</v>
      </c>
      <c r="HW4" s="32">
        <f t="shared" si="7"/>
        <v>140969</v>
      </c>
      <c r="HX4" s="30" t="s">
        <v>32</v>
      </c>
      <c r="HY4" s="28"/>
      <c r="HZ4" s="26">
        <v>89325</v>
      </c>
      <c r="IA4" s="30">
        <v>50000</v>
      </c>
      <c r="IB4" s="32" t="s">
        <v>32</v>
      </c>
      <c r="IC4" s="75"/>
      <c r="ID4" s="30" t="s">
        <v>32</v>
      </c>
      <c r="IE4" s="28" t="s">
        <v>32</v>
      </c>
      <c r="IF4" s="28">
        <v>500</v>
      </c>
      <c r="IG4" s="26">
        <v>1144</v>
      </c>
      <c r="IH4" s="30" t="s">
        <v>32</v>
      </c>
      <c r="II4" s="28" t="s">
        <v>32</v>
      </c>
      <c r="IJ4" s="28" t="s">
        <v>32</v>
      </c>
      <c r="IK4" s="75" t="s">
        <v>32</v>
      </c>
      <c r="IL4" s="32"/>
      <c r="IM4" s="26" t="s">
        <v>32</v>
      </c>
      <c r="IN4" s="26" t="s">
        <v>32</v>
      </c>
      <c r="IO4" s="82" t="s">
        <v>32</v>
      </c>
      <c r="IP4" s="82" t="s">
        <v>32</v>
      </c>
      <c r="IQ4" s="33">
        <f>SUM(HX4:IO4)</f>
        <v>140969</v>
      </c>
      <c r="IR4" s="24"/>
      <c r="IS4" s="25">
        <v>46024</v>
      </c>
      <c r="IT4" s="28">
        <v>2839</v>
      </c>
      <c r="IU4" s="75">
        <v>2299</v>
      </c>
      <c r="IV4" s="75">
        <v>9.5</v>
      </c>
      <c r="IW4" s="26">
        <v>0</v>
      </c>
      <c r="IX4" s="26">
        <v>0</v>
      </c>
      <c r="IY4" s="32">
        <f t="shared" si="8"/>
        <v>0</v>
      </c>
      <c r="IZ4" s="34" t="s">
        <v>32</v>
      </c>
      <c r="JA4" s="34"/>
      <c r="JB4" s="26" t="s">
        <v>32</v>
      </c>
      <c r="JC4" s="34" t="s">
        <v>32</v>
      </c>
      <c r="JD4" s="32" t="s">
        <v>32</v>
      </c>
      <c r="JE4" s="32"/>
      <c r="JF4" s="34" t="s">
        <v>32</v>
      </c>
      <c r="JG4" s="28" t="s">
        <v>32</v>
      </c>
      <c r="JH4" s="28" t="s">
        <v>32</v>
      </c>
      <c r="JI4" s="82" t="s">
        <v>32</v>
      </c>
      <c r="JJ4" s="34" t="s">
        <v>32</v>
      </c>
      <c r="JK4" s="32" t="s">
        <v>32</v>
      </c>
      <c r="JL4" s="32" t="s">
        <v>32</v>
      </c>
      <c r="JM4" s="29" t="s">
        <v>32</v>
      </c>
      <c r="JN4" s="28"/>
      <c r="JO4" s="26" t="s">
        <v>32</v>
      </c>
      <c r="JP4" s="34" t="s">
        <v>32</v>
      </c>
      <c r="JQ4" s="32" t="s">
        <v>32</v>
      </c>
      <c r="JR4" s="34" t="s">
        <v>32</v>
      </c>
      <c r="JS4" s="33">
        <f>SUM(IZ4:JQ4)</f>
        <v>0</v>
      </c>
      <c r="JT4" s="24"/>
      <c r="JU4" s="25">
        <v>46055</v>
      </c>
      <c r="JV4" s="28">
        <v>3961</v>
      </c>
      <c r="JW4" s="75">
        <v>2617</v>
      </c>
      <c r="JX4" s="75">
        <v>4</v>
      </c>
      <c r="JY4" s="26">
        <v>2830</v>
      </c>
      <c r="JZ4" s="26">
        <v>136530</v>
      </c>
      <c r="KA4" s="32">
        <f t="shared" si="9"/>
        <v>188515</v>
      </c>
      <c r="KB4" s="34" t="s">
        <v>32</v>
      </c>
      <c r="KC4" s="34"/>
      <c r="KD4" s="26">
        <v>100000</v>
      </c>
      <c r="KE4" s="34" t="s">
        <v>32</v>
      </c>
      <c r="KF4" s="32">
        <v>7600</v>
      </c>
      <c r="KG4" s="32">
        <v>80000</v>
      </c>
      <c r="KH4" s="34" t="s">
        <v>32</v>
      </c>
      <c r="KI4" s="28" t="s">
        <v>32</v>
      </c>
      <c r="KJ4" s="28" t="s">
        <v>32</v>
      </c>
      <c r="KK4" s="82">
        <v>915</v>
      </c>
      <c r="KL4" s="34" t="s">
        <v>32</v>
      </c>
      <c r="KM4" s="32" t="s">
        <v>32</v>
      </c>
      <c r="KN4" s="32" t="s">
        <v>32</v>
      </c>
      <c r="KO4" s="29" t="s">
        <v>32</v>
      </c>
      <c r="KP4" s="28"/>
      <c r="KQ4" s="26" t="s">
        <v>32</v>
      </c>
      <c r="KR4" s="34" t="s">
        <v>32</v>
      </c>
      <c r="KS4" s="32" t="s">
        <v>32</v>
      </c>
      <c r="KT4" s="34" t="s">
        <v>32</v>
      </c>
      <c r="KU4" s="33">
        <f>SUM(KB4:KS4)</f>
        <v>188515</v>
      </c>
      <c r="KV4" s="24"/>
      <c r="KW4" s="25">
        <v>46083</v>
      </c>
      <c r="KX4" s="28">
        <v>0</v>
      </c>
      <c r="KY4" s="75">
        <v>0</v>
      </c>
      <c r="KZ4" s="75">
        <v>0</v>
      </c>
      <c r="LA4" s="26">
        <v>0</v>
      </c>
      <c r="LB4" s="26">
        <v>0</v>
      </c>
      <c r="LC4" s="32">
        <f t="shared" si="10"/>
        <v>0</v>
      </c>
      <c r="LD4" s="34" t="s">
        <v>32</v>
      </c>
      <c r="LE4" s="34"/>
      <c r="LF4" s="26" t="s">
        <v>32</v>
      </c>
      <c r="LG4" s="34" t="s">
        <v>32</v>
      </c>
      <c r="LH4" s="32" t="s">
        <v>32</v>
      </c>
      <c r="LI4" s="32"/>
      <c r="LJ4" s="34" t="s">
        <v>32</v>
      </c>
      <c r="LK4" s="28" t="s">
        <v>32</v>
      </c>
      <c r="LL4" s="28" t="s">
        <v>32</v>
      </c>
      <c r="LM4" s="82" t="s">
        <v>32</v>
      </c>
      <c r="LN4" s="34" t="s">
        <v>32</v>
      </c>
      <c r="LO4" s="32" t="s">
        <v>32</v>
      </c>
      <c r="LP4" s="32" t="s">
        <v>32</v>
      </c>
      <c r="LQ4" s="29" t="s">
        <v>32</v>
      </c>
      <c r="LR4" s="28"/>
      <c r="LS4" s="26" t="s">
        <v>32</v>
      </c>
      <c r="LT4" s="34" t="s">
        <v>32</v>
      </c>
      <c r="LU4" s="32" t="s">
        <v>32</v>
      </c>
      <c r="LV4" s="34" t="s">
        <v>32</v>
      </c>
      <c r="LW4" s="33">
        <f>SUM(LD4:LU4)</f>
        <v>0</v>
      </c>
      <c r="LX4" s="24"/>
    </row>
    <row r="5" spans="1:336" x14ac:dyDescent="0.3">
      <c r="A5" s="25">
        <v>45750</v>
      </c>
      <c r="B5" s="26">
        <v>30</v>
      </c>
      <c r="C5" s="26">
        <v>1300</v>
      </c>
      <c r="D5" s="27">
        <f t="shared" si="0"/>
        <v>209225</v>
      </c>
      <c r="E5" s="28">
        <v>2475</v>
      </c>
      <c r="F5" s="29">
        <v>6971</v>
      </c>
      <c r="G5" s="29">
        <v>11</v>
      </c>
      <c r="H5" s="34" t="s">
        <v>32</v>
      </c>
      <c r="I5" s="34"/>
      <c r="J5" s="31">
        <v>40000</v>
      </c>
      <c r="K5" s="34">
        <v>159150</v>
      </c>
      <c r="L5" s="32">
        <v>5900</v>
      </c>
      <c r="M5" s="32"/>
      <c r="N5" s="34" t="s">
        <v>32</v>
      </c>
      <c r="O5" s="28">
        <v>500</v>
      </c>
      <c r="P5" s="28" t="s">
        <v>32</v>
      </c>
      <c r="Q5" s="34">
        <v>1905</v>
      </c>
      <c r="R5" s="34" t="s">
        <v>32</v>
      </c>
      <c r="S5" s="32">
        <v>1770</v>
      </c>
      <c r="T5" s="32" t="s">
        <v>51</v>
      </c>
      <c r="U5" s="29" t="s">
        <v>32</v>
      </c>
      <c r="V5" s="28" t="s">
        <v>32</v>
      </c>
      <c r="W5" s="26" t="s">
        <v>32</v>
      </c>
      <c r="X5" s="34" t="s">
        <v>32</v>
      </c>
      <c r="Y5" s="34" t="s">
        <v>32</v>
      </c>
      <c r="Z5" s="34" t="s">
        <v>32</v>
      </c>
      <c r="AA5" s="33">
        <f>SUM(H5:Z5)</f>
        <v>209225</v>
      </c>
      <c r="AB5" s="24"/>
      <c r="AC5" s="25">
        <v>45780</v>
      </c>
      <c r="AD5" s="26">
        <v>0</v>
      </c>
      <c r="AE5" s="26">
        <v>0</v>
      </c>
      <c r="AF5" s="27">
        <f t="shared" si="1"/>
        <v>0</v>
      </c>
      <c r="AG5" s="28">
        <v>1665</v>
      </c>
      <c r="AH5" s="29">
        <v>2335</v>
      </c>
      <c r="AI5" s="29">
        <v>5</v>
      </c>
      <c r="AJ5" s="34" t="s">
        <v>32</v>
      </c>
      <c r="AK5" s="34"/>
      <c r="AL5" s="31" t="s">
        <v>32</v>
      </c>
      <c r="AM5" s="34" t="s">
        <v>32</v>
      </c>
      <c r="AN5" s="32" t="s">
        <v>32</v>
      </c>
      <c r="AO5" s="32"/>
      <c r="AP5" s="34" t="s">
        <v>32</v>
      </c>
      <c r="AQ5" s="28" t="s">
        <v>32</v>
      </c>
      <c r="AR5" s="28" t="s">
        <v>32</v>
      </c>
      <c r="AS5" s="34" t="s">
        <v>32</v>
      </c>
      <c r="AT5" s="34" t="s">
        <v>32</v>
      </c>
      <c r="AU5" s="32" t="s">
        <v>32</v>
      </c>
      <c r="AV5" s="32" t="s">
        <v>32</v>
      </c>
      <c r="AW5" s="29" t="s">
        <v>32</v>
      </c>
      <c r="AX5" s="28" t="s">
        <v>32</v>
      </c>
      <c r="AY5" s="26" t="s">
        <v>32</v>
      </c>
      <c r="AZ5" s="34" t="s">
        <v>32</v>
      </c>
      <c r="BA5" s="34" t="s">
        <v>32</v>
      </c>
      <c r="BB5" s="34" t="s">
        <v>32</v>
      </c>
      <c r="BC5" s="33">
        <f>SUM(AJ5:BB5)</f>
        <v>0</v>
      </c>
      <c r="BD5" s="24"/>
      <c r="BE5" s="25">
        <v>45811</v>
      </c>
      <c r="BF5" s="26">
        <v>0</v>
      </c>
      <c r="BG5" s="26">
        <v>0</v>
      </c>
      <c r="BH5" s="27">
        <f t="shared" si="2"/>
        <v>0</v>
      </c>
      <c r="BI5" s="28">
        <v>0</v>
      </c>
      <c r="BJ5" s="29">
        <v>3402</v>
      </c>
      <c r="BK5" s="29">
        <v>6.5</v>
      </c>
      <c r="BL5" s="34" t="s">
        <v>32</v>
      </c>
      <c r="BM5" s="34"/>
      <c r="BN5" s="31" t="s">
        <v>32</v>
      </c>
      <c r="BO5" s="34" t="s">
        <v>32</v>
      </c>
      <c r="BP5" s="32" t="s">
        <v>32</v>
      </c>
      <c r="BQ5" s="32"/>
      <c r="BR5" s="34" t="s">
        <v>32</v>
      </c>
      <c r="BS5" s="28" t="s">
        <v>32</v>
      </c>
      <c r="BT5" s="28" t="s">
        <v>32</v>
      </c>
      <c r="BU5" s="34" t="s">
        <v>32</v>
      </c>
      <c r="BV5" s="34" t="s">
        <v>32</v>
      </c>
      <c r="BW5" s="32" t="s">
        <v>32</v>
      </c>
      <c r="BX5" s="32" t="s">
        <v>32</v>
      </c>
      <c r="BY5" s="29" t="s">
        <v>32</v>
      </c>
      <c r="BZ5" s="28" t="s">
        <v>32</v>
      </c>
      <c r="CA5" s="26" t="s">
        <v>32</v>
      </c>
      <c r="CB5" s="34" t="s">
        <v>32</v>
      </c>
      <c r="CC5" s="34" t="s">
        <v>32</v>
      </c>
      <c r="CD5" s="34" t="s">
        <v>32</v>
      </c>
      <c r="CE5" s="33">
        <f>SUM(BL5:CD5)</f>
        <v>0</v>
      </c>
      <c r="CF5" s="24"/>
      <c r="CG5" s="25">
        <v>45841</v>
      </c>
      <c r="CH5" s="26">
        <v>0</v>
      </c>
      <c r="CI5" s="26">
        <v>0</v>
      </c>
      <c r="CJ5" s="27">
        <f t="shared" si="3"/>
        <v>328757</v>
      </c>
      <c r="CK5" s="28">
        <v>1477</v>
      </c>
      <c r="CL5" s="29">
        <v>1852</v>
      </c>
      <c r="CM5" s="29">
        <v>5.5</v>
      </c>
      <c r="CN5" s="34" t="s">
        <v>32</v>
      </c>
      <c r="CO5" s="34"/>
      <c r="CP5" s="31" t="s">
        <v>32</v>
      </c>
      <c r="CQ5" s="34">
        <v>1500</v>
      </c>
      <c r="CR5" s="32" t="s">
        <v>32</v>
      </c>
      <c r="CS5" s="32"/>
      <c r="CT5" s="34" t="s">
        <v>32</v>
      </c>
      <c r="CU5" s="28">
        <v>450</v>
      </c>
      <c r="CV5" s="28" t="s">
        <v>32</v>
      </c>
      <c r="CW5" s="34">
        <v>5255</v>
      </c>
      <c r="CX5" s="34">
        <v>859</v>
      </c>
      <c r="CY5" s="32">
        <v>268493</v>
      </c>
      <c r="CZ5" s="32" t="s">
        <v>133</v>
      </c>
      <c r="DA5" s="29" t="s">
        <v>32</v>
      </c>
      <c r="DB5" s="28" t="s">
        <v>32</v>
      </c>
      <c r="DC5" s="26">
        <v>50000</v>
      </c>
      <c r="DD5" s="34" t="s">
        <v>93</v>
      </c>
      <c r="DE5" s="34">
        <v>2200</v>
      </c>
      <c r="DF5" s="34" t="s">
        <v>134</v>
      </c>
      <c r="DG5" s="33">
        <f>SUM(CN5:DF5)</f>
        <v>328757</v>
      </c>
      <c r="DH5" s="24"/>
      <c r="DI5" s="25">
        <v>45872</v>
      </c>
      <c r="DJ5" s="26">
        <v>14997</v>
      </c>
      <c r="DK5" s="26">
        <v>536697</v>
      </c>
      <c r="DL5" s="28">
        <v>3206</v>
      </c>
      <c r="DM5" s="29">
        <v>5074</v>
      </c>
      <c r="DN5" s="29">
        <v>8.25</v>
      </c>
      <c r="DO5" s="27">
        <f t="shared" si="4"/>
        <v>279577</v>
      </c>
      <c r="DP5" s="34" t="s">
        <v>32</v>
      </c>
      <c r="DQ5" s="34"/>
      <c r="DR5" s="31">
        <v>92700</v>
      </c>
      <c r="DS5" s="34">
        <v>125000</v>
      </c>
      <c r="DT5" s="32" t="s">
        <v>32</v>
      </c>
      <c r="DU5" s="32"/>
      <c r="DV5" s="34">
        <v>17300</v>
      </c>
      <c r="DW5" s="28" t="s">
        <v>32</v>
      </c>
      <c r="DX5" s="28">
        <v>750</v>
      </c>
      <c r="DY5" s="34">
        <v>3725</v>
      </c>
      <c r="DZ5" s="34" t="s">
        <v>32</v>
      </c>
      <c r="EA5" s="32">
        <v>33502</v>
      </c>
      <c r="EB5" s="32" t="s">
        <v>85</v>
      </c>
      <c r="EC5" s="29">
        <v>2500</v>
      </c>
      <c r="ED5" s="28" t="s">
        <v>32</v>
      </c>
      <c r="EE5" s="26">
        <v>4100</v>
      </c>
      <c r="EF5" s="34" t="s">
        <v>40</v>
      </c>
      <c r="EG5" s="34" t="s">
        <v>32</v>
      </c>
      <c r="EH5" s="34" t="s">
        <v>32</v>
      </c>
      <c r="EI5" s="33">
        <f>SUM(DP5:EH5)</f>
        <v>279577</v>
      </c>
      <c r="EJ5" s="24"/>
      <c r="EK5" s="25">
        <v>45903</v>
      </c>
      <c r="EL5" s="28">
        <v>0</v>
      </c>
      <c r="EM5" s="28">
        <v>2073</v>
      </c>
      <c r="EN5" s="28">
        <v>7.5</v>
      </c>
      <c r="EO5" s="26">
        <v>0</v>
      </c>
      <c r="EP5" s="26">
        <v>0</v>
      </c>
      <c r="EQ5" s="27">
        <f t="shared" si="5"/>
        <v>0</v>
      </c>
      <c r="ER5" s="34" t="s">
        <v>32</v>
      </c>
      <c r="ES5" s="34"/>
      <c r="ET5" s="31" t="s">
        <v>32</v>
      </c>
      <c r="EU5" s="34" t="s">
        <v>32</v>
      </c>
      <c r="EV5" s="30" t="s">
        <v>32</v>
      </c>
      <c r="EW5" s="30"/>
      <c r="EX5" s="34" t="s">
        <v>32</v>
      </c>
      <c r="EY5" s="28" t="s">
        <v>32</v>
      </c>
      <c r="EZ5" s="28" t="s">
        <v>32</v>
      </c>
      <c r="FA5" s="34" t="s">
        <v>32</v>
      </c>
      <c r="FB5" s="34" t="s">
        <v>32</v>
      </c>
      <c r="FC5" s="32" t="s">
        <v>32</v>
      </c>
      <c r="FD5" s="32" t="s">
        <v>32</v>
      </c>
      <c r="FE5" s="75" t="s">
        <v>32</v>
      </c>
      <c r="FF5" s="32" t="s">
        <v>32</v>
      </c>
      <c r="FG5" s="26" t="s">
        <v>32</v>
      </c>
      <c r="FH5" s="34" t="s">
        <v>32</v>
      </c>
      <c r="FI5" s="34" t="s">
        <v>32</v>
      </c>
      <c r="FJ5" s="34" t="s">
        <v>32</v>
      </c>
      <c r="FK5" s="33">
        <f>SUM(ER5:FJ5)</f>
        <v>0</v>
      </c>
      <c r="FL5" s="24"/>
      <c r="FM5" s="25">
        <v>45933</v>
      </c>
      <c r="FN5" s="28">
        <v>192</v>
      </c>
      <c r="FO5" s="75">
        <v>0</v>
      </c>
      <c r="FP5" s="75">
        <v>0</v>
      </c>
      <c r="FQ5" s="26">
        <v>0</v>
      </c>
      <c r="FR5" s="26">
        <v>0</v>
      </c>
      <c r="FS5" s="32">
        <f t="shared" si="11"/>
        <v>0</v>
      </c>
      <c r="FT5" s="34" t="s">
        <v>32</v>
      </c>
      <c r="FU5" s="34"/>
      <c r="FV5" s="26" t="s">
        <v>32</v>
      </c>
      <c r="FW5" s="34" t="s">
        <v>32</v>
      </c>
      <c r="FX5" s="32" t="s">
        <v>32</v>
      </c>
      <c r="FY5" s="32"/>
      <c r="FZ5" s="34" t="s">
        <v>32</v>
      </c>
      <c r="GA5" s="28" t="s">
        <v>32</v>
      </c>
      <c r="GB5" s="28" t="s">
        <v>32</v>
      </c>
      <c r="GC5" s="82" t="s">
        <v>32</v>
      </c>
      <c r="GD5" s="34" t="s">
        <v>32</v>
      </c>
      <c r="GE5" s="32" t="s">
        <v>32</v>
      </c>
      <c r="GF5" s="32" t="s">
        <v>32</v>
      </c>
      <c r="GG5" s="29" t="s">
        <v>32</v>
      </c>
      <c r="GH5" s="28" t="s">
        <v>32</v>
      </c>
      <c r="GI5" s="26" t="s">
        <v>32</v>
      </c>
      <c r="GJ5" s="34" t="s">
        <v>32</v>
      </c>
      <c r="GK5" s="32" t="s">
        <v>32</v>
      </c>
      <c r="GL5" s="34" t="s">
        <v>32</v>
      </c>
      <c r="GM5" s="33">
        <f>SUM(FT5:GL5)</f>
        <v>0</v>
      </c>
      <c r="GN5" s="24"/>
      <c r="GO5" s="25">
        <v>45964</v>
      </c>
      <c r="GP5" s="28">
        <v>3254</v>
      </c>
      <c r="GQ5" s="75">
        <v>2400</v>
      </c>
      <c r="GR5" s="75">
        <v>7</v>
      </c>
      <c r="GS5" s="26">
        <v>0</v>
      </c>
      <c r="GT5" s="26">
        <v>0</v>
      </c>
      <c r="GU5" s="32">
        <f t="shared" si="6"/>
        <v>0</v>
      </c>
      <c r="GV5" s="34" t="s">
        <v>32</v>
      </c>
      <c r="GW5" s="28"/>
      <c r="GX5" s="26" t="s">
        <v>32</v>
      </c>
      <c r="GY5" s="34" t="s">
        <v>32</v>
      </c>
      <c r="GZ5" s="32" t="s">
        <v>32</v>
      </c>
      <c r="HA5" s="32"/>
      <c r="HB5" s="34" t="s">
        <v>32</v>
      </c>
      <c r="HC5" s="28" t="s">
        <v>32</v>
      </c>
      <c r="HD5" s="28" t="s">
        <v>32</v>
      </c>
      <c r="HE5" s="26" t="s">
        <v>32</v>
      </c>
      <c r="HF5" s="34" t="s">
        <v>32</v>
      </c>
      <c r="HG5" s="32" t="s">
        <v>32</v>
      </c>
      <c r="HH5" s="32" t="s">
        <v>32</v>
      </c>
      <c r="HI5" s="29" t="s">
        <v>32</v>
      </c>
      <c r="HJ5" s="32" t="s">
        <v>32</v>
      </c>
      <c r="HK5" s="26" t="s">
        <v>32</v>
      </c>
      <c r="HL5" s="26" t="s">
        <v>32</v>
      </c>
      <c r="HM5" s="82" t="s">
        <v>32</v>
      </c>
      <c r="HN5" s="82" t="s">
        <v>32</v>
      </c>
      <c r="HO5" s="33">
        <f>SUM(GV5:HN5)</f>
        <v>0</v>
      </c>
      <c r="HP5" s="24"/>
      <c r="HQ5" s="25">
        <v>45994</v>
      </c>
      <c r="HR5" s="28">
        <v>2333</v>
      </c>
      <c r="HS5" s="75">
        <v>1365</v>
      </c>
      <c r="HT5" s="75">
        <v>7.75</v>
      </c>
      <c r="HU5" s="26">
        <v>0</v>
      </c>
      <c r="HV5" s="26">
        <v>0</v>
      </c>
      <c r="HW5" s="32">
        <f t="shared" si="7"/>
        <v>0</v>
      </c>
      <c r="HX5" s="30" t="s">
        <v>32</v>
      </c>
      <c r="HY5" s="28"/>
      <c r="HZ5" s="26" t="s">
        <v>32</v>
      </c>
      <c r="IA5" s="30" t="s">
        <v>32</v>
      </c>
      <c r="IB5" s="32" t="s">
        <v>32</v>
      </c>
      <c r="IC5" s="75"/>
      <c r="ID5" s="30" t="s">
        <v>32</v>
      </c>
      <c r="IE5" s="28" t="s">
        <v>32</v>
      </c>
      <c r="IF5" s="28" t="s">
        <v>32</v>
      </c>
      <c r="IG5" s="26" t="s">
        <v>32</v>
      </c>
      <c r="IH5" s="30" t="s">
        <v>32</v>
      </c>
      <c r="II5" s="28" t="s">
        <v>32</v>
      </c>
      <c r="IJ5" s="28" t="s">
        <v>32</v>
      </c>
      <c r="IK5" s="75" t="s">
        <v>32</v>
      </c>
      <c r="IL5" s="32" t="s">
        <v>32</v>
      </c>
      <c r="IM5" s="26" t="s">
        <v>32</v>
      </c>
      <c r="IN5" s="26" t="s">
        <v>32</v>
      </c>
      <c r="IO5" s="82" t="s">
        <v>32</v>
      </c>
      <c r="IP5" s="82" t="s">
        <v>32</v>
      </c>
      <c r="IQ5" s="33">
        <f>SUM(HX5:IP5)</f>
        <v>0</v>
      </c>
      <c r="IR5" s="24"/>
      <c r="IS5" s="25">
        <v>46025</v>
      </c>
      <c r="IT5" s="28">
        <v>1354</v>
      </c>
      <c r="IU5" s="75">
        <v>1224</v>
      </c>
      <c r="IV5" s="75">
        <v>9.5</v>
      </c>
      <c r="IW5" s="26">
        <v>31002</v>
      </c>
      <c r="IX5" s="26">
        <v>1939707</v>
      </c>
      <c r="IY5" s="32">
        <f t="shared" si="8"/>
        <v>255957</v>
      </c>
      <c r="IZ5" s="34" t="s">
        <v>32</v>
      </c>
      <c r="JA5" s="34"/>
      <c r="JB5" s="26">
        <v>150000</v>
      </c>
      <c r="JC5" s="34">
        <v>150</v>
      </c>
      <c r="JD5" s="32">
        <v>1830</v>
      </c>
      <c r="JE5" s="32">
        <v>64600</v>
      </c>
      <c r="JF5" s="34" t="s">
        <v>32</v>
      </c>
      <c r="JG5" s="28" t="s">
        <v>32</v>
      </c>
      <c r="JH5" s="28">
        <v>500</v>
      </c>
      <c r="JI5" s="82">
        <v>4190</v>
      </c>
      <c r="JJ5" s="34" t="s">
        <v>32</v>
      </c>
      <c r="JK5" s="32">
        <v>34687</v>
      </c>
      <c r="JL5" s="32" t="s">
        <v>85</v>
      </c>
      <c r="JM5" s="29" t="s">
        <v>32</v>
      </c>
      <c r="JN5" s="28" t="s">
        <v>32</v>
      </c>
      <c r="JO5" s="26" t="s">
        <v>32</v>
      </c>
      <c r="JP5" s="34" t="s">
        <v>32</v>
      </c>
      <c r="JQ5" s="32" t="s">
        <v>32</v>
      </c>
      <c r="JR5" s="34" t="s">
        <v>32</v>
      </c>
      <c r="JS5" s="33">
        <f>SUM(IZ5:JR5)</f>
        <v>255957</v>
      </c>
      <c r="JT5" s="24"/>
      <c r="JU5" s="25">
        <v>46056</v>
      </c>
      <c r="JV5" s="28">
        <v>1924</v>
      </c>
      <c r="JW5" s="75">
        <v>661</v>
      </c>
      <c r="JX5" s="75">
        <v>6</v>
      </c>
      <c r="JY5" s="26">
        <v>0</v>
      </c>
      <c r="JZ5" s="26">
        <v>0</v>
      </c>
      <c r="KA5" s="32">
        <f t="shared" si="9"/>
        <v>0</v>
      </c>
      <c r="KB5" s="34" t="s">
        <v>32</v>
      </c>
      <c r="KC5" s="34"/>
      <c r="KD5" s="26" t="s">
        <v>32</v>
      </c>
      <c r="KE5" s="34" t="s">
        <v>32</v>
      </c>
      <c r="KF5" s="32" t="s">
        <v>32</v>
      </c>
      <c r="KG5" s="32"/>
      <c r="KH5" s="34" t="s">
        <v>32</v>
      </c>
      <c r="KI5" s="28" t="s">
        <v>32</v>
      </c>
      <c r="KJ5" s="28" t="s">
        <v>32</v>
      </c>
      <c r="KK5" s="82" t="s">
        <v>32</v>
      </c>
      <c r="KL5" s="34" t="s">
        <v>32</v>
      </c>
      <c r="KM5" s="32" t="s">
        <v>32</v>
      </c>
      <c r="KN5" s="32" t="s">
        <v>32</v>
      </c>
      <c r="KO5" s="29" t="s">
        <v>32</v>
      </c>
      <c r="KP5" s="28" t="s">
        <v>32</v>
      </c>
      <c r="KQ5" s="26" t="s">
        <v>32</v>
      </c>
      <c r="KR5" s="34" t="s">
        <v>32</v>
      </c>
      <c r="KS5" s="32" t="s">
        <v>32</v>
      </c>
      <c r="KT5" s="34" t="s">
        <v>32</v>
      </c>
      <c r="KU5" s="33">
        <f>SUM(KB5:KT5)</f>
        <v>0</v>
      </c>
      <c r="KV5" s="24"/>
      <c r="KW5" s="25">
        <v>46084</v>
      </c>
      <c r="KX5" s="28">
        <v>0</v>
      </c>
      <c r="KY5" s="75">
        <v>0</v>
      </c>
      <c r="KZ5" s="75">
        <v>0</v>
      </c>
      <c r="LA5" s="26">
        <v>0</v>
      </c>
      <c r="LB5" s="26">
        <v>0</v>
      </c>
      <c r="LC5" s="32">
        <f t="shared" si="10"/>
        <v>0</v>
      </c>
      <c r="LD5" s="34" t="s">
        <v>32</v>
      </c>
      <c r="LE5" s="34"/>
      <c r="LF5" s="26" t="s">
        <v>32</v>
      </c>
      <c r="LG5" s="34" t="s">
        <v>32</v>
      </c>
      <c r="LH5" s="32" t="s">
        <v>32</v>
      </c>
      <c r="LI5" s="32"/>
      <c r="LJ5" s="34" t="s">
        <v>32</v>
      </c>
      <c r="LK5" s="28" t="s">
        <v>32</v>
      </c>
      <c r="LL5" s="28" t="s">
        <v>32</v>
      </c>
      <c r="LM5" s="82" t="s">
        <v>32</v>
      </c>
      <c r="LN5" s="34" t="s">
        <v>32</v>
      </c>
      <c r="LO5" s="32" t="s">
        <v>32</v>
      </c>
      <c r="LP5" s="32" t="s">
        <v>32</v>
      </c>
      <c r="LQ5" s="29" t="s">
        <v>32</v>
      </c>
      <c r="LR5" s="28" t="s">
        <v>32</v>
      </c>
      <c r="LS5" s="26" t="s">
        <v>32</v>
      </c>
      <c r="LT5" s="34" t="s">
        <v>32</v>
      </c>
      <c r="LU5" s="32" t="s">
        <v>32</v>
      </c>
      <c r="LV5" s="34" t="s">
        <v>32</v>
      </c>
      <c r="LW5" s="33">
        <f>SUM(LD5:LV5)</f>
        <v>0</v>
      </c>
      <c r="LX5" s="24"/>
    </row>
    <row r="6" spans="1:336" x14ac:dyDescent="0.3">
      <c r="A6" s="25">
        <v>45751</v>
      </c>
      <c r="B6" s="26">
        <v>0</v>
      </c>
      <c r="C6" s="26">
        <v>0</v>
      </c>
      <c r="D6" s="27">
        <f t="shared" si="0"/>
        <v>0</v>
      </c>
      <c r="E6" s="28">
        <v>1278</v>
      </c>
      <c r="F6" s="29">
        <v>3412</v>
      </c>
      <c r="G6" s="29">
        <v>5.5</v>
      </c>
      <c r="H6" s="34" t="s">
        <v>32</v>
      </c>
      <c r="I6" s="34"/>
      <c r="J6" s="31" t="s">
        <v>32</v>
      </c>
      <c r="K6" s="34" t="s">
        <v>32</v>
      </c>
      <c r="L6" s="32" t="s">
        <v>32</v>
      </c>
      <c r="M6" s="32"/>
      <c r="N6" s="34"/>
      <c r="O6" s="28"/>
      <c r="P6" s="28" t="s">
        <v>32</v>
      </c>
      <c r="Q6" s="34" t="s">
        <v>32</v>
      </c>
      <c r="R6" s="34" t="s">
        <v>32</v>
      </c>
      <c r="S6" s="32" t="s">
        <v>32</v>
      </c>
      <c r="T6" s="32" t="s">
        <v>32</v>
      </c>
      <c r="U6" s="21" t="s">
        <v>32</v>
      </c>
      <c r="V6" s="28" t="s">
        <v>32</v>
      </c>
      <c r="W6" s="26" t="s">
        <v>32</v>
      </c>
      <c r="X6" s="34" t="s">
        <v>32</v>
      </c>
      <c r="Y6" s="34" t="s">
        <v>32</v>
      </c>
      <c r="Z6" s="34"/>
      <c r="AA6" s="33">
        <f>SUM(H6:Y6)</f>
        <v>0</v>
      </c>
      <c r="AB6" s="24"/>
      <c r="AC6" s="25">
        <v>45781</v>
      </c>
      <c r="AD6" s="26">
        <v>0</v>
      </c>
      <c r="AE6" s="26">
        <v>0</v>
      </c>
      <c r="AF6" s="27">
        <f t="shared" si="1"/>
        <v>132895</v>
      </c>
      <c r="AG6" s="28">
        <v>3858</v>
      </c>
      <c r="AH6" s="29">
        <v>0</v>
      </c>
      <c r="AI6" s="29">
        <v>7</v>
      </c>
      <c r="AJ6" s="34">
        <v>12015</v>
      </c>
      <c r="AK6" s="34">
        <v>13985</v>
      </c>
      <c r="AL6" s="31" t="s">
        <v>32</v>
      </c>
      <c r="AM6" s="34" t="s">
        <v>32</v>
      </c>
      <c r="AN6" s="32">
        <v>5650</v>
      </c>
      <c r="AO6" s="32">
        <v>100000</v>
      </c>
      <c r="AP6" s="34"/>
      <c r="AQ6" s="28"/>
      <c r="AR6" s="28" t="s">
        <v>32</v>
      </c>
      <c r="AS6" s="34">
        <v>615</v>
      </c>
      <c r="AT6" s="34" t="s">
        <v>32</v>
      </c>
      <c r="AU6" s="32" t="s">
        <v>32</v>
      </c>
      <c r="AV6" s="32" t="s">
        <v>32</v>
      </c>
      <c r="AW6" s="21" t="s">
        <v>32</v>
      </c>
      <c r="AX6" s="28" t="s">
        <v>32</v>
      </c>
      <c r="AY6" s="26">
        <v>630</v>
      </c>
      <c r="AZ6" s="34" t="s">
        <v>40</v>
      </c>
      <c r="BA6" s="34" t="s">
        <v>32</v>
      </c>
      <c r="BB6" s="34"/>
      <c r="BC6" s="33">
        <f>SUM(AJ6:BA6)</f>
        <v>132895</v>
      </c>
      <c r="BD6" s="24"/>
      <c r="BE6" s="25">
        <v>45812</v>
      </c>
      <c r="BF6" s="26">
        <v>2987</v>
      </c>
      <c r="BG6" s="26">
        <v>163500</v>
      </c>
      <c r="BH6" s="27">
        <f t="shared" si="2"/>
        <v>258611</v>
      </c>
      <c r="BI6" s="28">
        <v>0</v>
      </c>
      <c r="BJ6" s="29">
        <v>2292</v>
      </c>
      <c r="BK6" s="29">
        <v>8.5</v>
      </c>
      <c r="BL6" s="34" t="s">
        <v>32</v>
      </c>
      <c r="BM6" s="34"/>
      <c r="BN6" s="31">
        <v>51500</v>
      </c>
      <c r="BO6" s="34" t="s">
        <v>32</v>
      </c>
      <c r="BP6" s="32">
        <v>20000</v>
      </c>
      <c r="BQ6" s="32"/>
      <c r="BR6" s="34"/>
      <c r="BS6" s="28"/>
      <c r="BT6" s="28" t="s">
        <v>32</v>
      </c>
      <c r="BU6" s="34">
        <v>1170</v>
      </c>
      <c r="BV6" s="34" t="s">
        <v>32</v>
      </c>
      <c r="BW6" s="32">
        <v>185941</v>
      </c>
      <c r="BX6" s="32" t="s">
        <v>129</v>
      </c>
      <c r="BY6" s="21" t="s">
        <v>32</v>
      </c>
      <c r="BZ6" s="28" t="s">
        <v>32</v>
      </c>
      <c r="CA6" s="26" t="s">
        <v>32</v>
      </c>
      <c r="CB6" s="34" t="s">
        <v>32</v>
      </c>
      <c r="CC6" s="34" t="s">
        <v>32</v>
      </c>
      <c r="CD6" s="34"/>
      <c r="CE6" s="33">
        <f>SUM(BL6:CC6)</f>
        <v>258611</v>
      </c>
      <c r="CF6" s="24"/>
      <c r="CG6" s="25">
        <v>45842</v>
      </c>
      <c r="CH6" s="26">
        <v>0</v>
      </c>
      <c r="CI6" s="26">
        <v>0</v>
      </c>
      <c r="CJ6" s="27">
        <f t="shared" si="3"/>
        <v>0</v>
      </c>
      <c r="CK6" s="28">
        <v>2921</v>
      </c>
      <c r="CL6" s="29">
        <v>2721</v>
      </c>
      <c r="CM6" s="29">
        <v>7.25</v>
      </c>
      <c r="CN6" s="34" t="s">
        <v>32</v>
      </c>
      <c r="CO6" s="34"/>
      <c r="CP6" s="31" t="s">
        <v>32</v>
      </c>
      <c r="CQ6" s="34" t="s">
        <v>32</v>
      </c>
      <c r="CR6" s="32" t="s">
        <v>32</v>
      </c>
      <c r="CS6" s="32"/>
      <c r="CT6" s="34"/>
      <c r="CU6" s="28"/>
      <c r="CV6" s="28" t="s">
        <v>32</v>
      </c>
      <c r="CW6" s="34" t="s">
        <v>32</v>
      </c>
      <c r="CX6" s="34" t="s">
        <v>32</v>
      </c>
      <c r="CY6" s="32" t="s">
        <v>32</v>
      </c>
      <c r="CZ6" s="32" t="s">
        <v>32</v>
      </c>
      <c r="DA6" s="21" t="s">
        <v>32</v>
      </c>
      <c r="DB6" s="28" t="s">
        <v>32</v>
      </c>
      <c r="DC6" s="26" t="s">
        <v>32</v>
      </c>
      <c r="DD6" s="34" t="s">
        <v>32</v>
      </c>
      <c r="DE6" s="34" t="s">
        <v>32</v>
      </c>
      <c r="DF6" s="34"/>
      <c r="DG6" s="33">
        <f>SUM(CN6:DE6)</f>
        <v>0</v>
      </c>
      <c r="DH6" s="24"/>
      <c r="DI6" s="25">
        <v>45873</v>
      </c>
      <c r="DJ6" s="26">
        <v>929</v>
      </c>
      <c r="DK6" s="26">
        <v>38600</v>
      </c>
      <c r="DL6" s="28">
        <v>3080</v>
      </c>
      <c r="DM6" s="29">
        <v>1666</v>
      </c>
      <c r="DN6" s="29">
        <v>5.5</v>
      </c>
      <c r="DO6" s="27">
        <f t="shared" si="4"/>
        <v>350647</v>
      </c>
      <c r="DP6" s="34" t="s">
        <v>32</v>
      </c>
      <c r="DQ6" s="34"/>
      <c r="DR6" s="31">
        <v>100000</v>
      </c>
      <c r="DS6" s="34" t="s">
        <v>32</v>
      </c>
      <c r="DT6" s="32" t="s">
        <v>32</v>
      </c>
      <c r="DU6" s="32"/>
      <c r="DV6" s="34"/>
      <c r="DW6" s="28"/>
      <c r="DX6" s="28" t="s">
        <v>32</v>
      </c>
      <c r="DY6" s="34">
        <v>1455</v>
      </c>
      <c r="DZ6" s="34" t="s">
        <v>32</v>
      </c>
      <c r="EA6" s="32">
        <v>233692</v>
      </c>
      <c r="EB6" s="32" t="s">
        <v>129</v>
      </c>
      <c r="EC6" s="21">
        <v>1500</v>
      </c>
      <c r="ED6" s="28" t="s">
        <v>32</v>
      </c>
      <c r="EE6" s="26">
        <v>14000</v>
      </c>
      <c r="EF6" s="34" t="s">
        <v>40</v>
      </c>
      <c r="EG6" s="34" t="s">
        <v>32</v>
      </c>
      <c r="EH6" s="34"/>
      <c r="EI6" s="33">
        <f>SUM(DP6:EG6)</f>
        <v>350647</v>
      </c>
      <c r="EJ6" s="24"/>
      <c r="EK6" s="25">
        <v>45904</v>
      </c>
      <c r="EL6" s="28">
        <v>2946</v>
      </c>
      <c r="EM6" s="28">
        <v>2755</v>
      </c>
      <c r="EN6" s="28">
        <v>9</v>
      </c>
      <c r="EO6" s="26">
        <v>11039</v>
      </c>
      <c r="EP6" s="26">
        <v>528563</v>
      </c>
      <c r="EQ6" s="27">
        <f t="shared" si="5"/>
        <v>80070</v>
      </c>
      <c r="ER6" s="34" t="s">
        <v>32</v>
      </c>
      <c r="ES6" s="34"/>
      <c r="ET6" s="31" t="s">
        <v>32</v>
      </c>
      <c r="EU6" s="34" t="s">
        <v>32</v>
      </c>
      <c r="EV6" s="30" t="s">
        <v>32</v>
      </c>
      <c r="EW6" s="30"/>
      <c r="EX6" s="34">
        <v>78800</v>
      </c>
      <c r="EY6" s="28"/>
      <c r="EZ6" s="28">
        <v>500</v>
      </c>
      <c r="FA6" s="34">
        <v>770</v>
      </c>
      <c r="FB6" s="34" t="s">
        <v>32</v>
      </c>
      <c r="FC6" s="32" t="s">
        <v>32</v>
      </c>
      <c r="FD6" s="32" t="s">
        <v>32</v>
      </c>
      <c r="FE6" s="76" t="s">
        <v>32</v>
      </c>
      <c r="FF6" s="32" t="s">
        <v>32</v>
      </c>
      <c r="FG6" s="26" t="s">
        <v>32</v>
      </c>
      <c r="FH6" s="34" t="s">
        <v>32</v>
      </c>
      <c r="FI6" s="34" t="s">
        <v>32</v>
      </c>
      <c r="FJ6" s="34"/>
      <c r="FK6" s="33">
        <f>SUM(ER6:FI6)</f>
        <v>80070</v>
      </c>
      <c r="FL6" s="24"/>
      <c r="FM6" s="25">
        <v>45934</v>
      </c>
      <c r="FN6" s="28">
        <v>2216</v>
      </c>
      <c r="FO6" s="75">
        <v>0</v>
      </c>
      <c r="FP6" s="75">
        <v>8.5</v>
      </c>
      <c r="FQ6" s="26">
        <v>0</v>
      </c>
      <c r="FR6" s="26">
        <v>0</v>
      </c>
      <c r="FS6" s="32">
        <f t="shared" si="11"/>
        <v>0</v>
      </c>
      <c r="FT6" s="34" t="s">
        <v>32</v>
      </c>
      <c r="FU6" s="34"/>
      <c r="FV6" s="26" t="s">
        <v>32</v>
      </c>
      <c r="FW6" s="34" t="s">
        <v>32</v>
      </c>
      <c r="FX6" s="32" t="s">
        <v>32</v>
      </c>
      <c r="FY6" s="32"/>
      <c r="FZ6" s="34"/>
      <c r="GA6" s="28"/>
      <c r="GB6" s="28" t="s">
        <v>32</v>
      </c>
      <c r="GC6" s="82" t="s">
        <v>32</v>
      </c>
      <c r="GD6" s="34" t="s">
        <v>32</v>
      </c>
      <c r="GE6" s="32" t="s">
        <v>32</v>
      </c>
      <c r="GF6" s="32" t="s">
        <v>32</v>
      </c>
      <c r="GG6" s="21" t="s">
        <v>32</v>
      </c>
      <c r="GH6" s="28" t="s">
        <v>32</v>
      </c>
      <c r="GI6" s="26" t="s">
        <v>32</v>
      </c>
      <c r="GJ6" s="34" t="s">
        <v>32</v>
      </c>
      <c r="GK6" s="32" t="s">
        <v>32</v>
      </c>
      <c r="GL6" s="34"/>
      <c r="GM6" s="33">
        <f>SUM(FT6:GK6)</f>
        <v>0</v>
      </c>
      <c r="GN6" s="24"/>
      <c r="GO6" s="25">
        <v>45965</v>
      </c>
      <c r="GP6" s="28">
        <v>1847</v>
      </c>
      <c r="GQ6" s="75">
        <v>0</v>
      </c>
      <c r="GR6" s="75">
        <v>4</v>
      </c>
      <c r="GS6" s="26">
        <v>0</v>
      </c>
      <c r="GT6" s="26">
        <v>0</v>
      </c>
      <c r="GU6" s="32">
        <f t="shared" si="6"/>
        <v>0</v>
      </c>
      <c r="GV6" s="34" t="s">
        <v>32</v>
      </c>
      <c r="GW6" s="28"/>
      <c r="GX6" s="26" t="s">
        <v>32</v>
      </c>
      <c r="GY6" s="34" t="s">
        <v>32</v>
      </c>
      <c r="GZ6" s="32" t="s">
        <v>32</v>
      </c>
      <c r="HA6" s="32"/>
      <c r="HB6" s="34"/>
      <c r="HC6" s="28"/>
      <c r="HD6" s="28" t="s">
        <v>32</v>
      </c>
      <c r="HE6" s="26" t="s">
        <v>32</v>
      </c>
      <c r="HF6" s="34" t="s">
        <v>32</v>
      </c>
      <c r="HG6" s="32" t="s">
        <v>32</v>
      </c>
      <c r="HH6" s="32" t="s">
        <v>32</v>
      </c>
      <c r="HI6" s="21" t="s">
        <v>32</v>
      </c>
      <c r="HJ6" s="32" t="s">
        <v>32</v>
      </c>
      <c r="HK6" s="26" t="s">
        <v>32</v>
      </c>
      <c r="HL6" s="26" t="s">
        <v>32</v>
      </c>
      <c r="HM6" s="82" t="s">
        <v>32</v>
      </c>
      <c r="HN6" s="82"/>
      <c r="HO6" s="33">
        <f>SUM(GV6:HM6)</f>
        <v>0</v>
      </c>
      <c r="HP6" s="24"/>
      <c r="HQ6" s="25">
        <v>45995</v>
      </c>
      <c r="HR6" s="28">
        <v>3417</v>
      </c>
      <c r="HS6" s="75">
        <v>0</v>
      </c>
      <c r="HT6" s="75">
        <v>9</v>
      </c>
      <c r="HU6" s="26">
        <v>0</v>
      </c>
      <c r="HV6" s="26">
        <v>0</v>
      </c>
      <c r="HW6" s="32">
        <f t="shared" si="7"/>
        <v>0</v>
      </c>
      <c r="HX6" s="30" t="s">
        <v>32</v>
      </c>
      <c r="HY6" s="28"/>
      <c r="HZ6" s="26" t="s">
        <v>32</v>
      </c>
      <c r="IA6" s="30" t="s">
        <v>32</v>
      </c>
      <c r="IB6" s="32" t="s">
        <v>32</v>
      </c>
      <c r="IC6" s="75"/>
      <c r="ID6" s="30"/>
      <c r="IE6" s="28"/>
      <c r="IF6" s="28" t="s">
        <v>32</v>
      </c>
      <c r="IG6" s="26" t="s">
        <v>32</v>
      </c>
      <c r="IH6" s="30" t="s">
        <v>32</v>
      </c>
      <c r="II6" s="28" t="s">
        <v>32</v>
      </c>
      <c r="IJ6" s="28" t="s">
        <v>32</v>
      </c>
      <c r="IK6" s="76" t="s">
        <v>32</v>
      </c>
      <c r="IL6" s="32" t="s">
        <v>32</v>
      </c>
      <c r="IM6" s="26" t="s">
        <v>32</v>
      </c>
      <c r="IN6" s="26" t="s">
        <v>32</v>
      </c>
      <c r="IO6" s="82" t="s">
        <v>32</v>
      </c>
      <c r="IP6" s="82"/>
      <c r="IQ6" s="33">
        <f>SUM(HX6:IO6)</f>
        <v>0</v>
      </c>
      <c r="IR6" s="24"/>
      <c r="IS6" s="25">
        <v>46026</v>
      </c>
      <c r="IT6" s="28">
        <v>1474</v>
      </c>
      <c r="IU6" s="75">
        <v>907</v>
      </c>
      <c r="IV6" s="75">
        <v>3.15</v>
      </c>
      <c r="IW6" s="26">
        <v>0</v>
      </c>
      <c r="IX6" s="26">
        <v>0</v>
      </c>
      <c r="IY6" s="32">
        <f t="shared" si="8"/>
        <v>0</v>
      </c>
      <c r="IZ6" s="34" t="s">
        <v>32</v>
      </c>
      <c r="JA6" s="34"/>
      <c r="JB6" s="26" t="s">
        <v>32</v>
      </c>
      <c r="JC6" s="34" t="s">
        <v>32</v>
      </c>
      <c r="JD6" s="32" t="s">
        <v>32</v>
      </c>
      <c r="JE6" s="32"/>
      <c r="JF6" s="34"/>
      <c r="JG6" s="28"/>
      <c r="JH6" s="28" t="s">
        <v>32</v>
      </c>
      <c r="JI6" s="82" t="s">
        <v>32</v>
      </c>
      <c r="JJ6" s="34" t="s">
        <v>32</v>
      </c>
      <c r="JK6" s="32" t="s">
        <v>32</v>
      </c>
      <c r="JL6" s="32" t="s">
        <v>32</v>
      </c>
      <c r="JM6" s="21" t="s">
        <v>32</v>
      </c>
      <c r="JN6" s="28" t="s">
        <v>32</v>
      </c>
      <c r="JO6" s="26" t="s">
        <v>32</v>
      </c>
      <c r="JP6" s="34" t="s">
        <v>32</v>
      </c>
      <c r="JQ6" s="32" t="s">
        <v>32</v>
      </c>
      <c r="JR6" s="34"/>
      <c r="JS6" s="33">
        <f>SUM(IZ6:JQ6)</f>
        <v>0</v>
      </c>
      <c r="JT6" s="24"/>
      <c r="JU6" s="25">
        <v>46057</v>
      </c>
      <c r="JV6" s="28">
        <v>0</v>
      </c>
      <c r="JW6" s="75">
        <v>0</v>
      </c>
      <c r="JX6" s="75">
        <v>7</v>
      </c>
      <c r="JY6" s="26">
        <v>7144</v>
      </c>
      <c r="JZ6" s="26">
        <v>272341</v>
      </c>
      <c r="KA6" s="32">
        <f t="shared" si="9"/>
        <v>236441</v>
      </c>
      <c r="KB6" s="34" t="s">
        <v>32</v>
      </c>
      <c r="KC6" s="34"/>
      <c r="KD6" s="26" t="s">
        <v>32</v>
      </c>
      <c r="KE6" s="34">
        <v>200000</v>
      </c>
      <c r="KF6" s="32" t="s">
        <v>32</v>
      </c>
      <c r="KG6" s="32"/>
      <c r="KH6" s="34"/>
      <c r="KI6" s="28"/>
      <c r="KJ6" s="28" t="s">
        <v>32</v>
      </c>
      <c r="KK6" s="82">
        <v>2285</v>
      </c>
      <c r="KL6" s="34" t="s">
        <v>32</v>
      </c>
      <c r="KM6" s="32">
        <v>34156</v>
      </c>
      <c r="KN6" s="32" t="s">
        <v>85</v>
      </c>
      <c r="KO6" s="21" t="s">
        <v>32</v>
      </c>
      <c r="KP6" s="28" t="s">
        <v>32</v>
      </c>
      <c r="KQ6" s="26" t="s">
        <v>32</v>
      </c>
      <c r="KR6" s="34" t="s">
        <v>32</v>
      </c>
      <c r="KS6" s="32" t="s">
        <v>32</v>
      </c>
      <c r="KT6" s="34"/>
      <c r="KU6" s="33">
        <f>SUM(KB6:KS6)</f>
        <v>236441</v>
      </c>
      <c r="KV6" s="24"/>
      <c r="KW6" s="25">
        <v>46085</v>
      </c>
      <c r="KX6" s="28">
        <v>0</v>
      </c>
      <c r="KY6" s="75">
        <v>0</v>
      </c>
      <c r="KZ6" s="75">
        <v>0</v>
      </c>
      <c r="LA6" s="26">
        <v>0</v>
      </c>
      <c r="LB6" s="26">
        <v>0</v>
      </c>
      <c r="LC6" s="32">
        <f t="shared" si="10"/>
        <v>0</v>
      </c>
      <c r="LD6" s="34" t="s">
        <v>32</v>
      </c>
      <c r="LE6" s="34"/>
      <c r="LF6" s="26" t="s">
        <v>32</v>
      </c>
      <c r="LG6" s="34" t="s">
        <v>32</v>
      </c>
      <c r="LH6" s="32" t="s">
        <v>32</v>
      </c>
      <c r="LI6" s="32"/>
      <c r="LJ6" s="34"/>
      <c r="LK6" s="28"/>
      <c r="LL6" s="28" t="s">
        <v>32</v>
      </c>
      <c r="LM6" s="82" t="s">
        <v>32</v>
      </c>
      <c r="LN6" s="34" t="s">
        <v>32</v>
      </c>
      <c r="LO6" s="32" t="s">
        <v>32</v>
      </c>
      <c r="LP6" s="32" t="s">
        <v>32</v>
      </c>
      <c r="LQ6" s="21" t="s">
        <v>32</v>
      </c>
      <c r="LR6" s="28" t="s">
        <v>32</v>
      </c>
      <c r="LS6" s="26" t="s">
        <v>32</v>
      </c>
      <c r="LT6" s="34" t="s">
        <v>32</v>
      </c>
      <c r="LU6" s="32" t="s">
        <v>32</v>
      </c>
      <c r="LV6" s="34"/>
      <c r="LW6" s="33">
        <f>SUM(LD6:LU6)</f>
        <v>0</v>
      </c>
      <c r="LX6" s="24"/>
    </row>
    <row r="7" spans="1:336" x14ac:dyDescent="0.3">
      <c r="A7" s="25">
        <v>45752</v>
      </c>
      <c r="B7" s="26">
        <v>6107</v>
      </c>
      <c r="C7" s="26">
        <v>363727</v>
      </c>
      <c r="D7" s="27">
        <f t="shared" si="0"/>
        <v>386841</v>
      </c>
      <c r="E7" s="28">
        <v>1302</v>
      </c>
      <c r="F7" s="29">
        <v>971</v>
      </c>
      <c r="G7" s="29">
        <v>11.25</v>
      </c>
      <c r="H7" s="34">
        <v>15660</v>
      </c>
      <c r="I7" s="34">
        <v>12740</v>
      </c>
      <c r="J7" s="31">
        <v>109500</v>
      </c>
      <c r="K7" s="34">
        <v>150000</v>
      </c>
      <c r="L7" s="32" t="s">
        <v>32</v>
      </c>
      <c r="M7" s="32" t="s">
        <v>32</v>
      </c>
      <c r="N7" s="34">
        <v>29400</v>
      </c>
      <c r="O7" s="28">
        <v>32968</v>
      </c>
      <c r="P7" s="28" t="s">
        <v>32</v>
      </c>
      <c r="Q7" s="34">
        <v>2865</v>
      </c>
      <c r="R7" s="34" t="s">
        <v>32</v>
      </c>
      <c r="S7" s="32">
        <v>33708</v>
      </c>
      <c r="T7" s="32" t="s">
        <v>121</v>
      </c>
      <c r="U7" s="29" t="s">
        <v>32</v>
      </c>
      <c r="V7" s="28" t="s">
        <v>32</v>
      </c>
      <c r="W7" s="26" t="s">
        <v>32</v>
      </c>
      <c r="X7" s="34" t="s">
        <v>32</v>
      </c>
      <c r="Y7" s="34" t="s">
        <v>32</v>
      </c>
      <c r="Z7" s="34" t="s">
        <v>32</v>
      </c>
      <c r="AA7" s="33">
        <f>SUM(H7:Z7)</f>
        <v>386841</v>
      </c>
      <c r="AB7" s="24"/>
      <c r="AC7" s="25">
        <v>45782</v>
      </c>
      <c r="AD7" s="26">
        <v>0</v>
      </c>
      <c r="AE7" s="26">
        <v>0</v>
      </c>
      <c r="AF7" s="27">
        <f t="shared" si="1"/>
        <v>0</v>
      </c>
      <c r="AG7" s="28">
        <v>254</v>
      </c>
      <c r="AH7" s="29">
        <v>0</v>
      </c>
      <c r="AI7" s="29">
        <v>0</v>
      </c>
      <c r="AJ7" s="34" t="s">
        <v>32</v>
      </c>
      <c r="AK7" s="34"/>
      <c r="AL7" s="31" t="s">
        <v>32</v>
      </c>
      <c r="AM7" s="34" t="s">
        <v>32</v>
      </c>
      <c r="AN7" s="32" t="s">
        <v>32</v>
      </c>
      <c r="AO7" s="32" t="s">
        <v>32</v>
      </c>
      <c r="AP7" s="34" t="s">
        <v>32</v>
      </c>
      <c r="AQ7" s="28" t="s">
        <v>32</v>
      </c>
      <c r="AR7" s="28" t="s">
        <v>32</v>
      </c>
      <c r="AS7" s="34" t="s">
        <v>32</v>
      </c>
      <c r="AT7" s="34" t="s">
        <v>32</v>
      </c>
      <c r="AU7" s="32" t="s">
        <v>32</v>
      </c>
      <c r="AV7" s="32" t="s">
        <v>33</v>
      </c>
      <c r="AW7" s="29" t="s">
        <v>32</v>
      </c>
      <c r="AX7" s="28" t="s">
        <v>32</v>
      </c>
      <c r="AY7" s="26" t="s">
        <v>32</v>
      </c>
      <c r="AZ7" s="34" t="s">
        <v>32</v>
      </c>
      <c r="BA7" s="34" t="s">
        <v>32</v>
      </c>
      <c r="BB7" s="34" t="s">
        <v>32</v>
      </c>
      <c r="BC7" s="33">
        <f>SUM(AJ7:BB7)</f>
        <v>0</v>
      </c>
      <c r="BD7" s="24"/>
      <c r="BE7" s="25">
        <v>45813</v>
      </c>
      <c r="BF7" s="26">
        <v>0</v>
      </c>
      <c r="BG7" s="26">
        <v>0</v>
      </c>
      <c r="BH7" s="27">
        <f t="shared" si="2"/>
        <v>0</v>
      </c>
      <c r="BI7" s="28">
        <v>0</v>
      </c>
      <c r="BJ7" s="29">
        <v>4024</v>
      </c>
      <c r="BK7" s="29">
        <v>6.5</v>
      </c>
      <c r="BL7" s="34" t="s">
        <v>32</v>
      </c>
      <c r="BM7" s="34"/>
      <c r="BN7" s="31" t="s">
        <v>32</v>
      </c>
      <c r="BO7" s="34" t="s">
        <v>32</v>
      </c>
      <c r="BP7" s="32" t="s">
        <v>32</v>
      </c>
      <c r="BQ7" s="32" t="s">
        <v>32</v>
      </c>
      <c r="BR7" s="34" t="s">
        <v>32</v>
      </c>
      <c r="BS7" s="28" t="s">
        <v>32</v>
      </c>
      <c r="BT7" s="28" t="s">
        <v>32</v>
      </c>
      <c r="BU7" s="34" t="s">
        <v>32</v>
      </c>
      <c r="BV7" s="34" t="s">
        <v>32</v>
      </c>
      <c r="BW7" s="32" t="s">
        <v>32</v>
      </c>
      <c r="BX7" s="32" t="s">
        <v>33</v>
      </c>
      <c r="BY7" s="29" t="s">
        <v>32</v>
      </c>
      <c r="BZ7" s="28" t="s">
        <v>32</v>
      </c>
      <c r="CA7" s="26" t="s">
        <v>32</v>
      </c>
      <c r="CB7" s="34" t="s">
        <v>32</v>
      </c>
      <c r="CC7" s="34" t="s">
        <v>32</v>
      </c>
      <c r="CD7" s="34" t="s">
        <v>32</v>
      </c>
      <c r="CE7" s="33">
        <f>SUM(BL7:CD7)</f>
        <v>0</v>
      </c>
      <c r="CF7" s="24"/>
      <c r="CG7" s="25">
        <v>45843</v>
      </c>
      <c r="CH7" s="26">
        <v>12661</v>
      </c>
      <c r="CI7" s="26">
        <v>726469</v>
      </c>
      <c r="CJ7" s="27">
        <f t="shared" si="3"/>
        <v>154780</v>
      </c>
      <c r="CK7" s="28">
        <v>2239</v>
      </c>
      <c r="CL7" s="29">
        <v>6290</v>
      </c>
      <c r="CM7" s="29">
        <v>9.5</v>
      </c>
      <c r="CN7" s="34">
        <v>37373</v>
      </c>
      <c r="CO7" s="34">
        <v>36097</v>
      </c>
      <c r="CP7" s="31">
        <v>79200</v>
      </c>
      <c r="CQ7" s="34" t="s">
        <v>32</v>
      </c>
      <c r="CR7" s="32" t="s">
        <v>32</v>
      </c>
      <c r="CS7" s="32" t="s">
        <v>32</v>
      </c>
      <c r="CT7" s="34" t="s">
        <v>32</v>
      </c>
      <c r="CU7" s="28" t="s">
        <v>32</v>
      </c>
      <c r="CV7" s="28" t="s">
        <v>32</v>
      </c>
      <c r="CW7" s="34">
        <v>2110</v>
      </c>
      <c r="CX7" s="34" t="s">
        <v>32</v>
      </c>
      <c r="CY7" s="32" t="s">
        <v>32</v>
      </c>
      <c r="CZ7" s="32" t="s">
        <v>33</v>
      </c>
      <c r="DA7" s="29" t="s">
        <v>32</v>
      </c>
      <c r="DB7" s="28" t="s">
        <v>32</v>
      </c>
      <c r="DC7" s="26" t="s">
        <v>32</v>
      </c>
      <c r="DD7" s="34" t="s">
        <v>32</v>
      </c>
      <c r="DE7" s="34" t="s">
        <v>32</v>
      </c>
      <c r="DF7" s="34" t="s">
        <v>32</v>
      </c>
      <c r="DG7" s="33">
        <f>SUM(CN7:DF7)</f>
        <v>154780</v>
      </c>
      <c r="DH7" s="24"/>
      <c r="DI7" s="25">
        <v>45874</v>
      </c>
      <c r="DJ7" s="26">
        <v>0</v>
      </c>
      <c r="DK7" s="26">
        <v>0</v>
      </c>
      <c r="DL7" s="28">
        <v>4151</v>
      </c>
      <c r="DM7" s="29">
        <v>3856</v>
      </c>
      <c r="DN7" s="29">
        <v>9.5</v>
      </c>
      <c r="DO7" s="27">
        <f t="shared" si="4"/>
        <v>0</v>
      </c>
      <c r="DP7" s="34" t="s">
        <v>32</v>
      </c>
      <c r="DQ7" s="34"/>
      <c r="DR7" s="31" t="s">
        <v>32</v>
      </c>
      <c r="DS7" s="34" t="s">
        <v>32</v>
      </c>
      <c r="DT7" s="32" t="s">
        <v>32</v>
      </c>
      <c r="DU7" s="32" t="s">
        <v>32</v>
      </c>
      <c r="DV7" s="34" t="s">
        <v>32</v>
      </c>
      <c r="DW7" s="28" t="s">
        <v>32</v>
      </c>
      <c r="DX7" s="28" t="s">
        <v>32</v>
      </c>
      <c r="DY7" s="34" t="s">
        <v>32</v>
      </c>
      <c r="DZ7" s="34" t="s">
        <v>32</v>
      </c>
      <c r="EA7" s="32" t="s">
        <v>32</v>
      </c>
      <c r="EB7" s="32" t="s">
        <v>33</v>
      </c>
      <c r="EC7" s="29" t="s">
        <v>32</v>
      </c>
      <c r="ED7" s="28" t="s">
        <v>32</v>
      </c>
      <c r="EE7" s="26" t="s">
        <v>32</v>
      </c>
      <c r="EF7" s="34" t="s">
        <v>32</v>
      </c>
      <c r="EG7" s="34" t="s">
        <v>32</v>
      </c>
      <c r="EH7" s="34" t="s">
        <v>32</v>
      </c>
      <c r="EI7" s="33">
        <f>SUM(DP7:EH7)</f>
        <v>0</v>
      </c>
      <c r="EJ7" s="24"/>
      <c r="EK7" s="25">
        <v>45905</v>
      </c>
      <c r="EL7" s="28">
        <v>1254</v>
      </c>
      <c r="EM7" s="28">
        <v>2915</v>
      </c>
      <c r="EN7" s="28">
        <v>4.5</v>
      </c>
      <c r="EO7" s="26">
        <v>0</v>
      </c>
      <c r="EP7" s="26">
        <v>0</v>
      </c>
      <c r="EQ7" s="27">
        <f t="shared" si="5"/>
        <v>0</v>
      </c>
      <c r="ER7" s="34" t="s">
        <v>32</v>
      </c>
      <c r="ES7" s="34"/>
      <c r="ET7" s="31" t="s">
        <v>32</v>
      </c>
      <c r="EU7" s="34" t="s">
        <v>32</v>
      </c>
      <c r="EV7" s="30" t="s">
        <v>32</v>
      </c>
      <c r="EW7" s="30" t="s">
        <v>32</v>
      </c>
      <c r="EX7" s="34" t="s">
        <v>32</v>
      </c>
      <c r="EY7" s="28" t="s">
        <v>32</v>
      </c>
      <c r="EZ7" s="28" t="s">
        <v>32</v>
      </c>
      <c r="FA7" s="34" t="s">
        <v>32</v>
      </c>
      <c r="FB7" s="34" t="s">
        <v>32</v>
      </c>
      <c r="FC7" s="32" t="s">
        <v>32</v>
      </c>
      <c r="FD7" s="32" t="s">
        <v>33</v>
      </c>
      <c r="FE7" s="75" t="s">
        <v>32</v>
      </c>
      <c r="FF7" s="32" t="s">
        <v>32</v>
      </c>
      <c r="FG7" s="26" t="s">
        <v>32</v>
      </c>
      <c r="FH7" s="34" t="s">
        <v>32</v>
      </c>
      <c r="FI7" s="34" t="s">
        <v>32</v>
      </c>
      <c r="FJ7" s="34" t="s">
        <v>32</v>
      </c>
      <c r="FK7" s="33">
        <f>SUM(ER7:FJ7)</f>
        <v>0</v>
      </c>
      <c r="FL7" s="24"/>
      <c r="FM7" s="25">
        <v>45935</v>
      </c>
      <c r="FN7" s="28">
        <v>1233</v>
      </c>
      <c r="FO7" s="75">
        <v>4963</v>
      </c>
      <c r="FP7" s="75">
        <v>7.75</v>
      </c>
      <c r="FQ7" s="26">
        <v>6194</v>
      </c>
      <c r="FR7" s="26">
        <v>191397</v>
      </c>
      <c r="FS7" s="32">
        <f t="shared" si="11"/>
        <v>258950</v>
      </c>
      <c r="FT7" s="34">
        <v>163840</v>
      </c>
      <c r="FU7" s="34">
        <v>91360</v>
      </c>
      <c r="FV7" s="26" t="s">
        <v>32</v>
      </c>
      <c r="FW7" s="34" t="s">
        <v>32</v>
      </c>
      <c r="FX7" s="32">
        <v>1600</v>
      </c>
      <c r="FY7" s="32" t="s">
        <v>32</v>
      </c>
      <c r="FZ7" s="34" t="s">
        <v>32</v>
      </c>
      <c r="GA7" s="28" t="s">
        <v>32</v>
      </c>
      <c r="GB7" s="28">
        <v>200</v>
      </c>
      <c r="GC7" s="82">
        <v>1950</v>
      </c>
      <c r="GD7" s="34" t="s">
        <v>32</v>
      </c>
      <c r="GE7" s="32" t="s">
        <v>32</v>
      </c>
      <c r="GF7" s="32" t="s">
        <v>33</v>
      </c>
      <c r="GG7" s="29" t="s">
        <v>32</v>
      </c>
      <c r="GH7" s="28" t="s">
        <v>32</v>
      </c>
      <c r="GI7" s="26" t="s">
        <v>32</v>
      </c>
      <c r="GJ7" s="34" t="s">
        <v>32</v>
      </c>
      <c r="GK7" s="32" t="s">
        <v>32</v>
      </c>
      <c r="GL7" s="34" t="s">
        <v>32</v>
      </c>
      <c r="GM7" s="33">
        <f>SUM(FT7:GL7)</f>
        <v>258950</v>
      </c>
      <c r="GN7" s="24"/>
      <c r="GO7" s="25">
        <v>45966</v>
      </c>
      <c r="GP7" s="28">
        <v>0</v>
      </c>
      <c r="GQ7" s="75">
        <v>4383</v>
      </c>
      <c r="GR7" s="75">
        <v>6.5</v>
      </c>
      <c r="GS7" s="26">
        <v>1122</v>
      </c>
      <c r="GT7" s="26">
        <v>62800</v>
      </c>
      <c r="GU7" s="32">
        <f t="shared" si="6"/>
        <v>271692</v>
      </c>
      <c r="GV7" s="34" t="s">
        <v>32</v>
      </c>
      <c r="GW7" s="28"/>
      <c r="GX7" s="26" t="s">
        <v>32</v>
      </c>
      <c r="GY7" s="34" t="s">
        <v>32</v>
      </c>
      <c r="GZ7" s="32">
        <v>200</v>
      </c>
      <c r="HA7" s="32" t="s">
        <v>32</v>
      </c>
      <c r="HB7" s="34" t="s">
        <v>32</v>
      </c>
      <c r="HC7" s="28" t="s">
        <v>32</v>
      </c>
      <c r="HD7" s="28" t="s">
        <v>32</v>
      </c>
      <c r="HE7" s="26">
        <v>6870</v>
      </c>
      <c r="HF7" s="34" t="s">
        <v>32</v>
      </c>
      <c r="HG7" s="32">
        <v>233692</v>
      </c>
      <c r="HH7" s="32" t="s">
        <v>129</v>
      </c>
      <c r="HI7" s="29" t="s">
        <v>32</v>
      </c>
      <c r="HJ7" s="32" t="s">
        <v>32</v>
      </c>
      <c r="HK7" s="26">
        <v>30930</v>
      </c>
      <c r="HL7" s="26" t="s">
        <v>40</v>
      </c>
      <c r="HM7" s="82" t="s">
        <v>32</v>
      </c>
      <c r="HN7" s="82" t="s">
        <v>32</v>
      </c>
      <c r="HO7" s="33">
        <f>SUM(GV7:HN7)</f>
        <v>271692</v>
      </c>
      <c r="HP7" s="24"/>
      <c r="HQ7" s="25">
        <v>45996</v>
      </c>
      <c r="HR7" s="28">
        <v>3009</v>
      </c>
      <c r="HS7" s="75">
        <v>4850</v>
      </c>
      <c r="HT7" s="75">
        <v>10.25</v>
      </c>
      <c r="HU7" s="26">
        <v>11123</v>
      </c>
      <c r="HV7" s="26">
        <v>429716</v>
      </c>
      <c r="HW7" s="32">
        <f t="shared" si="7"/>
        <v>11585</v>
      </c>
      <c r="HX7" s="30" t="s">
        <v>32</v>
      </c>
      <c r="HY7" s="28"/>
      <c r="HZ7" s="26" t="s">
        <v>32</v>
      </c>
      <c r="IA7" s="30" t="s">
        <v>32</v>
      </c>
      <c r="IB7" s="32" t="s">
        <v>32</v>
      </c>
      <c r="IC7" s="75" t="s">
        <v>32</v>
      </c>
      <c r="ID7" s="30">
        <v>10000</v>
      </c>
      <c r="IE7" s="28" t="s">
        <v>32</v>
      </c>
      <c r="IF7" s="28" t="s">
        <v>32</v>
      </c>
      <c r="IG7" s="26">
        <v>1585</v>
      </c>
      <c r="IH7" s="30" t="s">
        <v>32</v>
      </c>
      <c r="II7" s="28" t="s">
        <v>32</v>
      </c>
      <c r="IJ7" s="28" t="s">
        <v>33</v>
      </c>
      <c r="IK7" s="75" t="s">
        <v>32</v>
      </c>
      <c r="IL7" s="32" t="s">
        <v>32</v>
      </c>
      <c r="IM7" s="26" t="s">
        <v>32</v>
      </c>
      <c r="IN7" s="26" t="s">
        <v>32</v>
      </c>
      <c r="IO7" s="82" t="s">
        <v>32</v>
      </c>
      <c r="IP7" s="82" t="s">
        <v>32</v>
      </c>
      <c r="IQ7" s="33">
        <f>SUM(HX7:IP7)</f>
        <v>11585</v>
      </c>
      <c r="IR7" s="24"/>
      <c r="IS7" s="25">
        <v>46027</v>
      </c>
      <c r="IT7" s="28">
        <v>3238</v>
      </c>
      <c r="IU7" s="75">
        <v>0</v>
      </c>
      <c r="IV7" s="75">
        <v>6</v>
      </c>
      <c r="IW7" s="26">
        <v>16654</v>
      </c>
      <c r="IX7" s="26">
        <v>1107499</v>
      </c>
      <c r="IY7" s="32">
        <f t="shared" si="8"/>
        <v>464205</v>
      </c>
      <c r="IZ7" s="34" t="s">
        <v>32</v>
      </c>
      <c r="JA7" s="34"/>
      <c r="JB7" s="26">
        <v>99713</v>
      </c>
      <c r="JC7" s="34">
        <v>100000</v>
      </c>
      <c r="JD7" s="32" t="s">
        <v>32</v>
      </c>
      <c r="JE7" s="32">
        <v>30000</v>
      </c>
      <c r="JF7" s="34" t="s">
        <v>32</v>
      </c>
      <c r="JG7" s="28" t="s">
        <v>32</v>
      </c>
      <c r="JH7" s="28" t="s">
        <v>32</v>
      </c>
      <c r="JI7" s="82">
        <v>800</v>
      </c>
      <c r="JJ7" s="34" t="s">
        <v>32</v>
      </c>
      <c r="JK7" s="32">
        <v>233692</v>
      </c>
      <c r="JL7" s="32" t="s">
        <v>171</v>
      </c>
      <c r="JM7" s="29" t="s">
        <v>32</v>
      </c>
      <c r="JN7" s="28" t="s">
        <v>32</v>
      </c>
      <c r="JO7" s="26" t="s">
        <v>32</v>
      </c>
      <c r="JP7" s="34" t="s">
        <v>32</v>
      </c>
      <c r="JQ7" s="32" t="s">
        <v>32</v>
      </c>
      <c r="JR7" s="34" t="s">
        <v>32</v>
      </c>
      <c r="JS7" s="33">
        <f>SUM(IZ7:JR7)</f>
        <v>464205</v>
      </c>
      <c r="JT7" s="24"/>
      <c r="JU7" s="25">
        <v>46058</v>
      </c>
      <c r="JV7" s="28">
        <v>1270</v>
      </c>
      <c r="JW7" s="75">
        <v>5919</v>
      </c>
      <c r="JX7" s="75">
        <v>9</v>
      </c>
      <c r="JY7" s="26">
        <v>0</v>
      </c>
      <c r="JZ7" s="26">
        <v>0</v>
      </c>
      <c r="KA7" s="32">
        <f t="shared" si="9"/>
        <v>0</v>
      </c>
      <c r="KB7" s="34" t="s">
        <v>32</v>
      </c>
      <c r="KC7" s="34"/>
      <c r="KD7" s="26" t="s">
        <v>32</v>
      </c>
      <c r="KE7" s="34" t="s">
        <v>32</v>
      </c>
      <c r="KF7" s="32" t="s">
        <v>32</v>
      </c>
      <c r="KG7" s="32" t="s">
        <v>32</v>
      </c>
      <c r="KH7" s="34" t="s">
        <v>32</v>
      </c>
      <c r="KI7" s="28" t="s">
        <v>32</v>
      </c>
      <c r="KJ7" s="28" t="s">
        <v>32</v>
      </c>
      <c r="KK7" s="82" t="s">
        <v>32</v>
      </c>
      <c r="KL7" s="34" t="s">
        <v>32</v>
      </c>
      <c r="KM7" s="32" t="s">
        <v>32</v>
      </c>
      <c r="KN7" s="32" t="s">
        <v>33</v>
      </c>
      <c r="KO7" s="29" t="s">
        <v>32</v>
      </c>
      <c r="KP7" s="28" t="s">
        <v>32</v>
      </c>
      <c r="KQ7" s="26" t="s">
        <v>32</v>
      </c>
      <c r="KR7" s="34" t="s">
        <v>32</v>
      </c>
      <c r="KS7" s="32" t="s">
        <v>32</v>
      </c>
      <c r="KT7" s="34" t="s">
        <v>32</v>
      </c>
      <c r="KU7" s="33">
        <f>SUM(KB7:KT7)</f>
        <v>0</v>
      </c>
      <c r="KV7" s="24"/>
      <c r="KW7" s="25">
        <v>46086</v>
      </c>
      <c r="KX7" s="28">
        <v>688</v>
      </c>
      <c r="KY7" s="75">
        <v>0</v>
      </c>
      <c r="KZ7" s="75">
        <v>0</v>
      </c>
      <c r="LA7" s="26">
        <v>863</v>
      </c>
      <c r="LB7" s="26">
        <v>48413</v>
      </c>
      <c r="LC7" s="32">
        <f t="shared" si="10"/>
        <v>365015</v>
      </c>
      <c r="LD7" s="34" t="s">
        <v>32</v>
      </c>
      <c r="LE7" s="34"/>
      <c r="LF7" s="26">
        <v>4500</v>
      </c>
      <c r="LG7" s="34" t="s">
        <v>32</v>
      </c>
      <c r="LH7" s="32" t="s">
        <v>32</v>
      </c>
      <c r="LI7" s="32">
        <v>40600</v>
      </c>
      <c r="LJ7" s="34">
        <v>50000</v>
      </c>
      <c r="LK7" s="28" t="s">
        <v>32</v>
      </c>
      <c r="LL7" s="28">
        <v>500</v>
      </c>
      <c r="LM7" s="82">
        <v>630</v>
      </c>
      <c r="LN7" s="34" t="s">
        <v>32</v>
      </c>
      <c r="LO7" s="32">
        <v>264585</v>
      </c>
      <c r="LP7" s="32" t="s">
        <v>184</v>
      </c>
      <c r="LQ7" s="29" t="s">
        <v>32</v>
      </c>
      <c r="LR7" s="28" t="s">
        <v>32</v>
      </c>
      <c r="LS7" s="26">
        <v>4200</v>
      </c>
      <c r="LT7" s="34" t="s">
        <v>40</v>
      </c>
      <c r="LU7" s="32" t="s">
        <v>32</v>
      </c>
      <c r="LV7" s="34" t="s">
        <v>32</v>
      </c>
      <c r="LW7" s="33">
        <f>SUM(LD7:LV7)</f>
        <v>365015</v>
      </c>
      <c r="LX7" s="24"/>
    </row>
    <row r="8" spans="1:336" x14ac:dyDescent="0.3">
      <c r="A8" s="25">
        <v>45753</v>
      </c>
      <c r="B8" s="26">
        <v>0</v>
      </c>
      <c r="C8" s="26">
        <v>0</v>
      </c>
      <c r="D8" s="27">
        <f t="shared" si="0"/>
        <v>0</v>
      </c>
      <c r="E8" s="28">
        <v>2639</v>
      </c>
      <c r="F8" s="29">
        <v>4386</v>
      </c>
      <c r="G8" s="29">
        <v>10.5</v>
      </c>
      <c r="H8" s="34" t="s">
        <v>32</v>
      </c>
      <c r="I8" s="34"/>
      <c r="J8" s="31" t="s">
        <v>32</v>
      </c>
      <c r="K8" s="34" t="s">
        <v>32</v>
      </c>
      <c r="L8" s="32" t="s">
        <v>32</v>
      </c>
      <c r="M8" s="32"/>
      <c r="N8" s="34" t="s">
        <v>32</v>
      </c>
      <c r="O8" s="28" t="s">
        <v>32</v>
      </c>
      <c r="P8" s="28" t="s">
        <v>32</v>
      </c>
      <c r="Q8" s="34" t="s">
        <v>32</v>
      </c>
      <c r="R8" s="34" t="s">
        <v>32</v>
      </c>
      <c r="S8" s="32" t="s">
        <v>32</v>
      </c>
      <c r="T8" s="32" t="s">
        <v>32</v>
      </c>
      <c r="U8" s="29" t="s">
        <v>32</v>
      </c>
      <c r="V8" s="28"/>
      <c r="W8" s="26" t="s">
        <v>32</v>
      </c>
      <c r="X8" s="34" t="s">
        <v>32</v>
      </c>
      <c r="Y8" s="34" t="s">
        <v>32</v>
      </c>
      <c r="Z8" s="34"/>
      <c r="AA8" s="33">
        <f t="shared" ref="AA8:AA15" si="12">SUM(H8:Y8)</f>
        <v>0</v>
      </c>
      <c r="AB8" s="24"/>
      <c r="AC8" s="25">
        <v>45783</v>
      </c>
      <c r="AD8" s="26">
        <v>488</v>
      </c>
      <c r="AE8" s="26">
        <v>21000</v>
      </c>
      <c r="AF8" s="27">
        <f t="shared" si="1"/>
        <v>106445</v>
      </c>
      <c r="AG8" s="28">
        <v>1609</v>
      </c>
      <c r="AH8" s="29">
        <v>1387</v>
      </c>
      <c r="AI8" s="29">
        <v>8.5</v>
      </c>
      <c r="AJ8" s="34" t="s">
        <v>32</v>
      </c>
      <c r="AK8" s="34"/>
      <c r="AL8" s="31">
        <v>77000</v>
      </c>
      <c r="AM8" s="34">
        <v>10000</v>
      </c>
      <c r="AN8" s="32" t="s">
        <v>32</v>
      </c>
      <c r="AO8" s="32"/>
      <c r="AP8" s="34">
        <v>5000</v>
      </c>
      <c r="AQ8" s="28">
        <v>12500</v>
      </c>
      <c r="AR8" s="28" t="s">
        <v>32</v>
      </c>
      <c r="AS8" s="34">
        <v>1945</v>
      </c>
      <c r="AT8" s="34" t="s">
        <v>32</v>
      </c>
      <c r="AU8" s="32" t="s">
        <v>32</v>
      </c>
      <c r="AV8" s="32" t="s">
        <v>32</v>
      </c>
      <c r="AW8" s="29" t="s">
        <v>32</v>
      </c>
      <c r="AX8" s="28"/>
      <c r="AY8" s="26" t="s">
        <v>32</v>
      </c>
      <c r="AZ8" s="34" t="s">
        <v>32</v>
      </c>
      <c r="BA8" s="34" t="s">
        <v>32</v>
      </c>
      <c r="BB8" s="34"/>
      <c r="BC8" s="33">
        <f t="shared" ref="BC8:BC15" si="13">SUM(AJ8:BA8)</f>
        <v>106445</v>
      </c>
      <c r="BD8" s="24"/>
      <c r="BE8" s="25">
        <v>45814</v>
      </c>
      <c r="BF8" s="26">
        <v>0</v>
      </c>
      <c r="BG8" s="26">
        <v>0</v>
      </c>
      <c r="BH8" s="27">
        <f t="shared" si="2"/>
        <v>272710</v>
      </c>
      <c r="BI8" s="28">
        <v>0</v>
      </c>
      <c r="BJ8" s="29">
        <v>3710</v>
      </c>
      <c r="BK8" s="29">
        <v>5.5</v>
      </c>
      <c r="BL8" s="34" t="s">
        <v>32</v>
      </c>
      <c r="BM8" s="34"/>
      <c r="BN8" s="31" t="s">
        <v>32</v>
      </c>
      <c r="BO8" s="34">
        <v>225000</v>
      </c>
      <c r="BP8" s="32">
        <v>11680</v>
      </c>
      <c r="BQ8" s="32"/>
      <c r="BR8" s="34">
        <v>30000</v>
      </c>
      <c r="BS8" s="28" t="s">
        <v>32</v>
      </c>
      <c r="BT8" s="28" t="s">
        <v>32</v>
      </c>
      <c r="BU8" s="34">
        <v>5280</v>
      </c>
      <c r="BV8" s="34" t="s">
        <v>32</v>
      </c>
      <c r="BW8" s="32">
        <v>750</v>
      </c>
      <c r="BX8" s="32" t="s">
        <v>51</v>
      </c>
      <c r="BY8" s="29" t="s">
        <v>32</v>
      </c>
      <c r="BZ8" s="28"/>
      <c r="CA8" s="26" t="s">
        <v>32</v>
      </c>
      <c r="CB8" s="34" t="s">
        <v>32</v>
      </c>
      <c r="CC8" s="34" t="s">
        <v>32</v>
      </c>
      <c r="CD8" s="34"/>
      <c r="CE8" s="33">
        <f t="shared" ref="CE8:CE15" si="14">SUM(BL8:CC8)</f>
        <v>272710</v>
      </c>
      <c r="CF8" s="24"/>
      <c r="CG8" s="25">
        <v>45844</v>
      </c>
      <c r="CH8" s="26">
        <v>0</v>
      </c>
      <c r="CI8" s="26">
        <v>0</v>
      </c>
      <c r="CJ8" s="27">
        <f t="shared" si="3"/>
        <v>0</v>
      </c>
      <c r="CK8" s="28">
        <v>2486</v>
      </c>
      <c r="CL8" s="29">
        <v>0</v>
      </c>
      <c r="CM8" s="29">
        <v>4.5</v>
      </c>
      <c r="CN8" s="34" t="s">
        <v>32</v>
      </c>
      <c r="CO8" s="34"/>
      <c r="CP8" s="31" t="s">
        <v>32</v>
      </c>
      <c r="CQ8" s="34" t="s">
        <v>32</v>
      </c>
      <c r="CR8" s="32" t="s">
        <v>32</v>
      </c>
      <c r="CS8" s="32"/>
      <c r="CT8" s="34" t="s">
        <v>32</v>
      </c>
      <c r="CU8" s="28" t="s">
        <v>32</v>
      </c>
      <c r="CV8" s="28" t="s">
        <v>32</v>
      </c>
      <c r="CW8" s="34" t="s">
        <v>32</v>
      </c>
      <c r="CX8" s="34" t="s">
        <v>32</v>
      </c>
      <c r="CY8" s="32" t="s">
        <v>32</v>
      </c>
      <c r="CZ8" s="32" t="s">
        <v>32</v>
      </c>
      <c r="DA8" s="29" t="s">
        <v>32</v>
      </c>
      <c r="DB8" s="28"/>
      <c r="DC8" s="26" t="s">
        <v>32</v>
      </c>
      <c r="DD8" s="34" t="s">
        <v>32</v>
      </c>
      <c r="DE8" s="34" t="s">
        <v>32</v>
      </c>
      <c r="DF8" s="34"/>
      <c r="DG8" s="33">
        <f t="shared" ref="DG8:DG15" si="15">SUM(CN8:DE8)</f>
        <v>0</v>
      </c>
      <c r="DH8" s="24"/>
      <c r="DI8" s="25">
        <v>45875</v>
      </c>
      <c r="DJ8" s="26">
        <v>11351</v>
      </c>
      <c r="DK8" s="26">
        <v>629669</v>
      </c>
      <c r="DL8" s="28">
        <v>2128</v>
      </c>
      <c r="DM8" s="29">
        <v>0</v>
      </c>
      <c r="DN8" s="29">
        <v>2</v>
      </c>
      <c r="DO8" s="27">
        <f t="shared" si="4"/>
        <v>320665</v>
      </c>
      <c r="DP8" s="34">
        <v>14400</v>
      </c>
      <c r="DQ8" s="34">
        <v>17900</v>
      </c>
      <c r="DR8" s="31">
        <v>50000</v>
      </c>
      <c r="DS8" s="34">
        <v>500</v>
      </c>
      <c r="DT8" s="32">
        <v>15800</v>
      </c>
      <c r="DU8" s="32">
        <v>59100</v>
      </c>
      <c r="DV8" s="34">
        <v>60000</v>
      </c>
      <c r="DW8" s="28" t="s">
        <v>32</v>
      </c>
      <c r="DX8" s="28" t="s">
        <v>32</v>
      </c>
      <c r="DY8" s="34">
        <v>2965</v>
      </c>
      <c r="DZ8" s="34" t="s">
        <v>32</v>
      </c>
      <c r="EA8" s="32" t="s">
        <v>32</v>
      </c>
      <c r="EB8" s="32" t="s">
        <v>32</v>
      </c>
      <c r="EC8" s="29" t="s">
        <v>32</v>
      </c>
      <c r="ED8" s="28"/>
      <c r="EE8" s="26">
        <v>100000</v>
      </c>
      <c r="EF8" s="34" t="s">
        <v>47</v>
      </c>
      <c r="EG8" s="34" t="s">
        <v>32</v>
      </c>
      <c r="EH8" s="34"/>
      <c r="EI8" s="33">
        <f t="shared" ref="EI8:EI15" si="16">SUM(DP8:EG8)</f>
        <v>320665</v>
      </c>
      <c r="EJ8" s="24"/>
      <c r="EK8" s="25">
        <v>45906</v>
      </c>
      <c r="EL8" s="28">
        <v>2214</v>
      </c>
      <c r="EM8" s="28">
        <v>0</v>
      </c>
      <c r="EN8" s="28">
        <v>0</v>
      </c>
      <c r="EO8" s="26">
        <v>1056</v>
      </c>
      <c r="EP8" s="26">
        <v>33800</v>
      </c>
      <c r="EQ8" s="27">
        <f t="shared" si="5"/>
        <v>403586</v>
      </c>
      <c r="ER8" s="34">
        <v>20700</v>
      </c>
      <c r="ES8" s="34">
        <v>15450</v>
      </c>
      <c r="ET8" s="31">
        <v>132200</v>
      </c>
      <c r="EU8" s="34" t="s">
        <v>32</v>
      </c>
      <c r="EV8" s="30" t="s">
        <v>32</v>
      </c>
      <c r="EW8" s="30"/>
      <c r="EX8" s="34" t="s">
        <v>32</v>
      </c>
      <c r="EY8" s="28" t="s">
        <v>32</v>
      </c>
      <c r="EZ8" s="28" t="s">
        <v>32</v>
      </c>
      <c r="FA8" s="34">
        <v>544</v>
      </c>
      <c r="FB8" s="34" t="s">
        <v>32</v>
      </c>
      <c r="FC8" s="32">
        <v>233692</v>
      </c>
      <c r="FD8" s="32" t="s">
        <v>129</v>
      </c>
      <c r="FE8" s="75" t="s">
        <v>32</v>
      </c>
      <c r="FF8" s="32"/>
      <c r="FG8" s="26">
        <v>1000</v>
      </c>
      <c r="FH8" s="34" t="s">
        <v>40</v>
      </c>
      <c r="FI8" s="34" t="s">
        <v>32</v>
      </c>
      <c r="FJ8" s="34"/>
      <c r="FK8" s="33">
        <f t="shared" ref="FK8:FK15" si="17">SUM(ER8:FI8)</f>
        <v>403586</v>
      </c>
      <c r="FL8" s="24"/>
      <c r="FM8" s="25">
        <v>45936</v>
      </c>
      <c r="FN8" s="28">
        <v>1434</v>
      </c>
      <c r="FO8" s="75">
        <v>3131</v>
      </c>
      <c r="FP8" s="75">
        <v>5</v>
      </c>
      <c r="FQ8" s="26">
        <v>0</v>
      </c>
      <c r="FR8" s="26">
        <v>0</v>
      </c>
      <c r="FS8" s="32">
        <f t="shared" si="11"/>
        <v>0</v>
      </c>
      <c r="FT8" s="34" t="s">
        <v>32</v>
      </c>
      <c r="FU8" s="34"/>
      <c r="FV8" s="26" t="s">
        <v>32</v>
      </c>
      <c r="FW8" s="34" t="s">
        <v>32</v>
      </c>
      <c r="FX8" s="32" t="s">
        <v>32</v>
      </c>
      <c r="FY8" s="32"/>
      <c r="FZ8" s="34" t="s">
        <v>32</v>
      </c>
      <c r="GA8" s="28" t="s">
        <v>32</v>
      </c>
      <c r="GB8" s="28" t="s">
        <v>32</v>
      </c>
      <c r="GC8" s="82" t="s">
        <v>32</v>
      </c>
      <c r="GD8" s="34" t="s">
        <v>32</v>
      </c>
      <c r="GE8" s="32" t="s">
        <v>32</v>
      </c>
      <c r="GF8" s="32" t="s">
        <v>32</v>
      </c>
      <c r="GG8" s="29" t="s">
        <v>32</v>
      </c>
      <c r="GH8" s="28"/>
      <c r="GI8" s="26" t="s">
        <v>32</v>
      </c>
      <c r="GJ8" s="34" t="s">
        <v>32</v>
      </c>
      <c r="GK8" s="32" t="s">
        <v>32</v>
      </c>
      <c r="GL8" s="34"/>
      <c r="GM8" s="33">
        <f t="shared" ref="GM8:GM15" si="18">SUM(FT8:GK8)</f>
        <v>0</v>
      </c>
      <c r="GN8" s="24"/>
      <c r="GO8" s="25">
        <v>45967</v>
      </c>
      <c r="GP8" s="28">
        <v>587</v>
      </c>
      <c r="GQ8" s="75">
        <v>2808</v>
      </c>
      <c r="GR8" s="75">
        <v>6</v>
      </c>
      <c r="GS8" s="26">
        <v>0</v>
      </c>
      <c r="GT8" s="26">
        <v>0</v>
      </c>
      <c r="GU8" s="32">
        <f t="shared" si="6"/>
        <v>0</v>
      </c>
      <c r="GV8" s="34" t="s">
        <v>32</v>
      </c>
      <c r="GW8" s="28"/>
      <c r="GX8" s="26" t="s">
        <v>32</v>
      </c>
      <c r="GY8" s="34" t="s">
        <v>32</v>
      </c>
      <c r="GZ8" s="32" t="s">
        <v>32</v>
      </c>
      <c r="HA8" s="32"/>
      <c r="HB8" s="34" t="s">
        <v>32</v>
      </c>
      <c r="HC8" s="28" t="s">
        <v>32</v>
      </c>
      <c r="HD8" s="28" t="s">
        <v>32</v>
      </c>
      <c r="HE8" s="26" t="s">
        <v>32</v>
      </c>
      <c r="HF8" s="34" t="s">
        <v>32</v>
      </c>
      <c r="HG8" s="32" t="s">
        <v>32</v>
      </c>
      <c r="HH8" s="32" t="s">
        <v>32</v>
      </c>
      <c r="HI8" s="29" t="s">
        <v>32</v>
      </c>
      <c r="HJ8" s="32"/>
      <c r="HK8" s="26" t="s">
        <v>32</v>
      </c>
      <c r="HL8" s="26" t="s">
        <v>32</v>
      </c>
      <c r="HM8" s="82" t="s">
        <v>32</v>
      </c>
      <c r="HN8" s="82"/>
      <c r="HO8" s="33">
        <f t="shared" ref="HO8:HO15" si="19">SUM(GV8:HM8)</f>
        <v>0</v>
      </c>
      <c r="HP8" s="24"/>
      <c r="HQ8" s="25">
        <v>45997</v>
      </c>
      <c r="HR8" s="28">
        <v>3327</v>
      </c>
      <c r="HS8" s="75">
        <v>3445</v>
      </c>
      <c r="HT8" s="75">
        <v>10</v>
      </c>
      <c r="HU8" s="26">
        <v>0</v>
      </c>
      <c r="HV8" s="26">
        <v>0</v>
      </c>
      <c r="HW8" s="32">
        <f t="shared" si="7"/>
        <v>0</v>
      </c>
      <c r="HX8" s="30" t="s">
        <v>32</v>
      </c>
      <c r="HY8" s="28"/>
      <c r="HZ8" s="26" t="s">
        <v>32</v>
      </c>
      <c r="IA8" s="30" t="s">
        <v>32</v>
      </c>
      <c r="IB8" s="32" t="s">
        <v>32</v>
      </c>
      <c r="IC8" s="75"/>
      <c r="ID8" s="30" t="s">
        <v>32</v>
      </c>
      <c r="IE8" s="28" t="s">
        <v>32</v>
      </c>
      <c r="IF8" s="28" t="s">
        <v>32</v>
      </c>
      <c r="IG8" s="26" t="s">
        <v>32</v>
      </c>
      <c r="IH8" s="30" t="s">
        <v>32</v>
      </c>
      <c r="II8" s="28" t="s">
        <v>32</v>
      </c>
      <c r="IJ8" s="28" t="s">
        <v>32</v>
      </c>
      <c r="IK8" s="75" t="s">
        <v>32</v>
      </c>
      <c r="IL8" s="32"/>
      <c r="IM8" s="26" t="s">
        <v>32</v>
      </c>
      <c r="IN8" s="26" t="s">
        <v>32</v>
      </c>
      <c r="IO8" s="82" t="s">
        <v>32</v>
      </c>
      <c r="IP8" s="82"/>
      <c r="IQ8" s="33">
        <f t="shared" ref="IQ8:IQ15" si="20">SUM(HX8:IO8)</f>
        <v>0</v>
      </c>
      <c r="IR8" s="24"/>
      <c r="IS8" s="25">
        <v>46028</v>
      </c>
      <c r="IT8" s="28">
        <v>3961</v>
      </c>
      <c r="IU8" s="75">
        <v>3632</v>
      </c>
      <c r="IV8" s="75">
        <v>6</v>
      </c>
      <c r="IW8" s="26">
        <v>735</v>
      </c>
      <c r="IX8" s="26">
        <v>43300</v>
      </c>
      <c r="IY8" s="32">
        <f t="shared" si="8"/>
        <v>112240</v>
      </c>
      <c r="IZ8" s="34">
        <v>15650</v>
      </c>
      <c r="JA8" s="34">
        <v>19500</v>
      </c>
      <c r="JB8" s="26">
        <v>68700</v>
      </c>
      <c r="JC8" s="34">
        <v>2000</v>
      </c>
      <c r="JD8" s="32">
        <v>1200</v>
      </c>
      <c r="JE8" s="32"/>
      <c r="JF8" s="34" t="s">
        <v>32</v>
      </c>
      <c r="JG8" s="28" t="s">
        <v>32</v>
      </c>
      <c r="JH8" s="28" t="s">
        <v>32</v>
      </c>
      <c r="JI8" s="82">
        <v>810</v>
      </c>
      <c r="JJ8" s="34">
        <v>1880</v>
      </c>
      <c r="JK8" s="32"/>
      <c r="JL8" s="32" t="s">
        <v>32</v>
      </c>
      <c r="JM8" s="29">
        <v>700</v>
      </c>
      <c r="JN8" s="28">
        <v>700</v>
      </c>
      <c r="JO8" s="26">
        <v>1100</v>
      </c>
      <c r="JP8" s="34" t="s">
        <v>40</v>
      </c>
      <c r="JQ8" s="32" t="s">
        <v>32</v>
      </c>
      <c r="JR8" s="34"/>
      <c r="JS8" s="33">
        <f t="shared" ref="JS8:JS15" si="21">SUM(IZ8:JQ8)</f>
        <v>112240</v>
      </c>
      <c r="JT8" s="24"/>
      <c r="JU8" s="25">
        <v>46059</v>
      </c>
      <c r="JV8" s="28">
        <v>2148</v>
      </c>
      <c r="JW8" s="75">
        <v>5177</v>
      </c>
      <c r="JX8" s="75">
        <v>7.75</v>
      </c>
      <c r="JY8" s="26">
        <v>0</v>
      </c>
      <c r="JZ8" s="26">
        <v>0</v>
      </c>
      <c r="KA8" s="32">
        <f t="shared" si="9"/>
        <v>0</v>
      </c>
      <c r="KB8" s="34" t="s">
        <v>32</v>
      </c>
      <c r="KC8" s="34"/>
      <c r="KD8" s="26" t="s">
        <v>32</v>
      </c>
      <c r="KE8" s="34" t="s">
        <v>32</v>
      </c>
      <c r="KF8" s="32" t="s">
        <v>32</v>
      </c>
      <c r="KG8" s="32"/>
      <c r="KH8" s="34" t="s">
        <v>32</v>
      </c>
      <c r="KI8" s="28" t="s">
        <v>32</v>
      </c>
      <c r="KJ8" s="28" t="s">
        <v>32</v>
      </c>
      <c r="KK8" s="82" t="s">
        <v>32</v>
      </c>
      <c r="KL8" s="34" t="s">
        <v>32</v>
      </c>
      <c r="KM8" s="32" t="s">
        <v>32</v>
      </c>
      <c r="KN8" s="32" t="s">
        <v>32</v>
      </c>
      <c r="KO8" s="29" t="s">
        <v>32</v>
      </c>
      <c r="KP8" s="28"/>
      <c r="KQ8" s="26" t="s">
        <v>32</v>
      </c>
      <c r="KR8" s="34" t="s">
        <v>32</v>
      </c>
      <c r="KS8" s="32" t="s">
        <v>32</v>
      </c>
      <c r="KT8" s="34"/>
      <c r="KU8" s="33">
        <f t="shared" ref="KU8:KU15" si="22">SUM(KB8:KS8)</f>
        <v>0</v>
      </c>
      <c r="KV8" s="24"/>
      <c r="KW8" s="25">
        <v>46087</v>
      </c>
      <c r="KX8" s="28">
        <v>2861</v>
      </c>
      <c r="KY8" s="75">
        <v>0</v>
      </c>
      <c r="KZ8" s="75">
        <v>0</v>
      </c>
      <c r="LA8" s="26">
        <v>0</v>
      </c>
      <c r="LB8" s="26">
        <v>0</v>
      </c>
      <c r="LC8" s="32">
        <f t="shared" si="10"/>
        <v>0</v>
      </c>
      <c r="LD8" s="34" t="s">
        <v>32</v>
      </c>
      <c r="LE8" s="34"/>
      <c r="LF8" s="26" t="s">
        <v>32</v>
      </c>
      <c r="LG8" s="34" t="s">
        <v>32</v>
      </c>
      <c r="LH8" s="32" t="s">
        <v>32</v>
      </c>
      <c r="LI8" s="32"/>
      <c r="LJ8" s="34" t="s">
        <v>32</v>
      </c>
      <c r="LK8" s="28" t="s">
        <v>32</v>
      </c>
      <c r="LL8" s="28" t="s">
        <v>32</v>
      </c>
      <c r="LM8" s="82" t="s">
        <v>32</v>
      </c>
      <c r="LN8" s="34" t="s">
        <v>32</v>
      </c>
      <c r="LO8" s="32" t="s">
        <v>32</v>
      </c>
      <c r="LP8" s="32" t="s">
        <v>32</v>
      </c>
      <c r="LQ8" s="29" t="s">
        <v>32</v>
      </c>
      <c r="LR8" s="28"/>
      <c r="LS8" s="26" t="s">
        <v>32</v>
      </c>
      <c r="LT8" s="34" t="s">
        <v>32</v>
      </c>
      <c r="LU8" s="32" t="s">
        <v>32</v>
      </c>
      <c r="LV8" s="34"/>
      <c r="LW8" s="33">
        <f t="shared" ref="LW8:LW15" si="23">SUM(LD8:LU8)</f>
        <v>0</v>
      </c>
      <c r="LX8" s="24"/>
    </row>
    <row r="9" spans="1:336" x14ac:dyDescent="0.3">
      <c r="A9" s="25">
        <v>45754</v>
      </c>
      <c r="B9" s="26">
        <v>0</v>
      </c>
      <c r="C9" s="26">
        <v>1950</v>
      </c>
      <c r="D9" s="27">
        <f t="shared" si="0"/>
        <v>13440</v>
      </c>
      <c r="E9" s="28">
        <v>3230</v>
      </c>
      <c r="F9" s="29">
        <v>2769</v>
      </c>
      <c r="G9" s="29">
        <v>4.5</v>
      </c>
      <c r="H9" s="34" t="s">
        <v>32</v>
      </c>
      <c r="I9" s="34"/>
      <c r="J9" s="31" t="s">
        <v>32</v>
      </c>
      <c r="K9" s="34" t="s">
        <v>32</v>
      </c>
      <c r="L9" s="32" t="s">
        <v>32</v>
      </c>
      <c r="M9" s="32">
        <v>6150</v>
      </c>
      <c r="N9" s="34" t="s">
        <v>32</v>
      </c>
      <c r="O9" s="28" t="s">
        <v>32</v>
      </c>
      <c r="P9" s="28" t="s">
        <v>32</v>
      </c>
      <c r="Q9" s="34">
        <v>5190</v>
      </c>
      <c r="R9" s="34" t="s">
        <v>32</v>
      </c>
      <c r="S9" s="32" t="s">
        <v>32</v>
      </c>
      <c r="T9" s="32" t="s">
        <v>32</v>
      </c>
      <c r="U9" s="29" t="s">
        <v>32</v>
      </c>
      <c r="V9" s="28" t="s">
        <v>32</v>
      </c>
      <c r="W9" s="26">
        <v>2100</v>
      </c>
      <c r="X9" s="34" t="s">
        <v>40</v>
      </c>
      <c r="Y9" s="34" t="s">
        <v>32</v>
      </c>
      <c r="Z9" s="34" t="s">
        <v>32</v>
      </c>
      <c r="AA9" s="33">
        <f t="shared" si="12"/>
        <v>13440</v>
      </c>
      <c r="AB9" s="24"/>
      <c r="AC9" s="25">
        <v>45784</v>
      </c>
      <c r="AD9" s="26">
        <v>3081</v>
      </c>
      <c r="AE9" s="26">
        <v>99010</v>
      </c>
      <c r="AF9" s="27">
        <f t="shared" si="1"/>
        <v>11044</v>
      </c>
      <c r="AG9" s="28">
        <v>973</v>
      </c>
      <c r="AH9" s="29">
        <v>5048</v>
      </c>
      <c r="AI9" s="29">
        <v>17</v>
      </c>
      <c r="AJ9" s="34" t="s">
        <v>32</v>
      </c>
      <c r="AK9" s="34"/>
      <c r="AL9" s="31">
        <v>10700</v>
      </c>
      <c r="AM9" s="34" t="s">
        <v>32</v>
      </c>
      <c r="AN9" s="32" t="s">
        <v>32</v>
      </c>
      <c r="AO9" s="32" t="s">
        <v>32</v>
      </c>
      <c r="AP9" s="34" t="s">
        <v>32</v>
      </c>
      <c r="AQ9" s="28" t="s">
        <v>32</v>
      </c>
      <c r="AR9" s="28" t="s">
        <v>32</v>
      </c>
      <c r="AS9" s="34">
        <v>344</v>
      </c>
      <c r="AT9" s="34" t="s">
        <v>32</v>
      </c>
      <c r="AU9" s="32" t="s">
        <v>32</v>
      </c>
      <c r="AV9" s="32" t="s">
        <v>32</v>
      </c>
      <c r="AW9" s="29" t="s">
        <v>32</v>
      </c>
      <c r="AX9" s="28" t="s">
        <v>32</v>
      </c>
      <c r="AY9" s="26" t="s">
        <v>32</v>
      </c>
      <c r="AZ9" s="34" t="s">
        <v>32</v>
      </c>
      <c r="BA9" s="34" t="s">
        <v>32</v>
      </c>
      <c r="BB9" s="34" t="s">
        <v>32</v>
      </c>
      <c r="BC9" s="33">
        <f t="shared" si="13"/>
        <v>11044</v>
      </c>
      <c r="BD9" s="24"/>
      <c r="BE9" s="25">
        <v>45815</v>
      </c>
      <c r="BF9" s="26">
        <v>420</v>
      </c>
      <c r="BG9" s="26">
        <v>22189</v>
      </c>
      <c r="BH9" s="27">
        <f t="shared" si="2"/>
        <v>50360</v>
      </c>
      <c r="BI9" s="28">
        <v>0</v>
      </c>
      <c r="BJ9" s="29">
        <v>0</v>
      </c>
      <c r="BK9" s="29">
        <v>0</v>
      </c>
      <c r="BL9" s="34" t="s">
        <v>32</v>
      </c>
      <c r="BM9" s="34"/>
      <c r="BN9" s="31" t="s">
        <v>32</v>
      </c>
      <c r="BO9" s="34" t="s">
        <v>32</v>
      </c>
      <c r="BP9" s="32" t="s">
        <v>32</v>
      </c>
      <c r="BQ9" s="32">
        <v>50000</v>
      </c>
      <c r="BR9" s="34" t="s">
        <v>32</v>
      </c>
      <c r="BS9" s="28" t="s">
        <v>32</v>
      </c>
      <c r="BT9" s="28" t="s">
        <v>32</v>
      </c>
      <c r="BU9" s="34">
        <v>360</v>
      </c>
      <c r="BV9" s="34" t="s">
        <v>32</v>
      </c>
      <c r="BW9" s="32" t="s">
        <v>32</v>
      </c>
      <c r="BX9" s="32" t="s">
        <v>32</v>
      </c>
      <c r="BY9" s="29" t="s">
        <v>32</v>
      </c>
      <c r="BZ9" s="28" t="s">
        <v>32</v>
      </c>
      <c r="CA9" s="26" t="s">
        <v>32</v>
      </c>
      <c r="CB9" s="34" t="s">
        <v>32</v>
      </c>
      <c r="CC9" s="34" t="s">
        <v>32</v>
      </c>
      <c r="CD9" s="34" t="s">
        <v>32</v>
      </c>
      <c r="CE9" s="33">
        <f t="shared" si="14"/>
        <v>50360</v>
      </c>
      <c r="CF9" s="24"/>
      <c r="CG9" s="25">
        <v>45845</v>
      </c>
      <c r="CH9" s="26">
        <v>2493</v>
      </c>
      <c r="CI9" s="26">
        <v>160000</v>
      </c>
      <c r="CJ9" s="27">
        <f t="shared" si="3"/>
        <v>149850</v>
      </c>
      <c r="CK9" s="28">
        <v>2891</v>
      </c>
      <c r="CL9" s="29">
        <v>1523</v>
      </c>
      <c r="CM9" s="29">
        <v>7.45</v>
      </c>
      <c r="CN9" s="34">
        <v>27000</v>
      </c>
      <c r="CO9" s="34">
        <v>19500</v>
      </c>
      <c r="CP9" s="31">
        <v>100500</v>
      </c>
      <c r="CQ9" s="34" t="s">
        <v>32</v>
      </c>
      <c r="CR9" s="32" t="s">
        <v>32</v>
      </c>
      <c r="CS9" s="32" t="s">
        <v>32</v>
      </c>
      <c r="CT9" s="34" t="s">
        <v>32</v>
      </c>
      <c r="CU9" s="28" t="s">
        <v>32</v>
      </c>
      <c r="CV9" s="28" t="s">
        <v>32</v>
      </c>
      <c r="CW9" s="34">
        <v>1450</v>
      </c>
      <c r="CX9" s="34" t="s">
        <v>32</v>
      </c>
      <c r="CY9" s="32" t="s">
        <v>32</v>
      </c>
      <c r="CZ9" s="32" t="s">
        <v>32</v>
      </c>
      <c r="DA9" s="29" t="s">
        <v>32</v>
      </c>
      <c r="DB9" s="28" t="s">
        <v>32</v>
      </c>
      <c r="DC9" s="26">
        <v>1400</v>
      </c>
      <c r="DD9" s="34" t="s">
        <v>40</v>
      </c>
      <c r="DE9" s="34" t="s">
        <v>32</v>
      </c>
      <c r="DF9" s="34" t="s">
        <v>32</v>
      </c>
      <c r="DG9" s="33">
        <f t="shared" si="15"/>
        <v>149850</v>
      </c>
      <c r="DH9" s="24"/>
      <c r="DI9" s="25">
        <v>45876</v>
      </c>
      <c r="DJ9" s="26">
        <v>0</v>
      </c>
      <c r="DK9" s="26">
        <v>0</v>
      </c>
      <c r="DL9" s="28">
        <v>1804</v>
      </c>
      <c r="DM9" s="29">
        <v>2221</v>
      </c>
      <c r="DN9" s="29">
        <v>6</v>
      </c>
      <c r="DO9" s="27">
        <f t="shared" si="4"/>
        <v>0</v>
      </c>
      <c r="DP9" s="34" t="s">
        <v>32</v>
      </c>
      <c r="DQ9" s="34"/>
      <c r="DR9" s="31" t="s">
        <v>32</v>
      </c>
      <c r="DS9" s="34" t="s">
        <v>32</v>
      </c>
      <c r="DT9" s="32" t="s">
        <v>32</v>
      </c>
      <c r="DU9" s="32" t="s">
        <v>32</v>
      </c>
      <c r="DV9" s="34" t="s">
        <v>32</v>
      </c>
      <c r="DW9" s="28" t="s">
        <v>32</v>
      </c>
      <c r="DX9" s="28" t="s">
        <v>32</v>
      </c>
      <c r="DY9" s="34" t="s">
        <v>32</v>
      </c>
      <c r="DZ9" s="34" t="s">
        <v>32</v>
      </c>
      <c r="EA9" s="32" t="s">
        <v>32</v>
      </c>
      <c r="EB9" s="32" t="s">
        <v>32</v>
      </c>
      <c r="EC9" s="29" t="s">
        <v>32</v>
      </c>
      <c r="ED9" s="28" t="s">
        <v>32</v>
      </c>
      <c r="EE9" s="26" t="s">
        <v>32</v>
      </c>
      <c r="EF9" s="34" t="s">
        <v>32</v>
      </c>
      <c r="EG9" s="34" t="s">
        <v>32</v>
      </c>
      <c r="EH9" s="34" t="s">
        <v>32</v>
      </c>
      <c r="EI9" s="33">
        <f t="shared" si="16"/>
        <v>0</v>
      </c>
      <c r="EJ9" s="24"/>
      <c r="EK9" s="25">
        <v>45907</v>
      </c>
      <c r="EL9" s="28">
        <v>3281</v>
      </c>
      <c r="EM9" s="28">
        <v>3560</v>
      </c>
      <c r="EN9" s="28">
        <v>6</v>
      </c>
      <c r="EO9" s="26">
        <v>118</v>
      </c>
      <c r="EP9" s="26">
        <v>4950</v>
      </c>
      <c r="EQ9" s="27">
        <f t="shared" si="5"/>
        <v>1730</v>
      </c>
      <c r="ER9" s="34" t="s">
        <v>32</v>
      </c>
      <c r="ES9" s="34"/>
      <c r="ET9" s="31" t="s">
        <v>32</v>
      </c>
      <c r="EU9" s="34" t="s">
        <v>32</v>
      </c>
      <c r="EV9" s="30">
        <v>300</v>
      </c>
      <c r="EW9" s="30" t="s">
        <v>32</v>
      </c>
      <c r="EX9" s="34" t="s">
        <v>32</v>
      </c>
      <c r="EY9" s="28" t="s">
        <v>32</v>
      </c>
      <c r="EZ9" s="28" t="s">
        <v>32</v>
      </c>
      <c r="FA9" s="34">
        <v>1430</v>
      </c>
      <c r="FB9" s="34" t="s">
        <v>32</v>
      </c>
      <c r="FC9" s="32" t="s">
        <v>32</v>
      </c>
      <c r="FD9" s="32" t="s">
        <v>32</v>
      </c>
      <c r="FE9" s="75" t="s">
        <v>32</v>
      </c>
      <c r="FF9" s="32" t="s">
        <v>32</v>
      </c>
      <c r="FG9" s="26" t="s">
        <v>32</v>
      </c>
      <c r="FH9" s="34" t="s">
        <v>32</v>
      </c>
      <c r="FI9" s="34" t="s">
        <v>32</v>
      </c>
      <c r="FJ9" s="34" t="s">
        <v>32</v>
      </c>
      <c r="FK9" s="33">
        <f t="shared" si="17"/>
        <v>1730</v>
      </c>
      <c r="FL9" s="24"/>
      <c r="FM9" s="25">
        <v>45937</v>
      </c>
      <c r="FN9" s="28">
        <v>3003</v>
      </c>
      <c r="FO9" s="75">
        <v>0</v>
      </c>
      <c r="FP9" s="75">
        <v>4.1500000000000004</v>
      </c>
      <c r="FQ9" s="26">
        <v>2318</v>
      </c>
      <c r="FR9" s="26">
        <v>130841</v>
      </c>
      <c r="FS9" s="32">
        <f t="shared" si="11"/>
        <v>161720</v>
      </c>
      <c r="FT9" s="34" t="s">
        <v>32</v>
      </c>
      <c r="FU9" s="34"/>
      <c r="FV9" s="26">
        <v>70000</v>
      </c>
      <c r="FW9" s="34" t="s">
        <v>32</v>
      </c>
      <c r="FX9" s="32" t="s">
        <v>32</v>
      </c>
      <c r="FY9" s="32" t="s">
        <v>32</v>
      </c>
      <c r="FZ9" s="34">
        <v>80600</v>
      </c>
      <c r="GA9" s="28" t="s">
        <v>32</v>
      </c>
      <c r="GB9" s="28" t="s">
        <v>32</v>
      </c>
      <c r="GC9" s="82">
        <v>10020</v>
      </c>
      <c r="GD9" s="34" t="s">
        <v>32</v>
      </c>
      <c r="GE9" s="32" t="s">
        <v>32</v>
      </c>
      <c r="GF9" s="32" t="s">
        <v>32</v>
      </c>
      <c r="GG9" s="29">
        <v>1100</v>
      </c>
      <c r="GH9" s="28" t="s">
        <v>32</v>
      </c>
      <c r="GI9" s="26" t="s">
        <v>32</v>
      </c>
      <c r="GJ9" s="34" t="s">
        <v>32</v>
      </c>
      <c r="GK9" s="32" t="s">
        <v>32</v>
      </c>
      <c r="GL9" s="34" t="s">
        <v>32</v>
      </c>
      <c r="GM9" s="33">
        <f t="shared" si="18"/>
        <v>161720</v>
      </c>
      <c r="GN9" s="24"/>
      <c r="GO9" s="25">
        <v>45968</v>
      </c>
      <c r="GP9" s="28">
        <v>2040</v>
      </c>
      <c r="GQ9" s="75">
        <v>422</v>
      </c>
      <c r="GR9" s="75">
        <v>7.25</v>
      </c>
      <c r="GS9" s="26">
        <v>0</v>
      </c>
      <c r="GT9" s="26">
        <v>0</v>
      </c>
      <c r="GU9" s="32">
        <f t="shared" si="6"/>
        <v>0</v>
      </c>
      <c r="GV9" s="34" t="s">
        <v>32</v>
      </c>
      <c r="GW9" s="28"/>
      <c r="GX9" s="26" t="s">
        <v>32</v>
      </c>
      <c r="GY9" s="34" t="s">
        <v>32</v>
      </c>
      <c r="GZ9" s="32" t="s">
        <v>32</v>
      </c>
      <c r="HA9" s="32" t="s">
        <v>32</v>
      </c>
      <c r="HB9" s="34" t="s">
        <v>32</v>
      </c>
      <c r="HC9" s="28" t="s">
        <v>32</v>
      </c>
      <c r="HD9" s="28" t="s">
        <v>32</v>
      </c>
      <c r="HE9" s="26" t="s">
        <v>32</v>
      </c>
      <c r="HF9" s="34" t="s">
        <v>32</v>
      </c>
      <c r="HG9" s="32" t="s">
        <v>32</v>
      </c>
      <c r="HH9" s="32" t="s">
        <v>32</v>
      </c>
      <c r="HI9" s="29" t="s">
        <v>32</v>
      </c>
      <c r="HJ9" s="32" t="s">
        <v>32</v>
      </c>
      <c r="HK9" s="26" t="s">
        <v>32</v>
      </c>
      <c r="HL9" s="26" t="s">
        <v>32</v>
      </c>
      <c r="HM9" s="82" t="s">
        <v>32</v>
      </c>
      <c r="HN9" s="82" t="s">
        <v>32</v>
      </c>
      <c r="HO9" s="33">
        <f t="shared" si="19"/>
        <v>0</v>
      </c>
      <c r="HP9" s="24"/>
      <c r="HQ9" s="25">
        <v>45998</v>
      </c>
      <c r="HR9" s="28">
        <v>2808</v>
      </c>
      <c r="HS9" s="75">
        <v>0</v>
      </c>
      <c r="HT9" s="75">
        <v>7</v>
      </c>
      <c r="HU9" s="26">
        <v>3561</v>
      </c>
      <c r="HV9" s="26">
        <v>125530</v>
      </c>
      <c r="HW9" s="32">
        <f t="shared" si="7"/>
        <v>20135</v>
      </c>
      <c r="HX9" s="30" t="s">
        <v>32</v>
      </c>
      <c r="HY9" s="28"/>
      <c r="HZ9" s="26" t="s">
        <v>32</v>
      </c>
      <c r="IA9" s="30">
        <v>2000</v>
      </c>
      <c r="IB9" s="32" t="s">
        <v>32</v>
      </c>
      <c r="IC9" s="75" t="s">
        <v>32</v>
      </c>
      <c r="ID9" s="30">
        <v>16000</v>
      </c>
      <c r="IE9" s="28" t="s">
        <v>32</v>
      </c>
      <c r="IF9" s="28" t="s">
        <v>32</v>
      </c>
      <c r="IG9" s="26">
        <v>835</v>
      </c>
      <c r="IH9" s="30" t="s">
        <v>32</v>
      </c>
      <c r="II9" s="28" t="s">
        <v>32</v>
      </c>
      <c r="IJ9" s="28" t="s">
        <v>32</v>
      </c>
      <c r="IK9" s="75">
        <v>700</v>
      </c>
      <c r="IL9" s="32" t="s">
        <v>32</v>
      </c>
      <c r="IM9" s="26" t="s">
        <v>32</v>
      </c>
      <c r="IN9" s="26" t="s">
        <v>32</v>
      </c>
      <c r="IO9" s="82">
        <v>600</v>
      </c>
      <c r="IP9" s="82" t="s">
        <v>167</v>
      </c>
      <c r="IQ9" s="33">
        <f t="shared" si="20"/>
        <v>20135</v>
      </c>
      <c r="IR9" s="24"/>
      <c r="IS9" s="25">
        <v>46029</v>
      </c>
      <c r="IT9" s="28">
        <v>3226</v>
      </c>
      <c r="IU9" s="75">
        <v>2049</v>
      </c>
      <c r="IV9" s="75">
        <v>4.5</v>
      </c>
      <c r="IW9" s="26">
        <v>0</v>
      </c>
      <c r="IX9" s="26">
        <v>0</v>
      </c>
      <c r="IY9" s="32">
        <f t="shared" si="8"/>
        <v>0</v>
      </c>
      <c r="IZ9" s="34" t="s">
        <v>32</v>
      </c>
      <c r="JA9" s="34"/>
      <c r="JB9" s="26" t="s">
        <v>32</v>
      </c>
      <c r="JC9" s="34" t="s">
        <v>32</v>
      </c>
      <c r="JD9" s="32" t="s">
        <v>32</v>
      </c>
      <c r="JE9" s="32" t="s">
        <v>32</v>
      </c>
      <c r="JF9" s="34" t="s">
        <v>32</v>
      </c>
      <c r="JG9" s="28" t="s">
        <v>32</v>
      </c>
      <c r="JH9" s="28" t="s">
        <v>32</v>
      </c>
      <c r="JI9" s="82" t="s">
        <v>32</v>
      </c>
      <c r="JJ9" s="34" t="s">
        <v>32</v>
      </c>
      <c r="JK9" s="32" t="s">
        <v>32</v>
      </c>
      <c r="JL9" s="32" t="s">
        <v>32</v>
      </c>
      <c r="JM9" s="29" t="s">
        <v>32</v>
      </c>
      <c r="JN9" s="28" t="s">
        <v>32</v>
      </c>
      <c r="JO9" s="26" t="s">
        <v>32</v>
      </c>
      <c r="JP9" s="34" t="s">
        <v>32</v>
      </c>
      <c r="JQ9" s="32" t="s">
        <v>32</v>
      </c>
      <c r="JR9" s="34" t="s">
        <v>32</v>
      </c>
      <c r="JS9" s="33">
        <f t="shared" si="21"/>
        <v>0</v>
      </c>
      <c r="JT9" s="24"/>
      <c r="JU9" s="25">
        <v>46060</v>
      </c>
      <c r="JV9" s="28">
        <v>3165</v>
      </c>
      <c r="JW9" s="75">
        <v>1260</v>
      </c>
      <c r="JX9" s="75">
        <v>7</v>
      </c>
      <c r="JY9" s="26">
        <v>0</v>
      </c>
      <c r="JZ9" s="26">
        <v>0</v>
      </c>
      <c r="KA9" s="32">
        <f t="shared" si="9"/>
        <v>0</v>
      </c>
      <c r="KB9" s="34" t="s">
        <v>32</v>
      </c>
      <c r="KC9" s="34"/>
      <c r="KD9" s="26" t="s">
        <v>32</v>
      </c>
      <c r="KE9" s="34" t="s">
        <v>32</v>
      </c>
      <c r="KF9" s="32" t="s">
        <v>32</v>
      </c>
      <c r="KG9" s="32" t="s">
        <v>32</v>
      </c>
      <c r="KH9" s="34" t="s">
        <v>32</v>
      </c>
      <c r="KI9" s="28" t="s">
        <v>32</v>
      </c>
      <c r="KJ9" s="28" t="s">
        <v>32</v>
      </c>
      <c r="KK9" s="82" t="s">
        <v>32</v>
      </c>
      <c r="KL9" s="34" t="s">
        <v>32</v>
      </c>
      <c r="KM9" s="32" t="s">
        <v>32</v>
      </c>
      <c r="KN9" s="32" t="s">
        <v>32</v>
      </c>
      <c r="KO9" s="29" t="s">
        <v>32</v>
      </c>
      <c r="KP9" s="28" t="s">
        <v>32</v>
      </c>
      <c r="KQ9" s="26" t="s">
        <v>32</v>
      </c>
      <c r="KR9" s="34" t="s">
        <v>32</v>
      </c>
      <c r="KS9" s="32" t="s">
        <v>32</v>
      </c>
      <c r="KT9" s="34" t="s">
        <v>32</v>
      </c>
      <c r="KU9" s="33">
        <f t="shared" si="22"/>
        <v>0</v>
      </c>
      <c r="KV9" s="24"/>
      <c r="KW9" s="25">
        <v>46088</v>
      </c>
      <c r="KX9" s="28">
        <v>3294</v>
      </c>
      <c r="KY9" s="75">
        <v>0</v>
      </c>
      <c r="KZ9" s="75">
        <v>5</v>
      </c>
      <c r="LA9" s="26">
        <v>0</v>
      </c>
      <c r="LB9" s="26">
        <v>0</v>
      </c>
      <c r="LC9" s="32">
        <f t="shared" si="10"/>
        <v>0</v>
      </c>
      <c r="LD9" s="34" t="s">
        <v>32</v>
      </c>
      <c r="LE9" s="34"/>
      <c r="LF9" s="26" t="s">
        <v>32</v>
      </c>
      <c r="LG9" s="34" t="s">
        <v>32</v>
      </c>
      <c r="LH9" s="32" t="s">
        <v>32</v>
      </c>
      <c r="LI9" s="32" t="s">
        <v>32</v>
      </c>
      <c r="LJ9" s="34" t="s">
        <v>32</v>
      </c>
      <c r="LK9" s="28" t="s">
        <v>32</v>
      </c>
      <c r="LL9" s="28" t="s">
        <v>32</v>
      </c>
      <c r="LM9" s="82" t="s">
        <v>32</v>
      </c>
      <c r="LN9" s="34" t="s">
        <v>32</v>
      </c>
      <c r="LO9" s="32" t="s">
        <v>32</v>
      </c>
      <c r="LP9" s="32" t="s">
        <v>32</v>
      </c>
      <c r="LQ9" s="29" t="s">
        <v>32</v>
      </c>
      <c r="LR9" s="28" t="s">
        <v>32</v>
      </c>
      <c r="LS9" s="26" t="s">
        <v>32</v>
      </c>
      <c r="LT9" s="34" t="s">
        <v>32</v>
      </c>
      <c r="LU9" s="32" t="s">
        <v>32</v>
      </c>
      <c r="LV9" s="34" t="s">
        <v>32</v>
      </c>
      <c r="LW9" s="33">
        <f t="shared" si="23"/>
        <v>0</v>
      </c>
      <c r="LX9" s="24"/>
    </row>
    <row r="10" spans="1:336" x14ac:dyDescent="0.3">
      <c r="A10" s="25">
        <v>45755</v>
      </c>
      <c r="B10" s="26">
        <v>2004</v>
      </c>
      <c r="C10" s="26">
        <v>69500</v>
      </c>
      <c r="D10" s="27">
        <f t="shared" si="0"/>
        <v>74390</v>
      </c>
      <c r="E10" s="28">
        <v>2925</v>
      </c>
      <c r="F10" s="29">
        <v>3888</v>
      </c>
      <c r="G10" s="29">
        <v>11.5</v>
      </c>
      <c r="H10" s="34" t="s">
        <v>32</v>
      </c>
      <c r="I10" s="34"/>
      <c r="J10" s="31" t="s">
        <v>32</v>
      </c>
      <c r="K10" s="34">
        <v>650</v>
      </c>
      <c r="L10" s="32">
        <v>470</v>
      </c>
      <c r="M10" s="32">
        <v>20000</v>
      </c>
      <c r="N10" s="34">
        <v>50000</v>
      </c>
      <c r="O10" s="28"/>
      <c r="P10" s="28" t="s">
        <v>32</v>
      </c>
      <c r="Q10" s="34">
        <v>3270</v>
      </c>
      <c r="R10" s="34" t="s">
        <v>32</v>
      </c>
      <c r="S10" s="32" t="s">
        <v>32</v>
      </c>
      <c r="T10" s="32" t="s">
        <v>32</v>
      </c>
      <c r="U10" s="29" t="s">
        <v>32</v>
      </c>
      <c r="V10" s="28" t="s">
        <v>32</v>
      </c>
      <c r="W10" s="26" t="s">
        <v>32</v>
      </c>
      <c r="X10" s="34" t="s">
        <v>32</v>
      </c>
      <c r="Y10" s="34" t="s">
        <v>32</v>
      </c>
      <c r="Z10" s="34"/>
      <c r="AA10" s="33">
        <f t="shared" si="12"/>
        <v>74390</v>
      </c>
      <c r="AB10" s="24"/>
      <c r="AC10" s="25">
        <v>45785</v>
      </c>
      <c r="AD10" s="26">
        <v>0</v>
      </c>
      <c r="AE10" s="26">
        <v>0</v>
      </c>
      <c r="AF10" s="27">
        <f t="shared" si="1"/>
        <v>0</v>
      </c>
      <c r="AG10" s="28">
        <v>1146</v>
      </c>
      <c r="AH10" s="29">
        <v>5006</v>
      </c>
      <c r="AI10" s="29">
        <v>17</v>
      </c>
      <c r="AJ10" s="34" t="s">
        <v>32</v>
      </c>
      <c r="AK10" s="34"/>
      <c r="AL10" s="31" t="s">
        <v>32</v>
      </c>
      <c r="AM10" s="34" t="s">
        <v>32</v>
      </c>
      <c r="AN10" s="32" t="s">
        <v>32</v>
      </c>
      <c r="AO10" s="32" t="s">
        <v>32</v>
      </c>
      <c r="AP10" s="34" t="s">
        <v>32</v>
      </c>
      <c r="AQ10" s="28"/>
      <c r="AR10" s="28" t="s">
        <v>32</v>
      </c>
      <c r="AS10" s="34" t="s">
        <v>32</v>
      </c>
      <c r="AT10" s="34" t="s">
        <v>32</v>
      </c>
      <c r="AU10" s="32" t="s">
        <v>32</v>
      </c>
      <c r="AV10" s="32" t="s">
        <v>32</v>
      </c>
      <c r="AW10" s="29" t="s">
        <v>32</v>
      </c>
      <c r="AX10" s="28" t="s">
        <v>32</v>
      </c>
      <c r="AY10" s="26" t="s">
        <v>32</v>
      </c>
      <c r="AZ10" s="34" t="s">
        <v>32</v>
      </c>
      <c r="BA10" s="34" t="s">
        <v>32</v>
      </c>
      <c r="BB10" s="34"/>
      <c r="BC10" s="33">
        <f t="shared" si="13"/>
        <v>0</v>
      </c>
      <c r="BD10" s="24"/>
      <c r="BE10" s="25">
        <v>45816</v>
      </c>
      <c r="BF10" s="26">
        <v>0</v>
      </c>
      <c r="BG10" s="26">
        <v>0</v>
      </c>
      <c r="BH10" s="27">
        <f t="shared" si="2"/>
        <v>0</v>
      </c>
      <c r="BI10" s="28">
        <v>951</v>
      </c>
      <c r="BJ10" s="29">
        <v>0</v>
      </c>
      <c r="BK10" s="29">
        <v>0</v>
      </c>
      <c r="BL10" s="34" t="s">
        <v>32</v>
      </c>
      <c r="BM10" s="34"/>
      <c r="BN10" s="31" t="s">
        <v>32</v>
      </c>
      <c r="BO10" s="34" t="s">
        <v>32</v>
      </c>
      <c r="BP10" s="32" t="s">
        <v>32</v>
      </c>
      <c r="BQ10" s="32" t="s">
        <v>32</v>
      </c>
      <c r="BR10" s="34" t="s">
        <v>32</v>
      </c>
      <c r="BS10" s="28"/>
      <c r="BT10" s="28" t="s">
        <v>32</v>
      </c>
      <c r="BU10" s="34" t="s">
        <v>32</v>
      </c>
      <c r="BV10" s="34" t="s">
        <v>32</v>
      </c>
      <c r="BW10" s="32" t="s">
        <v>32</v>
      </c>
      <c r="BX10" s="32" t="s">
        <v>32</v>
      </c>
      <c r="BY10" s="29" t="s">
        <v>32</v>
      </c>
      <c r="BZ10" s="28" t="s">
        <v>32</v>
      </c>
      <c r="CA10" s="26" t="s">
        <v>32</v>
      </c>
      <c r="CB10" s="34" t="s">
        <v>32</v>
      </c>
      <c r="CC10" s="34" t="s">
        <v>32</v>
      </c>
      <c r="CD10" s="34"/>
      <c r="CE10" s="33">
        <f t="shared" si="14"/>
        <v>0</v>
      </c>
      <c r="CF10" s="24"/>
      <c r="CG10" s="25">
        <v>45846</v>
      </c>
      <c r="CH10" s="26">
        <v>0</v>
      </c>
      <c r="CI10" s="26">
        <v>0</v>
      </c>
      <c r="CJ10" s="27">
        <f t="shared" si="3"/>
        <v>0</v>
      </c>
      <c r="CK10" s="28">
        <v>3562</v>
      </c>
      <c r="CL10" s="29">
        <v>4797</v>
      </c>
      <c r="CM10" s="29">
        <v>7.5</v>
      </c>
      <c r="CN10" s="34" t="s">
        <v>32</v>
      </c>
      <c r="CO10" s="34"/>
      <c r="CP10" s="31" t="s">
        <v>32</v>
      </c>
      <c r="CQ10" s="34" t="s">
        <v>32</v>
      </c>
      <c r="CR10" s="32" t="s">
        <v>32</v>
      </c>
      <c r="CS10" s="32" t="s">
        <v>32</v>
      </c>
      <c r="CT10" s="34" t="s">
        <v>32</v>
      </c>
      <c r="CU10" s="28"/>
      <c r="CV10" s="28" t="s">
        <v>32</v>
      </c>
      <c r="CW10" s="34" t="s">
        <v>32</v>
      </c>
      <c r="CX10" s="34" t="s">
        <v>32</v>
      </c>
      <c r="CY10" s="32" t="s">
        <v>32</v>
      </c>
      <c r="CZ10" s="32" t="s">
        <v>32</v>
      </c>
      <c r="DA10" s="29" t="s">
        <v>32</v>
      </c>
      <c r="DB10" s="28" t="s">
        <v>32</v>
      </c>
      <c r="DC10" s="26" t="s">
        <v>32</v>
      </c>
      <c r="DD10" s="34" t="s">
        <v>32</v>
      </c>
      <c r="DE10" s="34" t="s">
        <v>32</v>
      </c>
      <c r="DF10" s="34"/>
      <c r="DG10" s="33">
        <f t="shared" si="15"/>
        <v>0</v>
      </c>
      <c r="DH10" s="24"/>
      <c r="DI10" s="25">
        <v>45877</v>
      </c>
      <c r="DJ10" s="26">
        <v>0</v>
      </c>
      <c r="DK10" s="26">
        <v>0</v>
      </c>
      <c r="DL10" s="28">
        <v>3399</v>
      </c>
      <c r="DM10" s="29">
        <v>0</v>
      </c>
      <c r="DN10" s="29">
        <v>0</v>
      </c>
      <c r="DO10" s="27">
        <f t="shared" si="4"/>
        <v>0</v>
      </c>
      <c r="DP10" s="34" t="s">
        <v>32</v>
      </c>
      <c r="DQ10" s="34"/>
      <c r="DR10" s="31" t="s">
        <v>32</v>
      </c>
      <c r="DS10" s="34" t="s">
        <v>32</v>
      </c>
      <c r="DT10" s="32" t="s">
        <v>32</v>
      </c>
      <c r="DU10" s="32" t="s">
        <v>32</v>
      </c>
      <c r="DV10" s="34" t="s">
        <v>32</v>
      </c>
      <c r="DW10" s="28"/>
      <c r="DX10" s="28" t="s">
        <v>32</v>
      </c>
      <c r="DY10" s="34" t="s">
        <v>32</v>
      </c>
      <c r="DZ10" s="34" t="s">
        <v>32</v>
      </c>
      <c r="EA10" s="32" t="s">
        <v>32</v>
      </c>
      <c r="EB10" s="32" t="s">
        <v>32</v>
      </c>
      <c r="EC10" s="29" t="s">
        <v>32</v>
      </c>
      <c r="ED10" s="28" t="s">
        <v>32</v>
      </c>
      <c r="EE10" s="26" t="s">
        <v>32</v>
      </c>
      <c r="EF10" s="34" t="s">
        <v>32</v>
      </c>
      <c r="EG10" s="34" t="s">
        <v>32</v>
      </c>
      <c r="EH10" s="34"/>
      <c r="EI10" s="33">
        <f t="shared" si="16"/>
        <v>0</v>
      </c>
      <c r="EJ10" s="24"/>
      <c r="EK10" s="25">
        <v>45908</v>
      </c>
      <c r="EL10" s="28">
        <v>2817</v>
      </c>
      <c r="EM10" s="28">
        <v>924</v>
      </c>
      <c r="EN10" s="28">
        <v>8.4499999999999993</v>
      </c>
      <c r="EO10" s="26">
        <v>0</v>
      </c>
      <c r="EP10" s="26">
        <v>0</v>
      </c>
      <c r="EQ10" s="27">
        <f t="shared" si="5"/>
        <v>0</v>
      </c>
      <c r="ER10" s="34" t="s">
        <v>32</v>
      </c>
      <c r="ES10" s="34"/>
      <c r="ET10" s="31" t="s">
        <v>32</v>
      </c>
      <c r="EU10" s="34" t="s">
        <v>32</v>
      </c>
      <c r="EV10" s="30" t="s">
        <v>32</v>
      </c>
      <c r="EW10" s="30" t="s">
        <v>32</v>
      </c>
      <c r="EX10" s="34" t="s">
        <v>32</v>
      </c>
      <c r="EY10" s="28"/>
      <c r="EZ10" s="28" t="s">
        <v>32</v>
      </c>
      <c r="FA10" s="34" t="s">
        <v>32</v>
      </c>
      <c r="FB10" s="34" t="s">
        <v>32</v>
      </c>
      <c r="FC10" s="32" t="s">
        <v>32</v>
      </c>
      <c r="FD10" s="32" t="s">
        <v>32</v>
      </c>
      <c r="FE10" s="75" t="s">
        <v>32</v>
      </c>
      <c r="FF10" s="32" t="s">
        <v>32</v>
      </c>
      <c r="FG10" s="26" t="s">
        <v>32</v>
      </c>
      <c r="FH10" s="34" t="s">
        <v>32</v>
      </c>
      <c r="FI10" s="34" t="s">
        <v>32</v>
      </c>
      <c r="FJ10" s="34"/>
      <c r="FK10" s="33">
        <f t="shared" si="17"/>
        <v>0</v>
      </c>
      <c r="FL10" s="24"/>
      <c r="FM10" s="25">
        <v>45938</v>
      </c>
      <c r="FN10" s="28">
        <v>3065</v>
      </c>
      <c r="FO10" s="75">
        <v>1144</v>
      </c>
      <c r="FP10" s="75">
        <v>6.25</v>
      </c>
      <c r="FQ10" s="26">
        <v>2017</v>
      </c>
      <c r="FR10" s="26">
        <v>111514</v>
      </c>
      <c r="FS10" s="32">
        <f t="shared" si="11"/>
        <v>201750</v>
      </c>
      <c r="FT10" s="34" t="s">
        <v>32</v>
      </c>
      <c r="FU10" s="34"/>
      <c r="FV10" s="26">
        <v>40000</v>
      </c>
      <c r="FW10" s="34" t="s">
        <v>32</v>
      </c>
      <c r="FX10" s="32">
        <v>15000</v>
      </c>
      <c r="FY10" s="32" t="s">
        <v>32</v>
      </c>
      <c r="FZ10" s="34">
        <v>35500</v>
      </c>
      <c r="GA10" s="28">
        <v>800</v>
      </c>
      <c r="GB10" s="28" t="s">
        <v>32</v>
      </c>
      <c r="GC10" s="82">
        <v>590</v>
      </c>
      <c r="GD10" s="34">
        <v>3060</v>
      </c>
      <c r="GE10" s="32">
        <v>5300</v>
      </c>
      <c r="GF10" s="32" t="s">
        <v>145</v>
      </c>
      <c r="GG10" s="29">
        <v>1500</v>
      </c>
      <c r="GH10" s="28" t="s">
        <v>32</v>
      </c>
      <c r="GI10" s="26">
        <v>100000</v>
      </c>
      <c r="GJ10" s="34" t="s">
        <v>146</v>
      </c>
      <c r="GK10" s="32" t="s">
        <v>32</v>
      </c>
      <c r="GL10" s="34"/>
      <c r="GM10" s="33">
        <f t="shared" si="18"/>
        <v>201750</v>
      </c>
      <c r="GN10" s="24"/>
      <c r="GO10" s="25">
        <v>45969</v>
      </c>
      <c r="GP10" s="28">
        <v>2308</v>
      </c>
      <c r="GQ10" s="75">
        <v>5433</v>
      </c>
      <c r="GR10" s="75">
        <v>8</v>
      </c>
      <c r="GS10" s="26">
        <v>1058</v>
      </c>
      <c r="GT10" s="26">
        <v>66903</v>
      </c>
      <c r="GU10" s="32">
        <f t="shared" si="6"/>
        <v>53380</v>
      </c>
      <c r="GV10" s="34" t="s">
        <v>32</v>
      </c>
      <c r="GW10" s="28"/>
      <c r="GX10" s="26" t="s">
        <v>32</v>
      </c>
      <c r="GY10" s="34">
        <v>32100</v>
      </c>
      <c r="GZ10" s="32">
        <v>5200</v>
      </c>
      <c r="HA10" s="32" t="s">
        <v>32</v>
      </c>
      <c r="HB10" s="34">
        <v>13600</v>
      </c>
      <c r="HC10" s="28"/>
      <c r="HD10" s="28">
        <v>200</v>
      </c>
      <c r="HE10" s="26">
        <v>1780</v>
      </c>
      <c r="HF10" s="34" t="s">
        <v>32</v>
      </c>
      <c r="HG10" s="32" t="s">
        <v>32</v>
      </c>
      <c r="HH10" s="32" t="s">
        <v>32</v>
      </c>
      <c r="HI10" s="29" t="s">
        <v>32</v>
      </c>
      <c r="HJ10" s="32" t="s">
        <v>32</v>
      </c>
      <c r="HK10" s="26">
        <v>500</v>
      </c>
      <c r="HL10" s="26" t="s">
        <v>40</v>
      </c>
      <c r="HM10" s="82" t="s">
        <v>32</v>
      </c>
      <c r="HN10" s="82"/>
      <c r="HO10" s="33">
        <f t="shared" si="19"/>
        <v>53380</v>
      </c>
      <c r="HP10" s="24"/>
      <c r="HQ10" s="25">
        <v>45999</v>
      </c>
      <c r="HR10" s="28">
        <v>3381</v>
      </c>
      <c r="HS10" s="75">
        <v>1350</v>
      </c>
      <c r="HT10" s="75">
        <v>6.75</v>
      </c>
      <c r="HU10" s="26">
        <v>0</v>
      </c>
      <c r="HV10" s="26">
        <v>0</v>
      </c>
      <c r="HW10" s="32">
        <f t="shared" si="7"/>
        <v>0</v>
      </c>
      <c r="HX10" s="30" t="s">
        <v>32</v>
      </c>
      <c r="HY10" s="28"/>
      <c r="HZ10" s="26" t="s">
        <v>32</v>
      </c>
      <c r="IA10" s="30" t="s">
        <v>32</v>
      </c>
      <c r="IB10" s="32" t="s">
        <v>32</v>
      </c>
      <c r="IC10" s="75" t="s">
        <v>32</v>
      </c>
      <c r="ID10" s="30" t="s">
        <v>32</v>
      </c>
      <c r="IE10" s="28"/>
      <c r="IF10" s="28" t="s">
        <v>32</v>
      </c>
      <c r="IG10" s="26" t="s">
        <v>32</v>
      </c>
      <c r="IH10" s="30" t="s">
        <v>32</v>
      </c>
      <c r="II10" s="28" t="s">
        <v>32</v>
      </c>
      <c r="IJ10" s="28" t="s">
        <v>32</v>
      </c>
      <c r="IK10" s="75" t="s">
        <v>32</v>
      </c>
      <c r="IL10" s="32" t="s">
        <v>32</v>
      </c>
      <c r="IM10" s="26" t="s">
        <v>32</v>
      </c>
      <c r="IN10" s="26" t="s">
        <v>32</v>
      </c>
      <c r="IO10" s="82" t="s">
        <v>32</v>
      </c>
      <c r="IP10" s="82"/>
      <c r="IQ10" s="33">
        <f t="shared" si="20"/>
        <v>0</v>
      </c>
      <c r="IR10" s="24"/>
      <c r="IS10" s="25">
        <v>46030</v>
      </c>
      <c r="IT10" s="28">
        <v>1721</v>
      </c>
      <c r="IU10" s="75">
        <v>3801</v>
      </c>
      <c r="IV10" s="75">
        <v>6</v>
      </c>
      <c r="IW10" s="26">
        <v>2235</v>
      </c>
      <c r="IX10" s="26">
        <v>113150</v>
      </c>
      <c r="IY10" s="32">
        <f t="shared" si="8"/>
        <v>278950</v>
      </c>
      <c r="IZ10" s="34">
        <v>45710</v>
      </c>
      <c r="JA10" s="34">
        <v>16190</v>
      </c>
      <c r="JB10" s="26" t="s">
        <v>32</v>
      </c>
      <c r="JC10" s="34">
        <v>145000</v>
      </c>
      <c r="JD10" s="32">
        <v>50000</v>
      </c>
      <c r="JE10" s="32">
        <v>15000</v>
      </c>
      <c r="JF10" s="34" t="s">
        <v>32</v>
      </c>
      <c r="JG10" s="28"/>
      <c r="JH10" s="28" t="s">
        <v>32</v>
      </c>
      <c r="JI10" s="82">
        <v>1000</v>
      </c>
      <c r="JJ10" s="34" t="s">
        <v>32</v>
      </c>
      <c r="JK10" s="32" t="s">
        <v>32</v>
      </c>
      <c r="JL10" s="32" t="s">
        <v>32</v>
      </c>
      <c r="JM10" s="29" t="s">
        <v>32</v>
      </c>
      <c r="JN10" s="28" t="s">
        <v>32</v>
      </c>
      <c r="JO10" s="26" t="s">
        <v>32</v>
      </c>
      <c r="JP10" s="34" t="s">
        <v>32</v>
      </c>
      <c r="JQ10" s="32">
        <v>6050</v>
      </c>
      <c r="JR10" s="34" t="s">
        <v>59</v>
      </c>
      <c r="JS10" s="33">
        <f t="shared" si="21"/>
        <v>278950</v>
      </c>
      <c r="JT10" s="24"/>
      <c r="JU10" s="25">
        <v>46061</v>
      </c>
      <c r="JV10" s="28">
        <v>2079</v>
      </c>
      <c r="JW10" s="75">
        <v>2093</v>
      </c>
      <c r="JX10" s="75">
        <v>9</v>
      </c>
      <c r="JY10" s="26">
        <v>0</v>
      </c>
      <c r="JZ10" s="26">
        <v>0</v>
      </c>
      <c r="KA10" s="32">
        <f t="shared" si="9"/>
        <v>0</v>
      </c>
      <c r="KB10" s="34" t="s">
        <v>32</v>
      </c>
      <c r="KC10" s="34"/>
      <c r="KD10" s="26" t="s">
        <v>32</v>
      </c>
      <c r="KE10" s="34" t="s">
        <v>32</v>
      </c>
      <c r="KF10" s="32" t="s">
        <v>32</v>
      </c>
      <c r="KG10" s="32" t="s">
        <v>32</v>
      </c>
      <c r="KH10" s="34" t="s">
        <v>32</v>
      </c>
      <c r="KI10" s="28"/>
      <c r="KJ10" s="28" t="s">
        <v>32</v>
      </c>
      <c r="KK10" s="82" t="s">
        <v>32</v>
      </c>
      <c r="KL10" s="34" t="s">
        <v>32</v>
      </c>
      <c r="KM10" s="32" t="s">
        <v>32</v>
      </c>
      <c r="KN10" s="32" t="s">
        <v>32</v>
      </c>
      <c r="KO10" s="29" t="s">
        <v>32</v>
      </c>
      <c r="KP10" s="28" t="s">
        <v>32</v>
      </c>
      <c r="KQ10" s="26" t="s">
        <v>32</v>
      </c>
      <c r="KR10" s="34" t="s">
        <v>32</v>
      </c>
      <c r="KS10" s="32" t="s">
        <v>32</v>
      </c>
      <c r="KT10" s="34"/>
      <c r="KU10" s="33">
        <f t="shared" si="22"/>
        <v>0</v>
      </c>
      <c r="KV10" s="24"/>
      <c r="KW10" s="25">
        <v>46089</v>
      </c>
      <c r="KX10" s="28">
        <v>2264</v>
      </c>
      <c r="KY10" s="75">
        <v>0</v>
      </c>
      <c r="KZ10" s="75">
        <v>2.75</v>
      </c>
      <c r="LA10" s="26">
        <v>11878</v>
      </c>
      <c r="LB10" s="26">
        <v>575537</v>
      </c>
      <c r="LC10" s="32">
        <f t="shared" si="10"/>
        <v>259820</v>
      </c>
      <c r="LD10" s="34" t="s">
        <v>32</v>
      </c>
      <c r="LE10" s="34"/>
      <c r="LF10" s="26">
        <v>18000</v>
      </c>
      <c r="LG10" s="34">
        <v>40000</v>
      </c>
      <c r="LH10" s="32">
        <v>43600</v>
      </c>
      <c r="LI10" s="32">
        <v>105855</v>
      </c>
      <c r="LJ10" s="34">
        <v>50000</v>
      </c>
      <c r="LK10" s="28"/>
      <c r="LL10" s="28" t="s">
        <v>32</v>
      </c>
      <c r="LM10" s="82">
        <v>2365</v>
      </c>
      <c r="LN10" s="34" t="s">
        <v>32</v>
      </c>
      <c r="LO10" s="32" t="s">
        <v>32</v>
      </c>
      <c r="LP10" s="32" t="s">
        <v>32</v>
      </c>
      <c r="LQ10" s="29" t="s">
        <v>32</v>
      </c>
      <c r="LR10" s="28" t="s">
        <v>32</v>
      </c>
      <c r="LS10" s="26" t="s">
        <v>32</v>
      </c>
      <c r="LT10" s="34" t="s">
        <v>32</v>
      </c>
      <c r="LU10" s="32" t="s">
        <v>32</v>
      </c>
      <c r="LV10" s="34"/>
      <c r="LW10" s="33">
        <f t="shared" si="23"/>
        <v>259820</v>
      </c>
      <c r="LX10" s="24"/>
    </row>
    <row r="11" spans="1:336" x14ac:dyDescent="0.3">
      <c r="A11" s="25">
        <v>45756</v>
      </c>
      <c r="B11" s="26">
        <v>0</v>
      </c>
      <c r="C11" s="26">
        <v>0</v>
      </c>
      <c r="D11" s="27">
        <f t="shared" si="0"/>
        <v>0</v>
      </c>
      <c r="E11" s="28">
        <v>1856</v>
      </c>
      <c r="F11" s="29">
        <v>0</v>
      </c>
      <c r="G11" s="29">
        <v>6</v>
      </c>
      <c r="H11" s="34" t="s">
        <v>32</v>
      </c>
      <c r="I11" s="34" t="s">
        <v>32</v>
      </c>
      <c r="J11" s="31" t="s">
        <v>32</v>
      </c>
      <c r="K11" s="34" t="s">
        <v>32</v>
      </c>
      <c r="L11" s="32" t="s">
        <v>32</v>
      </c>
      <c r="M11" s="32" t="s">
        <v>32</v>
      </c>
      <c r="N11" s="34" t="s">
        <v>32</v>
      </c>
      <c r="O11" s="28"/>
      <c r="P11" s="28" t="s">
        <v>32</v>
      </c>
      <c r="Q11" s="34" t="s">
        <v>32</v>
      </c>
      <c r="R11" s="34" t="s">
        <v>32</v>
      </c>
      <c r="S11" s="32" t="s">
        <v>32</v>
      </c>
      <c r="T11" s="32" t="s">
        <v>32</v>
      </c>
      <c r="U11" s="29" t="s">
        <v>32</v>
      </c>
      <c r="V11" s="28" t="s">
        <v>32</v>
      </c>
      <c r="W11" s="26" t="s">
        <v>32</v>
      </c>
      <c r="X11" s="34" t="s">
        <v>32</v>
      </c>
      <c r="Y11" s="34" t="s">
        <v>32</v>
      </c>
      <c r="Z11" s="34" t="s">
        <v>32</v>
      </c>
      <c r="AA11" s="33">
        <f t="shared" si="12"/>
        <v>0</v>
      </c>
      <c r="AB11" s="24"/>
      <c r="AC11" s="25">
        <v>45786</v>
      </c>
      <c r="AD11" s="26">
        <v>8085</v>
      </c>
      <c r="AE11" s="26">
        <v>809822</v>
      </c>
      <c r="AF11" s="27">
        <f t="shared" si="1"/>
        <v>176318</v>
      </c>
      <c r="AG11" s="28">
        <v>1400</v>
      </c>
      <c r="AH11" s="29">
        <v>4989</v>
      </c>
      <c r="AI11" s="29">
        <v>17.5</v>
      </c>
      <c r="AJ11" s="34" t="s">
        <v>32</v>
      </c>
      <c r="AK11" s="34" t="s">
        <v>32</v>
      </c>
      <c r="AL11" s="31" t="s">
        <v>32</v>
      </c>
      <c r="AM11" s="34">
        <v>95570</v>
      </c>
      <c r="AN11" s="32" t="s">
        <v>32</v>
      </c>
      <c r="AO11" s="32" t="s">
        <v>32</v>
      </c>
      <c r="AP11" s="34">
        <v>46000</v>
      </c>
      <c r="AQ11" s="28">
        <v>32968</v>
      </c>
      <c r="AR11" s="28">
        <v>780</v>
      </c>
      <c r="AS11" s="34">
        <v>1000</v>
      </c>
      <c r="AT11" s="34" t="s">
        <v>32</v>
      </c>
      <c r="AU11" s="32" t="s">
        <v>32</v>
      </c>
      <c r="AV11" s="32" t="s">
        <v>32</v>
      </c>
      <c r="AW11" s="29" t="s">
        <v>32</v>
      </c>
      <c r="AX11" s="28" t="s">
        <v>32</v>
      </c>
      <c r="AY11" s="26" t="s">
        <v>32</v>
      </c>
      <c r="AZ11" s="34" t="s">
        <v>32</v>
      </c>
      <c r="BA11" s="34" t="s">
        <v>32</v>
      </c>
      <c r="BB11" s="34" t="s">
        <v>32</v>
      </c>
      <c r="BC11" s="33">
        <f t="shared" si="13"/>
        <v>176318</v>
      </c>
      <c r="BD11" s="24"/>
      <c r="BE11" s="25">
        <v>45817</v>
      </c>
      <c r="BF11" s="26">
        <v>23089</v>
      </c>
      <c r="BG11" s="26">
        <v>1524100</v>
      </c>
      <c r="BH11" s="27">
        <f t="shared" si="2"/>
        <v>89075</v>
      </c>
      <c r="BI11" s="28">
        <v>1488</v>
      </c>
      <c r="BJ11" s="29">
        <v>1234</v>
      </c>
      <c r="BK11" s="29">
        <v>4.5</v>
      </c>
      <c r="BL11" s="34" t="s">
        <v>32</v>
      </c>
      <c r="BM11" s="34" t="s">
        <v>32</v>
      </c>
      <c r="BN11" s="31" t="s">
        <v>32</v>
      </c>
      <c r="BO11" s="34">
        <v>50000</v>
      </c>
      <c r="BP11" s="32">
        <v>37770</v>
      </c>
      <c r="BQ11" s="32" t="s">
        <v>32</v>
      </c>
      <c r="BR11" s="34" t="s">
        <v>32</v>
      </c>
      <c r="BS11" s="28"/>
      <c r="BT11" s="28" t="s">
        <v>32</v>
      </c>
      <c r="BU11" s="34">
        <v>1305</v>
      </c>
      <c r="BV11" s="34" t="s">
        <v>32</v>
      </c>
      <c r="BW11" s="32" t="s">
        <v>32</v>
      </c>
      <c r="BX11" s="32" t="s">
        <v>32</v>
      </c>
      <c r="BY11" s="29" t="s">
        <v>32</v>
      </c>
      <c r="BZ11" s="28" t="s">
        <v>32</v>
      </c>
      <c r="CA11" s="26" t="s">
        <v>32</v>
      </c>
      <c r="CB11" s="34" t="s">
        <v>32</v>
      </c>
      <c r="CC11" s="34" t="s">
        <v>32</v>
      </c>
      <c r="CD11" s="34" t="s">
        <v>32</v>
      </c>
      <c r="CE11" s="33">
        <f t="shared" si="14"/>
        <v>89075</v>
      </c>
      <c r="CF11" s="24"/>
      <c r="CG11" s="25">
        <v>45847</v>
      </c>
      <c r="CH11" s="26">
        <v>5899</v>
      </c>
      <c r="CI11" s="26">
        <v>207444</v>
      </c>
      <c r="CJ11" s="27">
        <f t="shared" si="3"/>
        <v>189863</v>
      </c>
      <c r="CK11" s="28">
        <v>3732</v>
      </c>
      <c r="CL11" s="29">
        <v>0</v>
      </c>
      <c r="CM11" s="29">
        <v>5.25</v>
      </c>
      <c r="CN11" s="34">
        <v>12230</v>
      </c>
      <c r="CO11" s="34">
        <v>14720</v>
      </c>
      <c r="CP11" s="31">
        <v>90953</v>
      </c>
      <c r="CQ11" s="34" t="s">
        <v>32</v>
      </c>
      <c r="CR11" s="32">
        <v>10000</v>
      </c>
      <c r="CS11" s="32" t="s">
        <v>32</v>
      </c>
      <c r="CT11" s="34">
        <v>52000</v>
      </c>
      <c r="CU11" s="28"/>
      <c r="CV11" s="28">
        <v>2760</v>
      </c>
      <c r="CW11" s="34" t="s">
        <v>32</v>
      </c>
      <c r="CX11" s="34" t="s">
        <v>32</v>
      </c>
      <c r="CY11" s="32">
        <v>5000</v>
      </c>
      <c r="CZ11" s="32" t="s">
        <v>111</v>
      </c>
      <c r="DA11" s="29">
        <v>2200</v>
      </c>
      <c r="DB11" s="28" t="s">
        <v>32</v>
      </c>
      <c r="DC11" s="26" t="s">
        <v>32</v>
      </c>
      <c r="DD11" s="34" t="s">
        <v>32</v>
      </c>
      <c r="DE11" s="34" t="s">
        <v>32</v>
      </c>
      <c r="DF11" s="34" t="s">
        <v>32</v>
      </c>
      <c r="DG11" s="33">
        <f t="shared" si="15"/>
        <v>189863</v>
      </c>
      <c r="DH11" s="24"/>
      <c r="DI11" s="25">
        <v>45878</v>
      </c>
      <c r="DJ11" s="26">
        <v>0</v>
      </c>
      <c r="DK11" s="26">
        <v>0</v>
      </c>
      <c r="DL11" s="28">
        <v>1878</v>
      </c>
      <c r="DM11" s="29">
        <v>0</v>
      </c>
      <c r="DN11" s="29">
        <v>0</v>
      </c>
      <c r="DO11" s="27">
        <f t="shared" si="4"/>
        <v>0</v>
      </c>
      <c r="DP11" s="34" t="s">
        <v>32</v>
      </c>
      <c r="DQ11" s="34" t="s">
        <v>32</v>
      </c>
      <c r="DR11" s="31" t="s">
        <v>32</v>
      </c>
      <c r="DS11" s="34" t="s">
        <v>32</v>
      </c>
      <c r="DT11" s="32" t="s">
        <v>32</v>
      </c>
      <c r="DU11" s="32" t="s">
        <v>32</v>
      </c>
      <c r="DV11" s="34" t="s">
        <v>32</v>
      </c>
      <c r="DW11" s="28"/>
      <c r="DX11" s="28" t="s">
        <v>32</v>
      </c>
      <c r="DY11" s="34" t="s">
        <v>32</v>
      </c>
      <c r="DZ11" s="34" t="s">
        <v>32</v>
      </c>
      <c r="EA11" s="32" t="s">
        <v>32</v>
      </c>
      <c r="EB11" s="32" t="s">
        <v>32</v>
      </c>
      <c r="EC11" s="29" t="s">
        <v>32</v>
      </c>
      <c r="ED11" s="28" t="s">
        <v>32</v>
      </c>
      <c r="EE11" s="26" t="s">
        <v>32</v>
      </c>
      <c r="EF11" s="34" t="s">
        <v>32</v>
      </c>
      <c r="EG11" s="34" t="s">
        <v>32</v>
      </c>
      <c r="EH11" s="34" t="s">
        <v>32</v>
      </c>
      <c r="EI11" s="33">
        <f t="shared" si="16"/>
        <v>0</v>
      </c>
      <c r="EJ11" s="24"/>
      <c r="EK11" s="25">
        <v>45909</v>
      </c>
      <c r="EL11" s="28">
        <v>2974</v>
      </c>
      <c r="EM11" s="28">
        <v>6432</v>
      </c>
      <c r="EN11" s="28">
        <v>11</v>
      </c>
      <c r="EO11" s="26">
        <v>0</v>
      </c>
      <c r="EP11" s="26">
        <v>0</v>
      </c>
      <c r="EQ11" s="27">
        <f t="shared" si="5"/>
        <v>0</v>
      </c>
      <c r="ER11" s="34" t="s">
        <v>32</v>
      </c>
      <c r="ES11" s="34" t="s">
        <v>32</v>
      </c>
      <c r="ET11" s="31" t="s">
        <v>32</v>
      </c>
      <c r="EU11" s="34" t="s">
        <v>32</v>
      </c>
      <c r="EV11" s="30" t="s">
        <v>32</v>
      </c>
      <c r="EW11" s="30" t="s">
        <v>32</v>
      </c>
      <c r="EX11" s="34" t="s">
        <v>32</v>
      </c>
      <c r="EY11" s="28"/>
      <c r="EZ11" s="28" t="s">
        <v>32</v>
      </c>
      <c r="FA11" s="34" t="s">
        <v>32</v>
      </c>
      <c r="FB11" s="34" t="s">
        <v>32</v>
      </c>
      <c r="FC11" s="32" t="s">
        <v>32</v>
      </c>
      <c r="FD11" s="32" t="s">
        <v>32</v>
      </c>
      <c r="FE11" s="75" t="s">
        <v>32</v>
      </c>
      <c r="FF11" s="32" t="s">
        <v>32</v>
      </c>
      <c r="FG11" s="26" t="s">
        <v>32</v>
      </c>
      <c r="FH11" s="34" t="s">
        <v>32</v>
      </c>
      <c r="FI11" s="34" t="s">
        <v>32</v>
      </c>
      <c r="FJ11" s="34" t="s">
        <v>32</v>
      </c>
      <c r="FK11" s="33">
        <f t="shared" si="17"/>
        <v>0</v>
      </c>
      <c r="FL11" s="24"/>
      <c r="FM11" s="25">
        <v>45939</v>
      </c>
      <c r="FN11" s="28">
        <v>3082</v>
      </c>
      <c r="FO11" s="75">
        <v>2223</v>
      </c>
      <c r="FP11" s="75">
        <v>5.25</v>
      </c>
      <c r="FQ11" s="26">
        <v>0</v>
      </c>
      <c r="FR11" s="26">
        <v>0</v>
      </c>
      <c r="FS11" s="32">
        <f t="shared" si="11"/>
        <v>0</v>
      </c>
      <c r="FT11" s="34" t="s">
        <v>32</v>
      </c>
      <c r="FU11" s="34" t="s">
        <v>32</v>
      </c>
      <c r="FV11" s="26" t="s">
        <v>32</v>
      </c>
      <c r="FW11" s="34" t="s">
        <v>32</v>
      </c>
      <c r="FX11" s="32" t="s">
        <v>32</v>
      </c>
      <c r="FY11" s="32" t="s">
        <v>32</v>
      </c>
      <c r="FZ11" s="34" t="s">
        <v>32</v>
      </c>
      <c r="GA11" s="28"/>
      <c r="GB11" s="28" t="s">
        <v>32</v>
      </c>
      <c r="GC11" s="82" t="s">
        <v>32</v>
      </c>
      <c r="GD11" s="34" t="s">
        <v>32</v>
      </c>
      <c r="GE11" s="32" t="s">
        <v>32</v>
      </c>
      <c r="GF11" s="32" t="s">
        <v>32</v>
      </c>
      <c r="GG11" s="29" t="s">
        <v>32</v>
      </c>
      <c r="GH11" s="28" t="s">
        <v>32</v>
      </c>
      <c r="GI11" s="26" t="s">
        <v>32</v>
      </c>
      <c r="GJ11" s="34" t="s">
        <v>32</v>
      </c>
      <c r="GK11" s="32" t="s">
        <v>32</v>
      </c>
      <c r="GL11" s="34" t="s">
        <v>32</v>
      </c>
      <c r="GM11" s="33">
        <f t="shared" si="18"/>
        <v>0</v>
      </c>
      <c r="GN11" s="24"/>
      <c r="GO11" s="25">
        <v>45970</v>
      </c>
      <c r="GP11" s="28">
        <v>2572</v>
      </c>
      <c r="GQ11" s="75">
        <v>0</v>
      </c>
      <c r="GR11" s="75">
        <v>6.5</v>
      </c>
      <c r="GS11" s="26">
        <v>0</v>
      </c>
      <c r="GT11" s="26">
        <v>0</v>
      </c>
      <c r="GU11" s="32">
        <f t="shared" si="6"/>
        <v>0</v>
      </c>
      <c r="GV11" s="34" t="s">
        <v>32</v>
      </c>
      <c r="GW11" s="28" t="s">
        <v>32</v>
      </c>
      <c r="GX11" s="26" t="s">
        <v>32</v>
      </c>
      <c r="GY11" s="34" t="s">
        <v>32</v>
      </c>
      <c r="GZ11" s="32" t="s">
        <v>32</v>
      </c>
      <c r="HA11" s="32" t="s">
        <v>32</v>
      </c>
      <c r="HB11" s="34" t="s">
        <v>32</v>
      </c>
      <c r="HC11" s="28"/>
      <c r="HD11" s="28" t="s">
        <v>32</v>
      </c>
      <c r="HE11" s="26" t="s">
        <v>32</v>
      </c>
      <c r="HF11" s="34" t="s">
        <v>32</v>
      </c>
      <c r="HG11" s="32" t="s">
        <v>32</v>
      </c>
      <c r="HH11" s="32" t="s">
        <v>32</v>
      </c>
      <c r="HI11" s="29" t="s">
        <v>32</v>
      </c>
      <c r="HJ11" s="32" t="s">
        <v>32</v>
      </c>
      <c r="HK11" s="26" t="s">
        <v>32</v>
      </c>
      <c r="HL11" s="26" t="s">
        <v>32</v>
      </c>
      <c r="HM11" s="82" t="s">
        <v>32</v>
      </c>
      <c r="HN11" s="82" t="s">
        <v>32</v>
      </c>
      <c r="HO11" s="33">
        <f t="shared" si="19"/>
        <v>0</v>
      </c>
      <c r="HP11" s="24"/>
      <c r="HQ11" s="25">
        <v>46000</v>
      </c>
      <c r="HR11" s="28">
        <v>3242</v>
      </c>
      <c r="HS11" s="75">
        <v>0</v>
      </c>
      <c r="HT11" s="75">
        <v>9</v>
      </c>
      <c r="HU11" s="26">
        <v>0</v>
      </c>
      <c r="HV11" s="26">
        <v>0</v>
      </c>
      <c r="HW11" s="32">
        <f t="shared" si="7"/>
        <v>0</v>
      </c>
      <c r="HX11" s="30" t="s">
        <v>32</v>
      </c>
      <c r="HY11" s="28" t="s">
        <v>32</v>
      </c>
      <c r="HZ11" s="26" t="s">
        <v>32</v>
      </c>
      <c r="IA11" s="30" t="s">
        <v>32</v>
      </c>
      <c r="IB11" s="32" t="s">
        <v>32</v>
      </c>
      <c r="IC11" s="75" t="s">
        <v>32</v>
      </c>
      <c r="ID11" s="30" t="s">
        <v>32</v>
      </c>
      <c r="IE11" s="28"/>
      <c r="IF11" s="28" t="s">
        <v>32</v>
      </c>
      <c r="IG11" s="26" t="s">
        <v>32</v>
      </c>
      <c r="IH11" s="30" t="s">
        <v>32</v>
      </c>
      <c r="II11" s="28" t="s">
        <v>32</v>
      </c>
      <c r="IJ11" s="28" t="s">
        <v>32</v>
      </c>
      <c r="IK11" s="75" t="s">
        <v>32</v>
      </c>
      <c r="IL11" s="32" t="s">
        <v>32</v>
      </c>
      <c r="IM11" s="26" t="s">
        <v>32</v>
      </c>
      <c r="IN11" s="26" t="s">
        <v>32</v>
      </c>
      <c r="IO11" s="82" t="s">
        <v>32</v>
      </c>
      <c r="IP11" s="82" t="s">
        <v>32</v>
      </c>
      <c r="IQ11" s="33">
        <f t="shared" si="20"/>
        <v>0</v>
      </c>
      <c r="IR11" s="24"/>
      <c r="IS11" s="25">
        <v>46031</v>
      </c>
      <c r="IT11" s="28">
        <v>2541</v>
      </c>
      <c r="IU11" s="75">
        <v>1906</v>
      </c>
      <c r="IV11" s="75">
        <v>6.75</v>
      </c>
      <c r="IW11" s="26">
        <v>0</v>
      </c>
      <c r="IX11" s="26">
        <v>0</v>
      </c>
      <c r="IY11" s="32">
        <f t="shared" si="8"/>
        <v>0</v>
      </c>
      <c r="IZ11" s="34" t="s">
        <v>32</v>
      </c>
      <c r="JA11" s="34" t="s">
        <v>32</v>
      </c>
      <c r="JB11" s="26" t="s">
        <v>32</v>
      </c>
      <c r="JC11" s="34" t="s">
        <v>32</v>
      </c>
      <c r="JD11" s="32" t="s">
        <v>32</v>
      </c>
      <c r="JE11" s="32" t="s">
        <v>32</v>
      </c>
      <c r="JF11" s="34" t="s">
        <v>32</v>
      </c>
      <c r="JG11" s="28"/>
      <c r="JH11" s="28" t="s">
        <v>32</v>
      </c>
      <c r="JI11" s="82" t="s">
        <v>32</v>
      </c>
      <c r="JJ11" s="34" t="s">
        <v>32</v>
      </c>
      <c r="JK11" s="32" t="s">
        <v>32</v>
      </c>
      <c r="JL11" s="32" t="s">
        <v>32</v>
      </c>
      <c r="JM11" s="29" t="s">
        <v>32</v>
      </c>
      <c r="JN11" s="28" t="s">
        <v>32</v>
      </c>
      <c r="JO11" s="26" t="s">
        <v>32</v>
      </c>
      <c r="JP11" s="34" t="s">
        <v>32</v>
      </c>
      <c r="JQ11" s="32" t="s">
        <v>32</v>
      </c>
      <c r="JR11" s="34" t="s">
        <v>32</v>
      </c>
      <c r="JS11" s="33">
        <f t="shared" si="21"/>
        <v>0</v>
      </c>
      <c r="JT11" s="24"/>
      <c r="JU11" s="25">
        <v>46062</v>
      </c>
      <c r="JV11" s="28">
        <v>3314</v>
      </c>
      <c r="JW11" s="75">
        <v>5862</v>
      </c>
      <c r="JX11" s="75">
        <v>8.75</v>
      </c>
      <c r="JY11" s="26">
        <v>13194</v>
      </c>
      <c r="JZ11" s="26">
        <v>709026</v>
      </c>
      <c r="KA11" s="32">
        <f t="shared" si="9"/>
        <v>261660</v>
      </c>
      <c r="KB11" s="34">
        <v>22040</v>
      </c>
      <c r="KC11" s="34">
        <v>16460</v>
      </c>
      <c r="KD11" s="26">
        <v>196000</v>
      </c>
      <c r="KE11" s="34" t="s">
        <v>32</v>
      </c>
      <c r="KF11" s="32" t="s">
        <v>32</v>
      </c>
      <c r="KG11" s="32" t="s">
        <v>32</v>
      </c>
      <c r="KH11" s="34">
        <v>21500</v>
      </c>
      <c r="KI11" s="28"/>
      <c r="KJ11" s="28">
        <v>500</v>
      </c>
      <c r="KK11" s="82">
        <v>3900</v>
      </c>
      <c r="KL11" s="34" t="s">
        <v>32</v>
      </c>
      <c r="KM11" s="32" t="s">
        <v>32</v>
      </c>
      <c r="KN11" s="32" t="s">
        <v>32</v>
      </c>
      <c r="KO11" s="29" t="s">
        <v>32</v>
      </c>
      <c r="KP11" s="28" t="s">
        <v>32</v>
      </c>
      <c r="KQ11" s="26">
        <v>1260</v>
      </c>
      <c r="KR11" s="34" t="s">
        <v>40</v>
      </c>
      <c r="KS11" s="32" t="s">
        <v>32</v>
      </c>
      <c r="KT11" s="34" t="s">
        <v>32</v>
      </c>
      <c r="KU11" s="33">
        <f t="shared" si="22"/>
        <v>261660</v>
      </c>
      <c r="KV11" s="24"/>
      <c r="KW11" s="25">
        <v>46090</v>
      </c>
      <c r="KX11" s="28">
        <v>3031</v>
      </c>
      <c r="KY11" s="75">
        <v>0</v>
      </c>
      <c r="KZ11" s="75">
        <v>6.25</v>
      </c>
      <c r="LA11" s="26">
        <v>0</v>
      </c>
      <c r="LB11" s="26">
        <v>0</v>
      </c>
      <c r="LC11" s="32">
        <f t="shared" si="10"/>
        <v>0</v>
      </c>
      <c r="LD11" s="34" t="s">
        <v>32</v>
      </c>
      <c r="LE11" s="34" t="s">
        <v>32</v>
      </c>
      <c r="LF11" s="26" t="s">
        <v>32</v>
      </c>
      <c r="LG11" s="34" t="s">
        <v>32</v>
      </c>
      <c r="LH11" s="32" t="s">
        <v>32</v>
      </c>
      <c r="LI11" s="32" t="s">
        <v>32</v>
      </c>
      <c r="LJ11" s="34" t="s">
        <v>32</v>
      </c>
      <c r="LK11" s="28"/>
      <c r="LL11" s="28" t="s">
        <v>32</v>
      </c>
      <c r="LM11" s="82" t="s">
        <v>32</v>
      </c>
      <c r="LN11" s="34" t="s">
        <v>32</v>
      </c>
      <c r="LO11" s="32" t="s">
        <v>32</v>
      </c>
      <c r="LP11" s="32" t="s">
        <v>32</v>
      </c>
      <c r="LQ11" s="29" t="s">
        <v>32</v>
      </c>
      <c r="LR11" s="28" t="s">
        <v>32</v>
      </c>
      <c r="LS11" s="26" t="s">
        <v>32</v>
      </c>
      <c r="LT11" s="34" t="s">
        <v>32</v>
      </c>
      <c r="LU11" s="32" t="s">
        <v>32</v>
      </c>
      <c r="LV11" s="34" t="s">
        <v>32</v>
      </c>
      <c r="LW11" s="33">
        <f t="shared" si="23"/>
        <v>0</v>
      </c>
      <c r="LX11" s="24"/>
    </row>
    <row r="12" spans="1:336" x14ac:dyDescent="0.3">
      <c r="A12" s="25">
        <v>45757</v>
      </c>
      <c r="B12" s="26">
        <v>1920</v>
      </c>
      <c r="C12" s="26">
        <v>84500</v>
      </c>
      <c r="D12" s="27">
        <f t="shared" si="0"/>
        <v>108978</v>
      </c>
      <c r="E12" s="28">
        <v>1959</v>
      </c>
      <c r="F12" s="29">
        <v>2977</v>
      </c>
      <c r="G12" s="29">
        <v>4.75</v>
      </c>
      <c r="H12" s="34" t="s">
        <v>32</v>
      </c>
      <c r="I12" s="34"/>
      <c r="J12" s="31">
        <v>42500</v>
      </c>
      <c r="K12" s="34" t="s">
        <v>32</v>
      </c>
      <c r="L12" s="32">
        <v>24913</v>
      </c>
      <c r="M12" s="32">
        <v>4700</v>
      </c>
      <c r="N12" s="34">
        <v>27300</v>
      </c>
      <c r="O12" s="28"/>
      <c r="P12" s="28" t="s">
        <v>32</v>
      </c>
      <c r="Q12" s="34">
        <v>765</v>
      </c>
      <c r="R12" s="34" t="s">
        <v>32</v>
      </c>
      <c r="S12" s="32" t="s">
        <v>32</v>
      </c>
      <c r="T12" s="32" t="s">
        <v>32</v>
      </c>
      <c r="U12" s="29" t="s">
        <v>32</v>
      </c>
      <c r="V12" s="28" t="s">
        <v>32</v>
      </c>
      <c r="W12" s="26">
        <v>8800</v>
      </c>
      <c r="X12" s="34" t="s">
        <v>40</v>
      </c>
      <c r="Y12" s="34" t="s">
        <v>32</v>
      </c>
      <c r="Z12" s="34"/>
      <c r="AA12" s="33">
        <f t="shared" si="12"/>
        <v>108978</v>
      </c>
      <c r="AB12" s="24"/>
      <c r="AC12" s="25">
        <v>45787</v>
      </c>
      <c r="AD12" s="26">
        <v>0</v>
      </c>
      <c r="AE12" s="26">
        <v>0</v>
      </c>
      <c r="AF12" s="27">
        <f t="shared" si="1"/>
        <v>0</v>
      </c>
      <c r="AG12" s="28">
        <v>2520</v>
      </c>
      <c r="AH12" s="29">
        <v>6281</v>
      </c>
      <c r="AI12" s="29">
        <v>18</v>
      </c>
      <c r="AJ12" s="34" t="s">
        <v>32</v>
      </c>
      <c r="AK12" s="34"/>
      <c r="AL12" s="31" t="s">
        <v>32</v>
      </c>
      <c r="AM12" s="34" t="s">
        <v>32</v>
      </c>
      <c r="AN12" s="32" t="s">
        <v>32</v>
      </c>
      <c r="AO12" s="32" t="s">
        <v>32</v>
      </c>
      <c r="AP12" s="34" t="s">
        <v>32</v>
      </c>
      <c r="AQ12" s="28"/>
      <c r="AR12" s="28" t="s">
        <v>32</v>
      </c>
      <c r="AS12" s="34" t="s">
        <v>32</v>
      </c>
      <c r="AT12" s="34" t="s">
        <v>32</v>
      </c>
      <c r="AU12" s="32" t="s">
        <v>32</v>
      </c>
      <c r="AV12" s="32" t="s">
        <v>32</v>
      </c>
      <c r="AW12" s="29" t="s">
        <v>32</v>
      </c>
      <c r="AX12" s="28" t="s">
        <v>32</v>
      </c>
      <c r="AY12" s="26" t="s">
        <v>32</v>
      </c>
      <c r="AZ12" s="34" t="s">
        <v>32</v>
      </c>
      <c r="BA12" s="34" t="s">
        <v>32</v>
      </c>
      <c r="BB12" s="34"/>
      <c r="BC12" s="33">
        <f t="shared" si="13"/>
        <v>0</v>
      </c>
      <c r="BD12" s="24"/>
      <c r="BE12" s="25">
        <v>45818</v>
      </c>
      <c r="BF12" s="26">
        <v>0</v>
      </c>
      <c r="BG12" s="26">
        <v>0</v>
      </c>
      <c r="BH12" s="27">
        <f t="shared" si="2"/>
        <v>0</v>
      </c>
      <c r="BI12" s="28">
        <v>1804</v>
      </c>
      <c r="BJ12" s="29">
        <v>2586</v>
      </c>
      <c r="BK12" s="29">
        <v>6.15</v>
      </c>
      <c r="BL12" s="34" t="s">
        <v>32</v>
      </c>
      <c r="BM12" s="34"/>
      <c r="BN12" s="31" t="s">
        <v>32</v>
      </c>
      <c r="BO12" s="34" t="s">
        <v>32</v>
      </c>
      <c r="BP12" s="32" t="s">
        <v>32</v>
      </c>
      <c r="BQ12" s="32" t="s">
        <v>32</v>
      </c>
      <c r="BR12" s="34" t="s">
        <v>32</v>
      </c>
      <c r="BS12" s="28"/>
      <c r="BT12" s="28" t="s">
        <v>32</v>
      </c>
      <c r="BU12" s="34" t="s">
        <v>32</v>
      </c>
      <c r="BV12" s="34" t="s">
        <v>32</v>
      </c>
      <c r="BW12" s="32" t="s">
        <v>32</v>
      </c>
      <c r="BX12" s="32" t="s">
        <v>32</v>
      </c>
      <c r="BY12" s="29" t="s">
        <v>32</v>
      </c>
      <c r="BZ12" s="28" t="s">
        <v>32</v>
      </c>
      <c r="CA12" s="26" t="s">
        <v>32</v>
      </c>
      <c r="CB12" s="34" t="s">
        <v>32</v>
      </c>
      <c r="CC12" s="34" t="s">
        <v>32</v>
      </c>
      <c r="CD12" s="34"/>
      <c r="CE12" s="33">
        <f t="shared" si="14"/>
        <v>0</v>
      </c>
      <c r="CF12" s="24"/>
      <c r="CG12" s="25">
        <v>45848</v>
      </c>
      <c r="CH12" s="26">
        <v>0</v>
      </c>
      <c r="CI12" s="26">
        <v>0</v>
      </c>
      <c r="CJ12" s="27">
        <f t="shared" si="3"/>
        <v>0</v>
      </c>
      <c r="CK12" s="28">
        <v>3239</v>
      </c>
      <c r="CL12" s="29">
        <v>2571</v>
      </c>
      <c r="CM12" s="29">
        <v>7.5</v>
      </c>
      <c r="CN12" s="34" t="s">
        <v>32</v>
      </c>
      <c r="CO12" s="34"/>
      <c r="CP12" s="31" t="s">
        <v>32</v>
      </c>
      <c r="CQ12" s="34" t="s">
        <v>32</v>
      </c>
      <c r="CR12" s="32" t="s">
        <v>32</v>
      </c>
      <c r="CS12" s="32" t="s">
        <v>32</v>
      </c>
      <c r="CT12" s="34" t="s">
        <v>32</v>
      </c>
      <c r="CU12" s="28"/>
      <c r="CV12" s="28" t="s">
        <v>32</v>
      </c>
      <c r="CW12" s="34" t="s">
        <v>32</v>
      </c>
      <c r="CX12" s="34" t="s">
        <v>32</v>
      </c>
      <c r="CY12" s="32" t="s">
        <v>32</v>
      </c>
      <c r="CZ12" s="32" t="s">
        <v>32</v>
      </c>
      <c r="DA12" s="29" t="s">
        <v>32</v>
      </c>
      <c r="DB12" s="28" t="s">
        <v>32</v>
      </c>
      <c r="DC12" s="26" t="s">
        <v>32</v>
      </c>
      <c r="DD12" s="34" t="s">
        <v>32</v>
      </c>
      <c r="DE12" s="34" t="s">
        <v>32</v>
      </c>
      <c r="DF12" s="34"/>
      <c r="DG12" s="33">
        <f t="shared" si="15"/>
        <v>0</v>
      </c>
      <c r="DH12" s="24"/>
      <c r="DI12" s="25">
        <v>45879</v>
      </c>
      <c r="DJ12" s="26">
        <v>0</v>
      </c>
      <c r="DK12" s="26">
        <v>0</v>
      </c>
      <c r="DL12" s="28">
        <v>1958</v>
      </c>
      <c r="DM12" s="29">
        <v>0</v>
      </c>
      <c r="DN12" s="29">
        <v>0</v>
      </c>
      <c r="DO12" s="27">
        <f t="shared" si="4"/>
        <v>0</v>
      </c>
      <c r="DP12" s="34" t="s">
        <v>32</v>
      </c>
      <c r="DQ12" s="34"/>
      <c r="DR12" s="31" t="s">
        <v>32</v>
      </c>
      <c r="DS12" s="34" t="s">
        <v>32</v>
      </c>
      <c r="DT12" s="32" t="s">
        <v>32</v>
      </c>
      <c r="DU12" s="32" t="s">
        <v>32</v>
      </c>
      <c r="DV12" s="34" t="s">
        <v>32</v>
      </c>
      <c r="DW12" s="28"/>
      <c r="DX12" s="28" t="s">
        <v>32</v>
      </c>
      <c r="DY12" s="34" t="s">
        <v>32</v>
      </c>
      <c r="DZ12" s="34" t="s">
        <v>32</v>
      </c>
      <c r="EA12" s="32" t="s">
        <v>32</v>
      </c>
      <c r="EB12" s="32" t="s">
        <v>32</v>
      </c>
      <c r="EC12" s="29" t="s">
        <v>32</v>
      </c>
      <c r="ED12" s="28" t="s">
        <v>32</v>
      </c>
      <c r="EE12" s="26" t="s">
        <v>32</v>
      </c>
      <c r="EF12" s="34" t="s">
        <v>32</v>
      </c>
      <c r="EG12" s="34" t="s">
        <v>32</v>
      </c>
      <c r="EH12" s="34"/>
      <c r="EI12" s="33">
        <f t="shared" si="16"/>
        <v>0</v>
      </c>
      <c r="EJ12" s="24"/>
      <c r="EK12" s="25">
        <v>45910</v>
      </c>
      <c r="EL12" s="28">
        <v>3643</v>
      </c>
      <c r="EM12" s="28">
        <v>0</v>
      </c>
      <c r="EN12" s="28">
        <v>8.25</v>
      </c>
      <c r="EO12" s="26">
        <v>29071</v>
      </c>
      <c r="EP12" s="26">
        <v>1625918</v>
      </c>
      <c r="EQ12" s="27">
        <f t="shared" si="5"/>
        <v>110401</v>
      </c>
      <c r="ER12" s="34" t="s">
        <v>32</v>
      </c>
      <c r="ES12" s="34"/>
      <c r="ET12" s="31" t="s">
        <v>32</v>
      </c>
      <c r="EU12" s="34">
        <v>50000</v>
      </c>
      <c r="EV12" s="30" t="s">
        <v>32</v>
      </c>
      <c r="EW12" s="30">
        <v>10000</v>
      </c>
      <c r="EX12" s="34">
        <v>47000</v>
      </c>
      <c r="EY12" s="28"/>
      <c r="EZ12" s="28" t="s">
        <v>32</v>
      </c>
      <c r="FA12" s="34">
        <v>2820</v>
      </c>
      <c r="FB12" s="34" t="s">
        <v>32</v>
      </c>
      <c r="FC12" s="32" t="s">
        <v>32</v>
      </c>
      <c r="FD12" s="32" t="s">
        <v>32</v>
      </c>
      <c r="FE12" s="75">
        <v>581</v>
      </c>
      <c r="FF12" s="32" t="s">
        <v>32</v>
      </c>
      <c r="FG12" s="26" t="s">
        <v>32</v>
      </c>
      <c r="FH12" s="34" t="s">
        <v>32</v>
      </c>
      <c r="FI12" s="34" t="s">
        <v>32</v>
      </c>
      <c r="FJ12" s="34"/>
      <c r="FK12" s="33">
        <f t="shared" si="17"/>
        <v>110401</v>
      </c>
      <c r="FL12" s="24"/>
      <c r="FM12" s="25">
        <v>45940</v>
      </c>
      <c r="FN12" s="28">
        <v>4125</v>
      </c>
      <c r="FO12" s="75">
        <v>4584</v>
      </c>
      <c r="FP12" s="75">
        <v>7</v>
      </c>
      <c r="FQ12" s="26">
        <v>540</v>
      </c>
      <c r="FR12" s="26">
        <v>30474</v>
      </c>
      <c r="FS12" s="32">
        <f t="shared" si="11"/>
        <v>627552</v>
      </c>
      <c r="FT12" s="34" t="s">
        <v>32</v>
      </c>
      <c r="FU12" s="34"/>
      <c r="FV12" s="26">
        <v>82500</v>
      </c>
      <c r="FW12" s="34">
        <v>185000</v>
      </c>
      <c r="FX12" s="32" t="s">
        <v>32</v>
      </c>
      <c r="FY12" s="32">
        <v>50000</v>
      </c>
      <c r="FZ12" s="34">
        <v>31300</v>
      </c>
      <c r="GA12" s="28">
        <v>400</v>
      </c>
      <c r="GB12" s="28">
        <v>500</v>
      </c>
      <c r="GC12" s="82">
        <v>2240</v>
      </c>
      <c r="GD12" s="34" t="s">
        <v>32</v>
      </c>
      <c r="GE12" s="32">
        <v>268112</v>
      </c>
      <c r="GF12" s="32" t="s">
        <v>147</v>
      </c>
      <c r="GG12" s="29" t="s">
        <v>32</v>
      </c>
      <c r="GH12" s="28" t="s">
        <v>32</v>
      </c>
      <c r="GI12" s="26" t="s">
        <v>32</v>
      </c>
      <c r="GJ12" s="34" t="s">
        <v>32</v>
      </c>
      <c r="GK12" s="32">
        <v>7500</v>
      </c>
      <c r="GL12" s="34" t="s">
        <v>148</v>
      </c>
      <c r="GM12" s="33">
        <f t="shared" si="18"/>
        <v>627552</v>
      </c>
      <c r="GN12" s="24"/>
      <c r="GO12" s="25">
        <v>45971</v>
      </c>
      <c r="GP12" s="28">
        <v>3612</v>
      </c>
      <c r="GQ12" s="75">
        <v>7204</v>
      </c>
      <c r="GR12" s="75">
        <v>11</v>
      </c>
      <c r="GS12" s="26">
        <v>0</v>
      </c>
      <c r="GT12" s="26">
        <v>0</v>
      </c>
      <c r="GU12" s="32">
        <f t="shared" si="6"/>
        <v>0</v>
      </c>
      <c r="GV12" s="34" t="s">
        <v>32</v>
      </c>
      <c r="GW12" s="28"/>
      <c r="GX12" s="26" t="s">
        <v>32</v>
      </c>
      <c r="GY12" s="34" t="s">
        <v>32</v>
      </c>
      <c r="GZ12" s="32" t="s">
        <v>32</v>
      </c>
      <c r="HA12" s="32" t="s">
        <v>32</v>
      </c>
      <c r="HB12" s="34" t="s">
        <v>32</v>
      </c>
      <c r="HC12" s="28"/>
      <c r="HD12" s="28" t="s">
        <v>32</v>
      </c>
      <c r="HE12" s="26" t="s">
        <v>32</v>
      </c>
      <c r="HF12" s="34" t="s">
        <v>32</v>
      </c>
      <c r="HG12" s="32" t="s">
        <v>32</v>
      </c>
      <c r="HH12" s="32" t="s">
        <v>32</v>
      </c>
      <c r="HI12" s="29" t="s">
        <v>32</v>
      </c>
      <c r="HJ12" s="32" t="s">
        <v>32</v>
      </c>
      <c r="HK12" s="26" t="s">
        <v>32</v>
      </c>
      <c r="HL12" s="26" t="s">
        <v>32</v>
      </c>
      <c r="HM12" s="82" t="s">
        <v>32</v>
      </c>
      <c r="HN12" s="82"/>
      <c r="HO12" s="33">
        <f t="shared" si="19"/>
        <v>0</v>
      </c>
      <c r="HP12" s="24"/>
      <c r="HQ12" s="25">
        <v>46001</v>
      </c>
      <c r="HR12" s="28">
        <v>3712</v>
      </c>
      <c r="HS12" s="75">
        <v>3643</v>
      </c>
      <c r="HT12" s="75">
        <v>1.25</v>
      </c>
      <c r="HU12" s="26">
        <v>56</v>
      </c>
      <c r="HV12" s="26">
        <v>2700</v>
      </c>
      <c r="HW12" s="32">
        <f t="shared" si="7"/>
        <v>2300</v>
      </c>
      <c r="HX12" s="30" t="s">
        <v>32</v>
      </c>
      <c r="HY12" s="28"/>
      <c r="HZ12" s="26" t="s">
        <v>32</v>
      </c>
      <c r="IA12" s="30" t="s">
        <v>32</v>
      </c>
      <c r="IB12" s="32" t="s">
        <v>32</v>
      </c>
      <c r="IC12" s="75" t="s">
        <v>32</v>
      </c>
      <c r="ID12" s="30" t="s">
        <v>32</v>
      </c>
      <c r="IE12" s="28"/>
      <c r="IF12" s="28" t="s">
        <v>32</v>
      </c>
      <c r="IG12" s="26">
        <v>2300</v>
      </c>
      <c r="IH12" s="30" t="s">
        <v>32</v>
      </c>
      <c r="II12" s="28" t="s">
        <v>32</v>
      </c>
      <c r="IJ12" s="28" t="s">
        <v>32</v>
      </c>
      <c r="IK12" s="75" t="s">
        <v>32</v>
      </c>
      <c r="IL12" s="32" t="s">
        <v>32</v>
      </c>
      <c r="IM12" s="26" t="s">
        <v>32</v>
      </c>
      <c r="IN12" s="26" t="s">
        <v>32</v>
      </c>
      <c r="IO12" s="82" t="s">
        <v>32</v>
      </c>
      <c r="IP12" s="82"/>
      <c r="IQ12" s="33">
        <f t="shared" si="20"/>
        <v>2300</v>
      </c>
      <c r="IR12" s="24"/>
      <c r="IS12" s="25">
        <v>46032</v>
      </c>
      <c r="IT12" s="28">
        <v>2267</v>
      </c>
      <c r="IU12" s="75">
        <v>3220</v>
      </c>
      <c r="IV12" s="75">
        <v>5</v>
      </c>
      <c r="IW12" s="26">
        <v>11874</v>
      </c>
      <c r="IX12" s="26">
        <v>849018</v>
      </c>
      <c r="IY12" s="32">
        <f t="shared" si="8"/>
        <v>209350</v>
      </c>
      <c r="IZ12" s="34">
        <v>81235</v>
      </c>
      <c r="JA12" s="34">
        <v>94415</v>
      </c>
      <c r="JB12" s="26">
        <v>29850</v>
      </c>
      <c r="JC12" s="34" t="s">
        <v>32</v>
      </c>
      <c r="JD12" s="32">
        <v>1530</v>
      </c>
      <c r="JE12" s="32" t="s">
        <v>32</v>
      </c>
      <c r="JF12" s="34" t="s">
        <v>32</v>
      </c>
      <c r="JG12" s="28"/>
      <c r="JH12" s="28" t="s">
        <v>32</v>
      </c>
      <c r="JI12" s="82">
        <v>2320</v>
      </c>
      <c r="JJ12" s="34" t="s">
        <v>32</v>
      </c>
      <c r="JK12" s="32" t="s">
        <v>32</v>
      </c>
      <c r="JL12" s="32" t="s">
        <v>32</v>
      </c>
      <c r="JM12" s="29" t="s">
        <v>32</v>
      </c>
      <c r="JN12" s="28" t="s">
        <v>32</v>
      </c>
      <c r="JO12" s="26" t="s">
        <v>32</v>
      </c>
      <c r="JP12" s="34" t="s">
        <v>32</v>
      </c>
      <c r="JQ12" s="32" t="s">
        <v>32</v>
      </c>
      <c r="JR12" s="34"/>
      <c r="JS12" s="33">
        <f t="shared" si="21"/>
        <v>209350</v>
      </c>
      <c r="JT12" s="24"/>
      <c r="JU12" s="25">
        <v>46063</v>
      </c>
      <c r="JV12" s="28">
        <v>2812</v>
      </c>
      <c r="JW12" s="75">
        <v>0</v>
      </c>
      <c r="JX12" s="75">
        <v>5.5</v>
      </c>
      <c r="JY12" s="26">
        <v>264</v>
      </c>
      <c r="JZ12" s="26">
        <v>18500</v>
      </c>
      <c r="KA12" s="32">
        <f t="shared" si="9"/>
        <v>321557</v>
      </c>
      <c r="KB12" s="34" t="s">
        <v>32</v>
      </c>
      <c r="KC12" s="34"/>
      <c r="KD12" s="26">
        <v>19300</v>
      </c>
      <c r="KE12" s="34">
        <v>50000</v>
      </c>
      <c r="KF12" s="32" t="s">
        <v>32</v>
      </c>
      <c r="KG12" s="32" t="s">
        <v>32</v>
      </c>
      <c r="KH12" s="34">
        <v>18500</v>
      </c>
      <c r="KI12" s="28"/>
      <c r="KJ12" s="28" t="s">
        <v>32</v>
      </c>
      <c r="KK12" s="82">
        <v>65</v>
      </c>
      <c r="KL12" s="34" t="s">
        <v>32</v>
      </c>
      <c r="KM12" s="32">
        <v>233692</v>
      </c>
      <c r="KN12" s="32" t="s">
        <v>173</v>
      </c>
      <c r="KO12" s="29" t="s">
        <v>32</v>
      </c>
      <c r="KP12" s="28" t="s">
        <v>32</v>
      </c>
      <c r="KQ12" s="26" t="s">
        <v>32</v>
      </c>
      <c r="KR12" s="34" t="s">
        <v>32</v>
      </c>
      <c r="KS12" s="32" t="s">
        <v>32</v>
      </c>
      <c r="KT12" s="34"/>
      <c r="KU12" s="33">
        <f t="shared" si="22"/>
        <v>321557</v>
      </c>
      <c r="KV12" s="24"/>
      <c r="KW12" s="25">
        <v>46091</v>
      </c>
      <c r="KX12" s="28">
        <v>1340</v>
      </c>
      <c r="KY12" s="75">
        <v>1180</v>
      </c>
      <c r="KZ12" s="75">
        <v>3</v>
      </c>
      <c r="LA12" s="26">
        <v>0</v>
      </c>
      <c r="LB12" s="26">
        <v>0</v>
      </c>
      <c r="LC12" s="32">
        <f t="shared" si="10"/>
        <v>0</v>
      </c>
      <c r="LD12" s="34" t="s">
        <v>32</v>
      </c>
      <c r="LE12" s="34"/>
      <c r="LF12" s="26" t="s">
        <v>32</v>
      </c>
      <c r="LG12" s="34" t="s">
        <v>32</v>
      </c>
      <c r="LH12" s="32" t="s">
        <v>32</v>
      </c>
      <c r="LI12" s="32" t="s">
        <v>32</v>
      </c>
      <c r="LJ12" s="34" t="s">
        <v>32</v>
      </c>
      <c r="LK12" s="28"/>
      <c r="LL12" s="28" t="s">
        <v>32</v>
      </c>
      <c r="LM12" s="82" t="s">
        <v>32</v>
      </c>
      <c r="LN12" s="34" t="s">
        <v>32</v>
      </c>
      <c r="LO12" s="32" t="s">
        <v>32</v>
      </c>
      <c r="LP12" s="32" t="s">
        <v>32</v>
      </c>
      <c r="LQ12" s="29" t="s">
        <v>32</v>
      </c>
      <c r="LR12" s="28" t="s">
        <v>32</v>
      </c>
      <c r="LS12" s="26" t="s">
        <v>32</v>
      </c>
      <c r="LT12" s="34" t="s">
        <v>32</v>
      </c>
      <c r="LU12" s="32" t="s">
        <v>32</v>
      </c>
      <c r="LV12" s="34"/>
      <c r="LW12" s="33">
        <f t="shared" si="23"/>
        <v>0</v>
      </c>
      <c r="LX12" s="24"/>
    </row>
    <row r="13" spans="1:336" x14ac:dyDescent="0.3">
      <c r="A13" s="25">
        <v>45758</v>
      </c>
      <c r="B13" s="26">
        <v>0</v>
      </c>
      <c r="C13" s="26">
        <v>0</v>
      </c>
      <c r="D13" s="27">
        <f t="shared" si="0"/>
        <v>0</v>
      </c>
      <c r="E13" s="28">
        <v>2610</v>
      </c>
      <c r="F13" s="29">
        <v>3370</v>
      </c>
      <c r="G13" s="29">
        <v>5.25</v>
      </c>
      <c r="H13" s="34" t="s">
        <v>32</v>
      </c>
      <c r="I13" s="34"/>
      <c r="J13" s="31" t="s">
        <v>32</v>
      </c>
      <c r="K13" s="34" t="s">
        <v>33</v>
      </c>
      <c r="L13" s="32" t="s">
        <v>32</v>
      </c>
      <c r="M13" s="32" t="s">
        <v>32</v>
      </c>
      <c r="N13" s="34" t="s">
        <v>32</v>
      </c>
      <c r="O13" s="28"/>
      <c r="P13" s="28" t="s">
        <v>32</v>
      </c>
      <c r="Q13" s="34" t="s">
        <v>32</v>
      </c>
      <c r="R13" s="34" t="s">
        <v>32</v>
      </c>
      <c r="S13" s="32" t="s">
        <v>32</v>
      </c>
      <c r="T13" s="32" t="s">
        <v>33</v>
      </c>
      <c r="U13" s="29" t="s">
        <v>32</v>
      </c>
      <c r="V13" s="28" t="s">
        <v>32</v>
      </c>
      <c r="W13" s="26" t="s">
        <v>32</v>
      </c>
      <c r="X13" s="34" t="s">
        <v>32</v>
      </c>
      <c r="Y13" s="34" t="s">
        <v>32</v>
      </c>
      <c r="Z13" s="34" t="s">
        <v>32</v>
      </c>
      <c r="AA13" s="33">
        <f t="shared" si="12"/>
        <v>0</v>
      </c>
      <c r="AB13" s="24"/>
      <c r="AC13" s="25">
        <v>45788</v>
      </c>
      <c r="AD13" s="26">
        <v>233</v>
      </c>
      <c r="AE13" s="26">
        <v>10500</v>
      </c>
      <c r="AF13" s="27">
        <f t="shared" si="1"/>
        <v>264885</v>
      </c>
      <c r="AG13" s="28">
        <v>1000</v>
      </c>
      <c r="AH13" s="29">
        <v>3354</v>
      </c>
      <c r="AI13" s="29">
        <v>17</v>
      </c>
      <c r="AJ13" s="34">
        <v>15600</v>
      </c>
      <c r="AK13" s="34">
        <v>18800</v>
      </c>
      <c r="AL13" s="31">
        <v>100000</v>
      </c>
      <c r="AM13" s="34">
        <v>120000</v>
      </c>
      <c r="AN13" s="32" t="s">
        <v>32</v>
      </c>
      <c r="AO13" s="32">
        <v>8500</v>
      </c>
      <c r="AP13" s="34" t="s">
        <v>32</v>
      </c>
      <c r="AQ13" s="28"/>
      <c r="AR13" s="28" t="s">
        <v>32</v>
      </c>
      <c r="AS13" s="34">
        <v>1985</v>
      </c>
      <c r="AT13" s="34" t="s">
        <v>32</v>
      </c>
      <c r="AU13" s="32" t="s">
        <v>32</v>
      </c>
      <c r="AV13" s="32" t="s">
        <v>33</v>
      </c>
      <c r="AW13" s="29" t="s">
        <v>32</v>
      </c>
      <c r="AX13" s="28" t="s">
        <v>32</v>
      </c>
      <c r="AY13" s="26" t="s">
        <v>32</v>
      </c>
      <c r="AZ13" s="34" t="s">
        <v>32</v>
      </c>
      <c r="BA13" s="34" t="s">
        <v>32</v>
      </c>
      <c r="BB13" s="34" t="s">
        <v>32</v>
      </c>
      <c r="BC13" s="33">
        <f t="shared" si="13"/>
        <v>264885</v>
      </c>
      <c r="BD13" s="24"/>
      <c r="BE13" s="25">
        <v>45819</v>
      </c>
      <c r="BF13" s="26">
        <v>765</v>
      </c>
      <c r="BG13" s="26">
        <v>11200</v>
      </c>
      <c r="BH13" s="27">
        <f t="shared" si="2"/>
        <v>22202</v>
      </c>
      <c r="BI13" s="28">
        <v>1795</v>
      </c>
      <c r="BJ13" s="29">
        <v>556</v>
      </c>
      <c r="BK13" s="29">
        <v>5</v>
      </c>
      <c r="BL13" s="34" t="s">
        <v>32</v>
      </c>
      <c r="BM13" s="34"/>
      <c r="BN13" s="31" t="s">
        <v>32</v>
      </c>
      <c r="BO13" s="34" t="s">
        <v>33</v>
      </c>
      <c r="BP13" s="32">
        <v>4000</v>
      </c>
      <c r="BQ13" s="32" t="s">
        <v>32</v>
      </c>
      <c r="BR13" s="34">
        <v>15000</v>
      </c>
      <c r="BS13" s="28"/>
      <c r="BT13" s="28" t="s">
        <v>32</v>
      </c>
      <c r="BU13" s="34">
        <v>3202</v>
      </c>
      <c r="BV13" s="34" t="s">
        <v>32</v>
      </c>
      <c r="BW13" s="32" t="s">
        <v>32</v>
      </c>
      <c r="BX13" s="32" t="s">
        <v>33</v>
      </c>
      <c r="BY13" s="29" t="s">
        <v>32</v>
      </c>
      <c r="BZ13" s="28" t="s">
        <v>32</v>
      </c>
      <c r="CA13" s="26" t="s">
        <v>32</v>
      </c>
      <c r="CB13" s="34" t="s">
        <v>32</v>
      </c>
      <c r="CC13" s="34" t="s">
        <v>32</v>
      </c>
      <c r="CD13" s="34" t="s">
        <v>32</v>
      </c>
      <c r="CE13" s="33">
        <f t="shared" si="14"/>
        <v>22202</v>
      </c>
      <c r="CF13" s="24"/>
      <c r="CG13" s="25">
        <v>45849</v>
      </c>
      <c r="CH13" s="26">
        <v>5826</v>
      </c>
      <c r="CI13" s="26">
        <v>371167</v>
      </c>
      <c r="CJ13" s="27">
        <f t="shared" si="3"/>
        <v>397165</v>
      </c>
      <c r="CK13" s="28">
        <v>3272</v>
      </c>
      <c r="CL13" s="29">
        <v>1406</v>
      </c>
      <c r="CM13" s="29">
        <v>5.5</v>
      </c>
      <c r="CN13" s="34" t="s">
        <v>32</v>
      </c>
      <c r="CO13" s="34"/>
      <c r="CP13" s="31">
        <v>180500</v>
      </c>
      <c r="CQ13" s="34">
        <v>155000</v>
      </c>
      <c r="CR13" s="32">
        <v>10200</v>
      </c>
      <c r="CS13" s="32" t="s">
        <v>32</v>
      </c>
      <c r="CT13" s="34">
        <v>50000</v>
      </c>
      <c r="CU13" s="28"/>
      <c r="CV13" s="28" t="s">
        <v>32</v>
      </c>
      <c r="CW13" s="34">
        <v>1165</v>
      </c>
      <c r="CX13" s="34" t="s">
        <v>32</v>
      </c>
      <c r="CY13" s="32">
        <v>300</v>
      </c>
      <c r="CZ13" s="32" t="s">
        <v>51</v>
      </c>
      <c r="DA13" s="29" t="s">
        <v>32</v>
      </c>
      <c r="DB13" s="28" t="s">
        <v>32</v>
      </c>
      <c r="DC13" s="26" t="s">
        <v>32</v>
      </c>
      <c r="DD13" s="34" t="s">
        <v>32</v>
      </c>
      <c r="DE13" s="34" t="s">
        <v>32</v>
      </c>
      <c r="DF13" s="34" t="s">
        <v>32</v>
      </c>
      <c r="DG13" s="33">
        <f t="shared" si="15"/>
        <v>397165</v>
      </c>
      <c r="DH13" s="24"/>
      <c r="DI13" s="25">
        <v>45880</v>
      </c>
      <c r="DJ13" s="26">
        <v>3185</v>
      </c>
      <c r="DK13" s="26">
        <v>145700</v>
      </c>
      <c r="DL13" s="28">
        <v>1629</v>
      </c>
      <c r="DM13" s="29">
        <v>0</v>
      </c>
      <c r="DN13" s="29">
        <v>0</v>
      </c>
      <c r="DO13" s="27">
        <f t="shared" si="4"/>
        <v>177369</v>
      </c>
      <c r="DP13" s="34" t="s">
        <v>32</v>
      </c>
      <c r="DQ13" s="34"/>
      <c r="DR13" s="31">
        <v>23000</v>
      </c>
      <c r="DS13" s="34" t="s">
        <v>33</v>
      </c>
      <c r="DT13" s="32" t="s">
        <v>32</v>
      </c>
      <c r="DU13" s="32" t="s">
        <v>32</v>
      </c>
      <c r="DV13" s="34">
        <v>150000</v>
      </c>
      <c r="DW13" s="28"/>
      <c r="DX13" s="28" t="s">
        <v>32</v>
      </c>
      <c r="DY13" s="34">
        <v>2569</v>
      </c>
      <c r="DZ13" s="34" t="s">
        <v>32</v>
      </c>
      <c r="EA13" s="32" t="s">
        <v>32</v>
      </c>
      <c r="EB13" s="32" t="s">
        <v>33</v>
      </c>
      <c r="EC13" s="29" t="s">
        <v>32</v>
      </c>
      <c r="ED13" s="28" t="s">
        <v>32</v>
      </c>
      <c r="EE13" s="26">
        <v>1800</v>
      </c>
      <c r="EF13" s="34" t="s">
        <v>40</v>
      </c>
      <c r="EG13" s="34" t="s">
        <v>32</v>
      </c>
      <c r="EH13" s="34" t="s">
        <v>32</v>
      </c>
      <c r="EI13" s="33">
        <f t="shared" si="16"/>
        <v>177369</v>
      </c>
      <c r="EJ13" s="24"/>
      <c r="EK13" s="25">
        <v>45911</v>
      </c>
      <c r="EL13" s="28">
        <v>2991</v>
      </c>
      <c r="EM13" s="28">
        <v>997</v>
      </c>
      <c r="EN13" s="28">
        <v>11.25</v>
      </c>
      <c r="EO13" s="26">
        <v>60</v>
      </c>
      <c r="EP13" s="26">
        <v>2400</v>
      </c>
      <c r="EQ13" s="27">
        <f t="shared" si="5"/>
        <v>440</v>
      </c>
      <c r="ER13" s="34" t="s">
        <v>32</v>
      </c>
      <c r="ES13" s="34"/>
      <c r="ET13" s="31" t="s">
        <v>32</v>
      </c>
      <c r="EU13" s="34" t="s">
        <v>33</v>
      </c>
      <c r="EV13" s="30" t="s">
        <v>32</v>
      </c>
      <c r="EW13" s="30" t="s">
        <v>32</v>
      </c>
      <c r="EX13" s="34" t="s">
        <v>32</v>
      </c>
      <c r="EY13" s="28"/>
      <c r="EZ13" s="28" t="s">
        <v>32</v>
      </c>
      <c r="FA13" s="34">
        <v>440</v>
      </c>
      <c r="FB13" s="34" t="s">
        <v>32</v>
      </c>
      <c r="FC13" s="32" t="s">
        <v>32</v>
      </c>
      <c r="FD13" s="32" t="s">
        <v>33</v>
      </c>
      <c r="FE13" s="75" t="s">
        <v>32</v>
      </c>
      <c r="FF13" s="32" t="s">
        <v>32</v>
      </c>
      <c r="FG13" s="26" t="s">
        <v>32</v>
      </c>
      <c r="FH13" s="34" t="s">
        <v>32</v>
      </c>
      <c r="FI13" s="34" t="s">
        <v>32</v>
      </c>
      <c r="FJ13" s="34" t="s">
        <v>32</v>
      </c>
      <c r="FK13" s="33">
        <f t="shared" si="17"/>
        <v>440</v>
      </c>
      <c r="FL13" s="24"/>
      <c r="FM13" s="25">
        <v>45941</v>
      </c>
      <c r="FN13" s="28">
        <v>3984</v>
      </c>
      <c r="FO13" s="75">
        <v>2813</v>
      </c>
      <c r="FP13" s="75">
        <v>6.25</v>
      </c>
      <c r="FQ13" s="26">
        <v>0</v>
      </c>
      <c r="FR13" s="26">
        <v>0</v>
      </c>
      <c r="FS13" s="32">
        <f t="shared" si="11"/>
        <v>0</v>
      </c>
      <c r="FT13" s="34" t="s">
        <v>32</v>
      </c>
      <c r="FU13" s="34"/>
      <c r="FV13" s="26" t="s">
        <v>32</v>
      </c>
      <c r="FW13" s="34" t="s">
        <v>33</v>
      </c>
      <c r="FX13" s="32" t="s">
        <v>32</v>
      </c>
      <c r="FY13" s="32" t="s">
        <v>32</v>
      </c>
      <c r="FZ13" s="34" t="s">
        <v>32</v>
      </c>
      <c r="GA13" s="28"/>
      <c r="GB13" s="28" t="s">
        <v>32</v>
      </c>
      <c r="GC13" s="82" t="s">
        <v>32</v>
      </c>
      <c r="GD13" s="34" t="s">
        <v>32</v>
      </c>
      <c r="GE13" s="32" t="s">
        <v>32</v>
      </c>
      <c r="GF13" s="32" t="s">
        <v>33</v>
      </c>
      <c r="GG13" s="29" t="s">
        <v>32</v>
      </c>
      <c r="GH13" s="28" t="s">
        <v>32</v>
      </c>
      <c r="GI13" s="26" t="s">
        <v>32</v>
      </c>
      <c r="GJ13" s="34" t="s">
        <v>32</v>
      </c>
      <c r="GK13" s="32" t="s">
        <v>32</v>
      </c>
      <c r="GL13" s="34" t="s">
        <v>32</v>
      </c>
      <c r="GM13" s="33">
        <f t="shared" si="18"/>
        <v>0</v>
      </c>
      <c r="GN13" s="24"/>
      <c r="GO13" s="25">
        <v>45972</v>
      </c>
      <c r="GP13" s="28">
        <v>2703</v>
      </c>
      <c r="GQ13" s="75">
        <v>0</v>
      </c>
      <c r="GR13" s="75">
        <v>2.75</v>
      </c>
      <c r="GS13" s="26">
        <v>5633</v>
      </c>
      <c r="GT13" s="26">
        <v>276842</v>
      </c>
      <c r="GU13" s="32">
        <f t="shared" si="6"/>
        <v>137662</v>
      </c>
      <c r="GV13" s="34" t="s">
        <v>32</v>
      </c>
      <c r="GW13" s="28"/>
      <c r="GX13" s="26">
        <v>74200</v>
      </c>
      <c r="GY13" s="34" t="s">
        <v>33</v>
      </c>
      <c r="GZ13" s="32">
        <v>7000</v>
      </c>
      <c r="HA13" s="32">
        <v>25900</v>
      </c>
      <c r="HB13" s="34" t="s">
        <v>32</v>
      </c>
      <c r="HC13" s="28"/>
      <c r="HD13" s="28">
        <v>500</v>
      </c>
      <c r="HE13" s="26">
        <v>2165</v>
      </c>
      <c r="HF13" s="34" t="s">
        <v>32</v>
      </c>
      <c r="HG13" s="32" t="s">
        <v>32</v>
      </c>
      <c r="HH13" s="32" t="s">
        <v>33</v>
      </c>
      <c r="HI13" s="29">
        <v>13897</v>
      </c>
      <c r="HJ13" s="32" t="s">
        <v>32</v>
      </c>
      <c r="HK13" s="26" t="s">
        <v>32</v>
      </c>
      <c r="HL13" s="26" t="s">
        <v>32</v>
      </c>
      <c r="HM13" s="82">
        <v>14000</v>
      </c>
      <c r="HN13" s="82" t="s">
        <v>151</v>
      </c>
      <c r="HO13" s="33">
        <f t="shared" si="19"/>
        <v>137662</v>
      </c>
      <c r="HP13" s="24"/>
      <c r="HQ13" s="25">
        <v>46002</v>
      </c>
      <c r="HR13" s="28">
        <v>3872</v>
      </c>
      <c r="HS13" s="75">
        <v>0</v>
      </c>
      <c r="HT13" s="75">
        <v>10</v>
      </c>
      <c r="HU13" s="26">
        <v>0</v>
      </c>
      <c r="HV13" s="26">
        <v>0</v>
      </c>
      <c r="HW13" s="32">
        <f t="shared" si="7"/>
        <v>0</v>
      </c>
      <c r="HX13" s="30" t="s">
        <v>32</v>
      </c>
      <c r="HY13" s="28"/>
      <c r="HZ13" s="26" t="s">
        <v>32</v>
      </c>
      <c r="IA13" s="30" t="s">
        <v>33</v>
      </c>
      <c r="IB13" s="32" t="s">
        <v>32</v>
      </c>
      <c r="IC13" s="75" t="s">
        <v>32</v>
      </c>
      <c r="ID13" s="30" t="s">
        <v>32</v>
      </c>
      <c r="IE13" s="28"/>
      <c r="IF13" s="28" t="s">
        <v>32</v>
      </c>
      <c r="IG13" s="26" t="s">
        <v>32</v>
      </c>
      <c r="IH13" s="30" t="s">
        <v>32</v>
      </c>
      <c r="II13" s="28" t="s">
        <v>32</v>
      </c>
      <c r="IJ13" s="28" t="s">
        <v>33</v>
      </c>
      <c r="IK13" s="75" t="s">
        <v>32</v>
      </c>
      <c r="IL13" s="32" t="s">
        <v>32</v>
      </c>
      <c r="IM13" s="26" t="s">
        <v>32</v>
      </c>
      <c r="IN13" s="26" t="s">
        <v>32</v>
      </c>
      <c r="IO13" s="82" t="s">
        <v>32</v>
      </c>
      <c r="IP13" s="82" t="s">
        <v>32</v>
      </c>
      <c r="IQ13" s="33">
        <f t="shared" si="20"/>
        <v>0</v>
      </c>
      <c r="IR13" s="24"/>
      <c r="IS13" s="25">
        <v>46033</v>
      </c>
      <c r="IT13" s="28">
        <v>2004</v>
      </c>
      <c r="IU13" s="75">
        <v>0</v>
      </c>
      <c r="IV13" s="75">
        <v>6</v>
      </c>
      <c r="IW13" s="26">
        <v>0</v>
      </c>
      <c r="IX13" s="26">
        <v>0</v>
      </c>
      <c r="IY13" s="32">
        <f t="shared" si="8"/>
        <v>0</v>
      </c>
      <c r="IZ13" s="34" t="s">
        <v>32</v>
      </c>
      <c r="JA13" s="34"/>
      <c r="JB13" s="26" t="s">
        <v>32</v>
      </c>
      <c r="JC13" s="34" t="s">
        <v>33</v>
      </c>
      <c r="JD13" s="32" t="s">
        <v>32</v>
      </c>
      <c r="JE13" s="32" t="s">
        <v>32</v>
      </c>
      <c r="JF13" s="34" t="s">
        <v>32</v>
      </c>
      <c r="JG13" s="28"/>
      <c r="JH13" s="28" t="s">
        <v>32</v>
      </c>
      <c r="JI13" s="82" t="s">
        <v>32</v>
      </c>
      <c r="JJ13" s="34" t="s">
        <v>32</v>
      </c>
      <c r="JK13" s="32" t="s">
        <v>32</v>
      </c>
      <c r="JL13" s="32" t="s">
        <v>33</v>
      </c>
      <c r="JM13" s="29" t="s">
        <v>32</v>
      </c>
      <c r="JN13" s="28" t="s">
        <v>32</v>
      </c>
      <c r="JO13" s="26" t="s">
        <v>32</v>
      </c>
      <c r="JP13" s="34" t="s">
        <v>32</v>
      </c>
      <c r="JQ13" s="32" t="s">
        <v>32</v>
      </c>
      <c r="JR13" s="34" t="s">
        <v>32</v>
      </c>
      <c r="JS13" s="33">
        <f t="shared" si="21"/>
        <v>0</v>
      </c>
      <c r="JT13" s="24"/>
      <c r="JU13" s="25">
        <v>46064</v>
      </c>
      <c r="JV13" s="28">
        <v>3526</v>
      </c>
      <c r="JW13" s="75">
        <v>0</v>
      </c>
      <c r="JX13" s="75">
        <v>7.75</v>
      </c>
      <c r="JY13" s="26">
        <v>0</v>
      </c>
      <c r="JZ13" s="26">
        <v>0</v>
      </c>
      <c r="KA13" s="32">
        <f t="shared" si="9"/>
        <v>0</v>
      </c>
      <c r="KB13" s="34" t="s">
        <v>32</v>
      </c>
      <c r="KC13" s="34"/>
      <c r="KD13" s="26" t="s">
        <v>32</v>
      </c>
      <c r="KE13" s="34" t="s">
        <v>33</v>
      </c>
      <c r="KF13" s="32" t="s">
        <v>32</v>
      </c>
      <c r="KG13" s="32" t="s">
        <v>32</v>
      </c>
      <c r="KH13" s="34" t="s">
        <v>32</v>
      </c>
      <c r="KI13" s="28"/>
      <c r="KJ13" s="28" t="s">
        <v>32</v>
      </c>
      <c r="KK13" s="82" t="s">
        <v>32</v>
      </c>
      <c r="KL13" s="34" t="s">
        <v>32</v>
      </c>
      <c r="KM13" s="32" t="s">
        <v>32</v>
      </c>
      <c r="KN13" s="32" t="s">
        <v>33</v>
      </c>
      <c r="KO13" s="29" t="s">
        <v>32</v>
      </c>
      <c r="KP13" s="28" t="s">
        <v>32</v>
      </c>
      <c r="KQ13" s="26" t="s">
        <v>32</v>
      </c>
      <c r="KR13" s="34" t="s">
        <v>32</v>
      </c>
      <c r="KS13" s="32" t="s">
        <v>32</v>
      </c>
      <c r="KT13" s="34" t="s">
        <v>32</v>
      </c>
      <c r="KU13" s="33">
        <f t="shared" si="22"/>
        <v>0</v>
      </c>
      <c r="KV13" s="24"/>
      <c r="KW13" s="25">
        <v>46092</v>
      </c>
      <c r="KX13" s="28">
        <v>835</v>
      </c>
      <c r="KY13" s="75">
        <v>3278</v>
      </c>
      <c r="KZ13" s="75">
        <v>5</v>
      </c>
      <c r="LA13" s="26">
        <v>13343</v>
      </c>
      <c r="LB13" s="26">
        <v>872831</v>
      </c>
      <c r="LC13" s="32">
        <f t="shared" si="10"/>
        <v>486296</v>
      </c>
      <c r="LD13" s="34" t="s">
        <v>32</v>
      </c>
      <c r="LE13" s="34"/>
      <c r="LF13" s="26" t="s">
        <v>32</v>
      </c>
      <c r="LG13" s="34">
        <v>335000</v>
      </c>
      <c r="LH13" s="32">
        <v>30966</v>
      </c>
      <c r="LI13" s="32">
        <v>114940</v>
      </c>
      <c r="LJ13" s="34" t="s">
        <v>32</v>
      </c>
      <c r="LK13" s="28"/>
      <c r="LL13" s="28">
        <v>500</v>
      </c>
      <c r="LM13" s="82">
        <v>4890</v>
      </c>
      <c r="LN13" s="34" t="s">
        <v>32</v>
      </c>
      <c r="LO13" s="32" t="s">
        <v>32</v>
      </c>
      <c r="LP13" s="32" t="s">
        <v>33</v>
      </c>
      <c r="LQ13" s="29" t="s">
        <v>32</v>
      </c>
      <c r="LR13" s="28" t="s">
        <v>32</v>
      </c>
      <c r="LS13" s="26" t="s">
        <v>32</v>
      </c>
      <c r="LT13" s="34" t="s">
        <v>32</v>
      </c>
      <c r="LU13" s="32" t="s">
        <v>32</v>
      </c>
      <c r="LV13" s="34" t="s">
        <v>32</v>
      </c>
      <c r="LW13" s="33">
        <f t="shared" si="23"/>
        <v>486296</v>
      </c>
      <c r="LX13" s="24"/>
    </row>
    <row r="14" spans="1:336" x14ac:dyDescent="0.3">
      <c r="A14" s="25">
        <v>45759</v>
      </c>
      <c r="B14" s="26">
        <v>8765</v>
      </c>
      <c r="C14" s="26">
        <v>617529</v>
      </c>
      <c r="D14" s="27">
        <f t="shared" si="0"/>
        <v>13262</v>
      </c>
      <c r="E14" s="28">
        <v>2670</v>
      </c>
      <c r="F14" s="29">
        <v>584</v>
      </c>
      <c r="G14" s="29">
        <v>6.5</v>
      </c>
      <c r="H14" s="34" t="s">
        <v>33</v>
      </c>
      <c r="I14" s="34"/>
      <c r="J14" s="31" t="s">
        <v>32</v>
      </c>
      <c r="K14" s="34" t="s">
        <v>32</v>
      </c>
      <c r="L14" s="32" t="s">
        <v>32</v>
      </c>
      <c r="M14" s="32">
        <v>6500</v>
      </c>
      <c r="N14" s="34" t="s">
        <v>32</v>
      </c>
      <c r="O14" s="28" t="s">
        <v>32</v>
      </c>
      <c r="P14" s="28">
        <v>400</v>
      </c>
      <c r="Q14" s="34">
        <v>2200</v>
      </c>
      <c r="R14" s="34">
        <v>862</v>
      </c>
      <c r="S14" s="32">
        <v>500</v>
      </c>
      <c r="T14" s="32" t="s">
        <v>51</v>
      </c>
      <c r="U14" s="29">
        <v>2800</v>
      </c>
      <c r="V14" s="28" t="s">
        <v>32</v>
      </c>
      <c r="W14" s="26" t="s">
        <v>32</v>
      </c>
      <c r="X14" s="34" t="s">
        <v>32</v>
      </c>
      <c r="Y14" s="34" t="s">
        <v>32</v>
      </c>
      <c r="Z14" s="34"/>
      <c r="AA14" s="33">
        <f t="shared" si="12"/>
        <v>13262</v>
      </c>
      <c r="AB14" s="24"/>
      <c r="AC14" s="25">
        <v>45789</v>
      </c>
      <c r="AD14" s="26">
        <v>0</v>
      </c>
      <c r="AE14" s="26">
        <v>0</v>
      </c>
      <c r="AF14" s="27">
        <f t="shared" si="1"/>
        <v>0</v>
      </c>
      <c r="AG14" s="28">
        <v>3415</v>
      </c>
      <c r="AH14" s="29">
        <v>5435</v>
      </c>
      <c r="AI14" s="29">
        <v>15</v>
      </c>
      <c r="AJ14" s="34" t="s">
        <v>33</v>
      </c>
      <c r="AK14" s="34"/>
      <c r="AL14" s="31" t="s">
        <v>32</v>
      </c>
      <c r="AM14" s="34" t="s">
        <v>32</v>
      </c>
      <c r="AN14" s="32" t="s">
        <v>32</v>
      </c>
      <c r="AO14" s="32" t="s">
        <v>32</v>
      </c>
      <c r="AP14" s="34" t="s">
        <v>32</v>
      </c>
      <c r="AQ14" s="28" t="s">
        <v>32</v>
      </c>
      <c r="AR14" s="28" t="s">
        <v>32</v>
      </c>
      <c r="AS14" s="34" t="s">
        <v>32</v>
      </c>
      <c r="AT14" s="34" t="s">
        <v>32</v>
      </c>
      <c r="AU14" s="32" t="s">
        <v>32</v>
      </c>
      <c r="AV14" s="32"/>
      <c r="AW14" s="29" t="s">
        <v>32</v>
      </c>
      <c r="AX14" s="28" t="s">
        <v>32</v>
      </c>
      <c r="AY14" s="26" t="s">
        <v>32</v>
      </c>
      <c r="AZ14" s="34" t="s">
        <v>32</v>
      </c>
      <c r="BA14" s="34" t="s">
        <v>32</v>
      </c>
      <c r="BB14" s="34"/>
      <c r="BC14" s="33">
        <f t="shared" si="13"/>
        <v>0</v>
      </c>
      <c r="BD14" s="24"/>
      <c r="BE14" s="25">
        <v>45820</v>
      </c>
      <c r="BF14" s="26">
        <v>0</v>
      </c>
      <c r="BG14" s="26">
        <v>0</v>
      </c>
      <c r="BH14" s="27">
        <f t="shared" si="2"/>
        <v>0</v>
      </c>
      <c r="BI14" s="28">
        <v>2347</v>
      </c>
      <c r="BJ14" s="29">
        <v>2104</v>
      </c>
      <c r="BK14" s="29">
        <v>6.5</v>
      </c>
      <c r="BL14" s="34" t="s">
        <v>33</v>
      </c>
      <c r="BM14" s="34"/>
      <c r="BN14" s="31" t="s">
        <v>32</v>
      </c>
      <c r="BO14" s="34" t="s">
        <v>32</v>
      </c>
      <c r="BP14" s="32" t="s">
        <v>32</v>
      </c>
      <c r="BQ14" s="32" t="s">
        <v>32</v>
      </c>
      <c r="BR14" s="34" t="s">
        <v>32</v>
      </c>
      <c r="BS14" s="28" t="s">
        <v>32</v>
      </c>
      <c r="BT14" s="28" t="s">
        <v>32</v>
      </c>
      <c r="BU14" s="34" t="s">
        <v>32</v>
      </c>
      <c r="BV14" s="34" t="s">
        <v>32</v>
      </c>
      <c r="BW14" s="32" t="s">
        <v>32</v>
      </c>
      <c r="BX14" s="32"/>
      <c r="BY14" s="29" t="s">
        <v>32</v>
      </c>
      <c r="BZ14" s="28" t="s">
        <v>32</v>
      </c>
      <c r="CA14" s="26" t="s">
        <v>32</v>
      </c>
      <c r="CB14" s="34" t="s">
        <v>32</v>
      </c>
      <c r="CC14" s="34" t="s">
        <v>32</v>
      </c>
      <c r="CD14" s="34"/>
      <c r="CE14" s="33">
        <f t="shared" si="14"/>
        <v>0</v>
      </c>
      <c r="CF14" s="24"/>
      <c r="CG14" s="25">
        <v>45850</v>
      </c>
      <c r="CH14" s="26">
        <v>0</v>
      </c>
      <c r="CI14" s="26">
        <v>0</v>
      </c>
      <c r="CJ14" s="27">
        <f t="shared" si="3"/>
        <v>0</v>
      </c>
      <c r="CK14" s="28">
        <v>1472</v>
      </c>
      <c r="CL14" s="29">
        <v>2245</v>
      </c>
      <c r="CM14" s="29">
        <v>10</v>
      </c>
      <c r="CN14" s="34" t="s">
        <v>33</v>
      </c>
      <c r="CO14" s="34"/>
      <c r="CP14" s="31" t="s">
        <v>32</v>
      </c>
      <c r="CQ14" s="34" t="s">
        <v>32</v>
      </c>
      <c r="CR14" s="32" t="s">
        <v>32</v>
      </c>
      <c r="CS14" s="32" t="s">
        <v>32</v>
      </c>
      <c r="CT14" s="34" t="s">
        <v>32</v>
      </c>
      <c r="CU14" s="28" t="s">
        <v>32</v>
      </c>
      <c r="CV14" s="28" t="s">
        <v>32</v>
      </c>
      <c r="CW14" s="34" t="s">
        <v>32</v>
      </c>
      <c r="CX14" s="34" t="s">
        <v>32</v>
      </c>
      <c r="CY14" s="32" t="s">
        <v>32</v>
      </c>
      <c r="CZ14" s="32"/>
      <c r="DA14" s="29" t="s">
        <v>32</v>
      </c>
      <c r="DB14" s="28" t="s">
        <v>32</v>
      </c>
      <c r="DC14" s="26" t="s">
        <v>32</v>
      </c>
      <c r="DD14" s="34" t="s">
        <v>32</v>
      </c>
      <c r="DE14" s="34" t="s">
        <v>32</v>
      </c>
      <c r="DF14" s="34"/>
      <c r="DG14" s="33">
        <f t="shared" si="15"/>
        <v>0</v>
      </c>
      <c r="DH14" s="24"/>
      <c r="DI14" s="25">
        <v>45881</v>
      </c>
      <c r="DJ14" s="26">
        <v>0</v>
      </c>
      <c r="DK14" s="26">
        <v>0</v>
      </c>
      <c r="DL14" s="28">
        <v>2295</v>
      </c>
      <c r="DM14" s="29">
        <v>0</v>
      </c>
      <c r="DN14" s="29">
        <v>0</v>
      </c>
      <c r="DO14" s="27">
        <f t="shared" si="4"/>
        <v>0</v>
      </c>
      <c r="DP14" s="34" t="s">
        <v>33</v>
      </c>
      <c r="DQ14" s="34"/>
      <c r="DR14" s="31" t="s">
        <v>32</v>
      </c>
      <c r="DS14" s="34" t="s">
        <v>32</v>
      </c>
      <c r="DT14" s="32" t="s">
        <v>32</v>
      </c>
      <c r="DU14" s="32" t="s">
        <v>32</v>
      </c>
      <c r="DV14" s="34" t="s">
        <v>32</v>
      </c>
      <c r="DW14" s="28" t="s">
        <v>32</v>
      </c>
      <c r="DX14" s="28" t="s">
        <v>32</v>
      </c>
      <c r="DY14" s="34" t="s">
        <v>32</v>
      </c>
      <c r="DZ14" s="34" t="s">
        <v>32</v>
      </c>
      <c r="EA14" s="32" t="s">
        <v>32</v>
      </c>
      <c r="EB14" s="32"/>
      <c r="EC14" s="29" t="s">
        <v>32</v>
      </c>
      <c r="ED14" s="28" t="s">
        <v>32</v>
      </c>
      <c r="EE14" s="26" t="s">
        <v>32</v>
      </c>
      <c r="EF14" s="34" t="s">
        <v>32</v>
      </c>
      <c r="EG14" s="34" t="s">
        <v>32</v>
      </c>
      <c r="EH14" s="34"/>
      <c r="EI14" s="33">
        <f t="shared" si="16"/>
        <v>0</v>
      </c>
      <c r="EJ14" s="24"/>
      <c r="EK14" s="25">
        <v>45912</v>
      </c>
      <c r="EL14" s="28">
        <v>4642</v>
      </c>
      <c r="EM14" s="28">
        <v>4055</v>
      </c>
      <c r="EN14" s="28">
        <v>9.75</v>
      </c>
      <c r="EO14" s="26">
        <v>5202</v>
      </c>
      <c r="EP14" s="26">
        <v>269196</v>
      </c>
      <c r="EQ14" s="27">
        <f t="shared" si="5"/>
        <v>145110</v>
      </c>
      <c r="ER14" s="34" t="s">
        <v>33</v>
      </c>
      <c r="ES14" s="34"/>
      <c r="ET14" s="31">
        <v>26000</v>
      </c>
      <c r="EU14" s="34" t="s">
        <v>32</v>
      </c>
      <c r="EV14" s="30" t="s">
        <v>32</v>
      </c>
      <c r="EW14" s="30" t="s">
        <v>32</v>
      </c>
      <c r="EX14" s="34">
        <v>116450</v>
      </c>
      <c r="EY14" s="28" t="s">
        <v>32</v>
      </c>
      <c r="EZ14" s="28" t="s">
        <v>32</v>
      </c>
      <c r="FA14" s="34">
        <v>2660</v>
      </c>
      <c r="FB14" s="34" t="s">
        <v>32</v>
      </c>
      <c r="FC14" s="32" t="s">
        <v>32</v>
      </c>
      <c r="FD14" s="32"/>
      <c r="FE14" s="75" t="s">
        <v>32</v>
      </c>
      <c r="FF14" s="32" t="s">
        <v>32</v>
      </c>
      <c r="FG14" s="26" t="s">
        <v>32</v>
      </c>
      <c r="FH14" s="34" t="s">
        <v>32</v>
      </c>
      <c r="FI14" s="34" t="s">
        <v>32</v>
      </c>
      <c r="FJ14" s="34"/>
      <c r="FK14" s="33">
        <f t="shared" si="17"/>
        <v>145110</v>
      </c>
      <c r="FL14" s="24"/>
      <c r="FM14" s="25">
        <v>45942</v>
      </c>
      <c r="FN14" s="28">
        <v>3982</v>
      </c>
      <c r="FO14" s="75">
        <v>2037</v>
      </c>
      <c r="FP14" s="75">
        <v>6.5</v>
      </c>
      <c r="FQ14" s="26">
        <v>16862</v>
      </c>
      <c r="FR14" s="26">
        <v>1037578</v>
      </c>
      <c r="FS14" s="32">
        <f t="shared" si="11"/>
        <v>164930</v>
      </c>
      <c r="FT14" s="34">
        <v>32700</v>
      </c>
      <c r="FU14" s="34">
        <v>24400</v>
      </c>
      <c r="FV14" s="26">
        <v>72000</v>
      </c>
      <c r="FW14" s="34" t="s">
        <v>32</v>
      </c>
      <c r="FX14" s="32" t="s">
        <v>32</v>
      </c>
      <c r="FY14" s="32">
        <v>26135</v>
      </c>
      <c r="FZ14" s="34" t="s">
        <v>32</v>
      </c>
      <c r="GA14" s="28" t="s">
        <v>32</v>
      </c>
      <c r="GB14" s="28" t="s">
        <v>32</v>
      </c>
      <c r="GC14" s="82">
        <v>1695</v>
      </c>
      <c r="GD14" s="34" t="s">
        <v>32</v>
      </c>
      <c r="GE14" s="32" t="s">
        <v>32</v>
      </c>
      <c r="GF14" s="32"/>
      <c r="GG14" s="29">
        <v>8000</v>
      </c>
      <c r="GH14" s="28" t="s">
        <v>32</v>
      </c>
      <c r="GI14" s="26" t="s">
        <v>32</v>
      </c>
      <c r="GJ14" s="34" t="s">
        <v>32</v>
      </c>
      <c r="GK14" s="32" t="s">
        <v>32</v>
      </c>
      <c r="GL14" s="34"/>
      <c r="GM14" s="33">
        <f t="shared" si="18"/>
        <v>164930</v>
      </c>
      <c r="GN14" s="24"/>
      <c r="GO14" s="25">
        <v>45973</v>
      </c>
      <c r="GP14" s="28">
        <v>3180</v>
      </c>
      <c r="GQ14" s="75">
        <v>0</v>
      </c>
      <c r="GR14" s="75">
        <v>8</v>
      </c>
      <c r="GS14" s="26">
        <v>0</v>
      </c>
      <c r="GT14" s="26">
        <v>0</v>
      </c>
      <c r="GU14" s="32">
        <f t="shared" si="6"/>
        <v>0</v>
      </c>
      <c r="GV14" s="34" t="s">
        <v>33</v>
      </c>
      <c r="GW14" s="28"/>
      <c r="GX14" s="26" t="s">
        <v>32</v>
      </c>
      <c r="GY14" s="34" t="s">
        <v>32</v>
      </c>
      <c r="GZ14" s="32" t="s">
        <v>32</v>
      </c>
      <c r="HA14" s="32" t="s">
        <v>32</v>
      </c>
      <c r="HB14" s="34" t="s">
        <v>32</v>
      </c>
      <c r="HC14" s="28" t="s">
        <v>32</v>
      </c>
      <c r="HD14" s="28" t="s">
        <v>32</v>
      </c>
      <c r="HE14" s="26" t="s">
        <v>32</v>
      </c>
      <c r="HF14" s="34" t="s">
        <v>32</v>
      </c>
      <c r="HG14" s="32" t="s">
        <v>32</v>
      </c>
      <c r="HH14" s="32"/>
      <c r="HI14" s="29" t="s">
        <v>32</v>
      </c>
      <c r="HJ14" s="32" t="s">
        <v>32</v>
      </c>
      <c r="HK14" s="26" t="s">
        <v>32</v>
      </c>
      <c r="HL14" s="26" t="s">
        <v>32</v>
      </c>
      <c r="HM14" s="82" t="s">
        <v>32</v>
      </c>
      <c r="HN14" s="82"/>
      <c r="HO14" s="33">
        <f t="shared" si="19"/>
        <v>0</v>
      </c>
      <c r="HP14" s="24"/>
      <c r="HQ14" s="25">
        <v>46003</v>
      </c>
      <c r="HR14" s="28">
        <v>3689</v>
      </c>
      <c r="HS14" s="75">
        <v>0</v>
      </c>
      <c r="HT14" s="75">
        <v>10.5</v>
      </c>
      <c r="HU14" s="26">
        <v>461</v>
      </c>
      <c r="HV14" s="26">
        <v>30222</v>
      </c>
      <c r="HW14" s="32">
        <f t="shared" si="7"/>
        <v>475920</v>
      </c>
      <c r="HX14" s="30" t="s">
        <v>33</v>
      </c>
      <c r="HY14" s="28"/>
      <c r="HZ14" s="26">
        <v>189536</v>
      </c>
      <c r="IA14" s="30">
        <v>100</v>
      </c>
      <c r="IB14" s="32">
        <v>18025</v>
      </c>
      <c r="IC14" s="75" t="s">
        <v>32</v>
      </c>
      <c r="ID14" s="30" t="s">
        <v>32</v>
      </c>
      <c r="IE14" s="28" t="s">
        <v>32</v>
      </c>
      <c r="IF14" s="28" t="s">
        <v>32</v>
      </c>
      <c r="IG14" s="26">
        <v>890</v>
      </c>
      <c r="IH14" s="30" t="s">
        <v>32</v>
      </c>
      <c r="II14" s="28">
        <v>267369</v>
      </c>
      <c r="IJ14" s="28" t="s">
        <v>169</v>
      </c>
      <c r="IK14" s="75" t="s">
        <v>32</v>
      </c>
      <c r="IL14" s="32" t="s">
        <v>32</v>
      </c>
      <c r="IM14" s="26" t="s">
        <v>32</v>
      </c>
      <c r="IN14" s="26" t="s">
        <v>32</v>
      </c>
      <c r="IO14" s="82" t="s">
        <v>32</v>
      </c>
      <c r="IP14" s="82"/>
      <c r="IQ14" s="33">
        <f t="shared" si="20"/>
        <v>475920</v>
      </c>
      <c r="IR14" s="24"/>
      <c r="IS14" s="25">
        <v>46034</v>
      </c>
      <c r="IT14" s="28">
        <v>2876</v>
      </c>
      <c r="IU14" s="75">
        <v>0</v>
      </c>
      <c r="IV14" s="75">
        <v>7</v>
      </c>
      <c r="IW14" s="26">
        <v>344</v>
      </c>
      <c r="IX14" s="26">
        <v>15200</v>
      </c>
      <c r="IY14" s="32">
        <f t="shared" si="8"/>
        <v>16550</v>
      </c>
      <c r="IZ14" s="34" t="s">
        <v>33</v>
      </c>
      <c r="JA14" s="34"/>
      <c r="JB14" s="26" t="s">
        <v>32</v>
      </c>
      <c r="JC14" s="34">
        <v>2000</v>
      </c>
      <c r="JD14" s="32">
        <v>490</v>
      </c>
      <c r="JE14" s="32">
        <v>12700</v>
      </c>
      <c r="JF14" s="34" t="s">
        <v>32</v>
      </c>
      <c r="JG14" s="28" t="s">
        <v>32</v>
      </c>
      <c r="JH14" s="28" t="s">
        <v>32</v>
      </c>
      <c r="JI14" s="82">
        <v>1360</v>
      </c>
      <c r="JJ14" s="34" t="s">
        <v>32</v>
      </c>
      <c r="JK14" s="32" t="s">
        <v>32</v>
      </c>
      <c r="JL14" s="32"/>
      <c r="JM14" s="29" t="s">
        <v>32</v>
      </c>
      <c r="JN14" s="28" t="s">
        <v>32</v>
      </c>
      <c r="JO14" s="26" t="s">
        <v>32</v>
      </c>
      <c r="JP14" s="34" t="s">
        <v>32</v>
      </c>
      <c r="JQ14" s="32" t="s">
        <v>32</v>
      </c>
      <c r="JR14" s="34"/>
      <c r="JS14" s="33">
        <f t="shared" si="21"/>
        <v>16550</v>
      </c>
      <c r="JT14" s="24"/>
      <c r="JU14" s="25">
        <v>46065</v>
      </c>
      <c r="JV14" s="28">
        <v>3203</v>
      </c>
      <c r="JW14" s="75">
        <v>3570</v>
      </c>
      <c r="JX14" s="75">
        <v>9</v>
      </c>
      <c r="JY14" s="26">
        <v>9715</v>
      </c>
      <c r="JZ14" s="26">
        <v>415627</v>
      </c>
      <c r="KA14" s="32">
        <f t="shared" si="9"/>
        <v>31620</v>
      </c>
      <c r="KB14" s="34" t="s">
        <v>33</v>
      </c>
      <c r="KC14" s="34"/>
      <c r="KD14" s="26" t="s">
        <v>32</v>
      </c>
      <c r="KE14" s="34">
        <v>250</v>
      </c>
      <c r="KF14" s="32">
        <v>10080</v>
      </c>
      <c r="KG14" s="32">
        <v>6250</v>
      </c>
      <c r="KH14" s="34">
        <v>14000</v>
      </c>
      <c r="KI14" s="28" t="s">
        <v>32</v>
      </c>
      <c r="KJ14" s="28" t="s">
        <v>32</v>
      </c>
      <c r="KK14" s="82">
        <v>1040</v>
      </c>
      <c r="KL14" s="34" t="s">
        <v>32</v>
      </c>
      <c r="KM14" s="32" t="s">
        <v>32</v>
      </c>
      <c r="KN14" s="32"/>
      <c r="KO14" s="29" t="s">
        <v>32</v>
      </c>
      <c r="KP14" s="28" t="s">
        <v>32</v>
      </c>
      <c r="KQ14" s="26" t="s">
        <v>32</v>
      </c>
      <c r="KR14" s="34" t="s">
        <v>32</v>
      </c>
      <c r="KS14" s="32" t="s">
        <v>32</v>
      </c>
      <c r="KT14" s="34"/>
      <c r="KU14" s="33">
        <f t="shared" si="22"/>
        <v>31620</v>
      </c>
      <c r="KV14" s="24"/>
      <c r="KW14" s="25">
        <v>46093</v>
      </c>
      <c r="KX14" s="28">
        <v>3371</v>
      </c>
      <c r="KY14" s="75">
        <v>2622</v>
      </c>
      <c r="KZ14" s="75">
        <v>6</v>
      </c>
      <c r="LA14" s="26">
        <v>0</v>
      </c>
      <c r="LB14" s="26">
        <v>0</v>
      </c>
      <c r="LC14" s="32">
        <f t="shared" si="10"/>
        <v>0</v>
      </c>
      <c r="LD14" s="34" t="s">
        <v>33</v>
      </c>
      <c r="LE14" s="34"/>
      <c r="LF14" s="26" t="s">
        <v>32</v>
      </c>
      <c r="LG14" s="34" t="s">
        <v>32</v>
      </c>
      <c r="LH14" s="32" t="s">
        <v>32</v>
      </c>
      <c r="LI14" s="32" t="s">
        <v>32</v>
      </c>
      <c r="LJ14" s="34" t="s">
        <v>32</v>
      </c>
      <c r="LK14" s="28" t="s">
        <v>32</v>
      </c>
      <c r="LL14" s="28" t="s">
        <v>32</v>
      </c>
      <c r="LM14" s="82" t="s">
        <v>32</v>
      </c>
      <c r="LN14" s="34" t="s">
        <v>32</v>
      </c>
      <c r="LO14" s="32" t="s">
        <v>32</v>
      </c>
      <c r="LP14" s="32"/>
      <c r="LQ14" s="29" t="s">
        <v>32</v>
      </c>
      <c r="LR14" s="28" t="s">
        <v>32</v>
      </c>
      <c r="LS14" s="26" t="s">
        <v>32</v>
      </c>
      <c r="LT14" s="34" t="s">
        <v>32</v>
      </c>
      <c r="LU14" s="32" t="s">
        <v>32</v>
      </c>
      <c r="LV14" s="34"/>
      <c r="LW14" s="33">
        <f t="shared" si="23"/>
        <v>0</v>
      </c>
      <c r="LX14" s="24"/>
    </row>
    <row r="15" spans="1:336" x14ac:dyDescent="0.3">
      <c r="A15" s="25">
        <v>45760</v>
      </c>
      <c r="B15" s="26">
        <v>0</v>
      </c>
      <c r="C15" s="26">
        <v>0</v>
      </c>
      <c r="D15" s="27">
        <f t="shared" si="0"/>
        <v>0</v>
      </c>
      <c r="E15" s="28">
        <v>3514</v>
      </c>
      <c r="F15" s="29">
        <v>4181</v>
      </c>
      <c r="G15" s="29">
        <v>6.5</v>
      </c>
      <c r="H15" s="34" t="s">
        <v>32</v>
      </c>
      <c r="I15" s="34"/>
      <c r="J15" s="31" t="s">
        <v>32</v>
      </c>
      <c r="K15" s="34" t="s">
        <v>32</v>
      </c>
      <c r="L15" s="32" t="s">
        <v>32</v>
      </c>
      <c r="M15" s="32"/>
      <c r="N15" s="34" t="s">
        <v>32</v>
      </c>
      <c r="O15" s="28"/>
      <c r="P15" s="28" t="s">
        <v>32</v>
      </c>
      <c r="Q15" s="34" t="s">
        <v>32</v>
      </c>
      <c r="R15" s="34" t="s">
        <v>32</v>
      </c>
      <c r="S15" s="32" t="s">
        <v>32</v>
      </c>
      <c r="T15" s="32" t="s">
        <v>32</v>
      </c>
      <c r="U15" s="29" t="s">
        <v>32</v>
      </c>
      <c r="V15" s="28"/>
      <c r="W15" s="26" t="s">
        <v>32</v>
      </c>
      <c r="X15" s="34" t="s">
        <v>32</v>
      </c>
      <c r="Y15" s="34" t="s">
        <v>32</v>
      </c>
      <c r="Z15" s="34"/>
      <c r="AA15" s="33">
        <f t="shared" si="12"/>
        <v>0</v>
      </c>
      <c r="AB15" s="24"/>
      <c r="AC15" s="25">
        <v>45790</v>
      </c>
      <c r="AD15" s="26">
        <v>5621</v>
      </c>
      <c r="AE15" s="26">
        <v>366240</v>
      </c>
      <c r="AF15" s="27">
        <f t="shared" si="1"/>
        <v>50460</v>
      </c>
      <c r="AG15" s="28">
        <v>770</v>
      </c>
      <c r="AH15" s="29">
        <v>4546</v>
      </c>
      <c r="AI15" s="29">
        <v>18</v>
      </c>
      <c r="AJ15" s="34" t="s">
        <v>32</v>
      </c>
      <c r="AK15" s="34"/>
      <c r="AL15" s="31" t="s">
        <v>32</v>
      </c>
      <c r="AM15" s="34">
        <v>200</v>
      </c>
      <c r="AN15" s="32">
        <v>1950</v>
      </c>
      <c r="AO15" s="32">
        <v>24600</v>
      </c>
      <c r="AP15" s="34">
        <v>21200</v>
      </c>
      <c r="AQ15" s="28"/>
      <c r="AR15" s="28" t="s">
        <v>32</v>
      </c>
      <c r="AS15" s="34">
        <v>2510</v>
      </c>
      <c r="AT15" s="34" t="s">
        <v>32</v>
      </c>
      <c r="AU15" s="32" t="s">
        <v>32</v>
      </c>
      <c r="AV15" s="32" t="s">
        <v>32</v>
      </c>
      <c r="AW15" s="29" t="s">
        <v>32</v>
      </c>
      <c r="AX15" s="28"/>
      <c r="AY15" s="26" t="s">
        <v>32</v>
      </c>
      <c r="AZ15" s="34" t="s">
        <v>32</v>
      </c>
      <c r="BA15" s="34" t="s">
        <v>32</v>
      </c>
      <c r="BB15" s="34"/>
      <c r="BC15" s="33">
        <f t="shared" si="13"/>
        <v>50460</v>
      </c>
      <c r="BD15" s="24"/>
      <c r="BE15" s="25">
        <v>45821</v>
      </c>
      <c r="BF15" s="26">
        <v>0</v>
      </c>
      <c r="BG15" s="26">
        <v>0</v>
      </c>
      <c r="BH15" s="27">
        <f t="shared" si="2"/>
        <v>0</v>
      </c>
      <c r="BI15" s="28">
        <v>2348</v>
      </c>
      <c r="BJ15" s="29">
        <v>1887</v>
      </c>
      <c r="BK15" s="29">
        <v>7</v>
      </c>
      <c r="BL15" s="34" t="s">
        <v>32</v>
      </c>
      <c r="BM15" s="34"/>
      <c r="BN15" s="31" t="s">
        <v>32</v>
      </c>
      <c r="BO15" s="34" t="s">
        <v>32</v>
      </c>
      <c r="BP15" s="32" t="s">
        <v>32</v>
      </c>
      <c r="BQ15" s="32"/>
      <c r="BR15" s="34" t="s">
        <v>32</v>
      </c>
      <c r="BS15" s="28"/>
      <c r="BT15" s="28" t="s">
        <v>32</v>
      </c>
      <c r="BU15" s="34" t="s">
        <v>32</v>
      </c>
      <c r="BV15" s="34" t="s">
        <v>32</v>
      </c>
      <c r="BW15" s="32" t="s">
        <v>32</v>
      </c>
      <c r="BX15" s="32" t="s">
        <v>32</v>
      </c>
      <c r="BY15" s="29" t="s">
        <v>32</v>
      </c>
      <c r="BZ15" s="28"/>
      <c r="CA15" s="26" t="s">
        <v>32</v>
      </c>
      <c r="CB15" s="34" t="s">
        <v>32</v>
      </c>
      <c r="CC15" s="34" t="s">
        <v>32</v>
      </c>
      <c r="CD15" s="34"/>
      <c r="CE15" s="33">
        <f t="shared" si="14"/>
        <v>0</v>
      </c>
      <c r="CF15" s="24"/>
      <c r="CG15" s="25">
        <v>45851</v>
      </c>
      <c r="CH15" s="26">
        <v>0</v>
      </c>
      <c r="CI15" s="26">
        <v>0</v>
      </c>
      <c r="CJ15" s="27">
        <f t="shared" si="3"/>
        <v>2070</v>
      </c>
      <c r="CK15" s="28">
        <v>315</v>
      </c>
      <c r="CL15" s="29">
        <v>3698</v>
      </c>
      <c r="CM15" s="29">
        <v>5.75</v>
      </c>
      <c r="CN15" s="34" t="s">
        <v>32</v>
      </c>
      <c r="CO15" s="34"/>
      <c r="CP15" s="31" t="s">
        <v>32</v>
      </c>
      <c r="CQ15" s="34" t="s">
        <v>32</v>
      </c>
      <c r="CR15" s="32" t="s">
        <v>32</v>
      </c>
      <c r="CS15" s="32"/>
      <c r="CT15" s="34" t="s">
        <v>32</v>
      </c>
      <c r="CU15" s="28"/>
      <c r="CV15" s="28" t="s">
        <v>32</v>
      </c>
      <c r="CW15" s="34">
        <v>2070</v>
      </c>
      <c r="CX15" s="34" t="s">
        <v>32</v>
      </c>
      <c r="CY15" s="32" t="s">
        <v>32</v>
      </c>
      <c r="CZ15" s="32" t="s">
        <v>32</v>
      </c>
      <c r="DA15" s="29" t="s">
        <v>32</v>
      </c>
      <c r="DB15" s="28"/>
      <c r="DC15" s="26" t="s">
        <v>32</v>
      </c>
      <c r="DD15" s="34" t="s">
        <v>32</v>
      </c>
      <c r="DE15" s="34" t="s">
        <v>32</v>
      </c>
      <c r="DF15" s="34"/>
      <c r="DG15" s="33">
        <f t="shared" si="15"/>
        <v>2070</v>
      </c>
      <c r="DH15" s="24"/>
      <c r="DI15" s="25">
        <v>45882</v>
      </c>
      <c r="DJ15" s="26">
        <v>13816</v>
      </c>
      <c r="DK15" s="26">
        <v>374417</v>
      </c>
      <c r="DL15" s="28">
        <v>3414</v>
      </c>
      <c r="DM15" s="29">
        <v>1361</v>
      </c>
      <c r="DN15" s="29">
        <v>2</v>
      </c>
      <c r="DO15" s="27">
        <f t="shared" si="4"/>
        <v>91884</v>
      </c>
      <c r="DP15" s="34" t="s">
        <v>32</v>
      </c>
      <c r="DQ15" s="34"/>
      <c r="DR15" s="31">
        <v>7850</v>
      </c>
      <c r="DS15" s="34" t="s">
        <v>32</v>
      </c>
      <c r="DT15" s="32">
        <v>10800</v>
      </c>
      <c r="DU15" s="32"/>
      <c r="DV15" s="34">
        <v>20700</v>
      </c>
      <c r="DW15" s="28"/>
      <c r="DX15" s="28">
        <v>500</v>
      </c>
      <c r="DY15" s="34">
        <v>2034</v>
      </c>
      <c r="DZ15" s="34" t="s">
        <v>32</v>
      </c>
      <c r="EA15" s="32" t="s">
        <v>32</v>
      </c>
      <c r="EB15" s="32" t="s">
        <v>32</v>
      </c>
      <c r="EC15" s="29" t="s">
        <v>32</v>
      </c>
      <c r="ED15" s="28"/>
      <c r="EE15" s="26">
        <v>50000</v>
      </c>
      <c r="EF15" s="34" t="s">
        <v>57</v>
      </c>
      <c r="EG15" s="34" t="s">
        <v>32</v>
      </c>
      <c r="EH15" s="34"/>
      <c r="EI15" s="33">
        <f t="shared" si="16"/>
        <v>91884</v>
      </c>
      <c r="EJ15" s="24"/>
      <c r="EK15" s="25">
        <v>45913</v>
      </c>
      <c r="EL15" s="28">
        <v>4146</v>
      </c>
      <c r="EM15" s="28">
        <v>0</v>
      </c>
      <c r="EN15" s="28">
        <v>7.5</v>
      </c>
      <c r="EO15" s="26">
        <v>0</v>
      </c>
      <c r="EP15" s="26">
        <v>0</v>
      </c>
      <c r="EQ15" s="27">
        <f t="shared" si="5"/>
        <v>0</v>
      </c>
      <c r="ER15" s="34" t="s">
        <v>32</v>
      </c>
      <c r="ES15" s="34"/>
      <c r="ET15" s="31" t="s">
        <v>32</v>
      </c>
      <c r="EU15" s="34" t="s">
        <v>32</v>
      </c>
      <c r="EV15" s="30" t="s">
        <v>32</v>
      </c>
      <c r="EW15" s="30"/>
      <c r="EX15" s="34" t="s">
        <v>32</v>
      </c>
      <c r="EY15" s="28"/>
      <c r="EZ15" s="28" t="s">
        <v>32</v>
      </c>
      <c r="FA15" s="34" t="s">
        <v>32</v>
      </c>
      <c r="FB15" s="34" t="s">
        <v>32</v>
      </c>
      <c r="FC15" s="32" t="s">
        <v>32</v>
      </c>
      <c r="FD15" s="32" t="s">
        <v>32</v>
      </c>
      <c r="FE15" s="75" t="s">
        <v>32</v>
      </c>
      <c r="FF15" s="32"/>
      <c r="FG15" s="26" t="s">
        <v>32</v>
      </c>
      <c r="FH15" s="34" t="s">
        <v>32</v>
      </c>
      <c r="FI15" s="34" t="s">
        <v>32</v>
      </c>
      <c r="FJ15" s="34"/>
      <c r="FK15" s="33">
        <f t="shared" si="17"/>
        <v>0</v>
      </c>
      <c r="FL15" s="24"/>
      <c r="FM15" s="25">
        <v>45943</v>
      </c>
      <c r="FN15" s="28">
        <v>3102</v>
      </c>
      <c r="FO15" s="75">
        <v>5240</v>
      </c>
      <c r="FP15" s="75">
        <v>9</v>
      </c>
      <c r="FQ15" s="26">
        <v>0</v>
      </c>
      <c r="FR15" s="26">
        <v>0</v>
      </c>
      <c r="FS15" s="32">
        <f t="shared" si="11"/>
        <v>0</v>
      </c>
      <c r="FT15" s="34" t="s">
        <v>32</v>
      </c>
      <c r="FU15" s="34"/>
      <c r="FV15" s="26" t="s">
        <v>32</v>
      </c>
      <c r="FW15" s="34" t="s">
        <v>32</v>
      </c>
      <c r="FX15" s="32" t="s">
        <v>32</v>
      </c>
      <c r="FY15" s="32"/>
      <c r="FZ15" s="34" t="s">
        <v>32</v>
      </c>
      <c r="GA15" s="28"/>
      <c r="GB15" s="28" t="s">
        <v>32</v>
      </c>
      <c r="GC15" s="82" t="s">
        <v>32</v>
      </c>
      <c r="GD15" s="34" t="s">
        <v>32</v>
      </c>
      <c r="GE15" s="32" t="s">
        <v>32</v>
      </c>
      <c r="GF15" s="32" t="s">
        <v>32</v>
      </c>
      <c r="GG15" s="29" t="s">
        <v>32</v>
      </c>
      <c r="GH15" s="28"/>
      <c r="GI15" s="26" t="s">
        <v>32</v>
      </c>
      <c r="GJ15" s="34" t="s">
        <v>32</v>
      </c>
      <c r="GK15" s="32" t="s">
        <v>32</v>
      </c>
      <c r="GL15" s="34"/>
      <c r="GM15" s="33">
        <f t="shared" si="18"/>
        <v>0</v>
      </c>
      <c r="GN15" s="24"/>
      <c r="GO15" s="25">
        <v>45974</v>
      </c>
      <c r="GP15" s="28">
        <v>3286</v>
      </c>
      <c r="GQ15" s="75">
        <v>5253</v>
      </c>
      <c r="GR15" s="75">
        <v>10.5</v>
      </c>
      <c r="GS15" s="26">
        <v>0</v>
      </c>
      <c r="GT15" s="26">
        <v>0</v>
      </c>
      <c r="GU15" s="32">
        <f t="shared" si="6"/>
        <v>0</v>
      </c>
      <c r="GV15" s="34" t="s">
        <v>32</v>
      </c>
      <c r="GW15" s="28"/>
      <c r="GX15" s="26" t="s">
        <v>32</v>
      </c>
      <c r="GY15" s="34" t="s">
        <v>32</v>
      </c>
      <c r="GZ15" s="32" t="s">
        <v>32</v>
      </c>
      <c r="HA15" s="32"/>
      <c r="HB15" s="34" t="s">
        <v>32</v>
      </c>
      <c r="HC15" s="28"/>
      <c r="HD15" s="28" t="s">
        <v>32</v>
      </c>
      <c r="HE15" s="26" t="s">
        <v>32</v>
      </c>
      <c r="HF15" s="34" t="s">
        <v>32</v>
      </c>
      <c r="HG15" s="32" t="s">
        <v>32</v>
      </c>
      <c r="HH15" s="32" t="s">
        <v>32</v>
      </c>
      <c r="HI15" s="29" t="s">
        <v>32</v>
      </c>
      <c r="HJ15" s="32"/>
      <c r="HK15" s="26" t="s">
        <v>32</v>
      </c>
      <c r="HL15" s="26" t="s">
        <v>32</v>
      </c>
      <c r="HM15" s="82" t="s">
        <v>32</v>
      </c>
      <c r="HN15" s="82"/>
      <c r="HO15" s="33">
        <f t="shared" si="19"/>
        <v>0</v>
      </c>
      <c r="HP15" s="24"/>
      <c r="HQ15" s="25">
        <v>46004</v>
      </c>
      <c r="HR15" s="28">
        <v>3662</v>
      </c>
      <c r="HS15" s="75">
        <v>0</v>
      </c>
      <c r="HT15" s="75">
        <v>8.5</v>
      </c>
      <c r="HU15" s="26">
        <v>0</v>
      </c>
      <c r="HV15" s="26">
        <v>0</v>
      </c>
      <c r="HW15" s="32">
        <f t="shared" si="7"/>
        <v>0</v>
      </c>
      <c r="HX15" s="30" t="s">
        <v>32</v>
      </c>
      <c r="HY15" s="28"/>
      <c r="HZ15" s="26" t="s">
        <v>32</v>
      </c>
      <c r="IA15" s="30" t="s">
        <v>32</v>
      </c>
      <c r="IB15" s="32" t="s">
        <v>32</v>
      </c>
      <c r="IC15" s="75"/>
      <c r="ID15" s="30" t="s">
        <v>32</v>
      </c>
      <c r="IE15" s="28"/>
      <c r="IF15" s="28" t="s">
        <v>32</v>
      </c>
      <c r="IG15" s="26" t="s">
        <v>32</v>
      </c>
      <c r="IH15" s="30" t="s">
        <v>32</v>
      </c>
      <c r="II15" s="28" t="s">
        <v>32</v>
      </c>
      <c r="IJ15" s="28" t="s">
        <v>32</v>
      </c>
      <c r="IK15" s="75" t="s">
        <v>32</v>
      </c>
      <c r="IL15" s="32"/>
      <c r="IM15" s="26" t="s">
        <v>32</v>
      </c>
      <c r="IN15" s="26" t="s">
        <v>32</v>
      </c>
      <c r="IO15" s="82" t="s">
        <v>32</v>
      </c>
      <c r="IP15" s="82"/>
      <c r="IQ15" s="33">
        <f t="shared" si="20"/>
        <v>0</v>
      </c>
      <c r="IR15" s="24"/>
      <c r="IS15" s="25">
        <v>46035</v>
      </c>
      <c r="IT15" s="28">
        <v>1804</v>
      </c>
      <c r="IU15" s="75">
        <v>0</v>
      </c>
      <c r="IV15" s="75">
        <v>5.75</v>
      </c>
      <c r="IW15" s="26">
        <v>0</v>
      </c>
      <c r="IX15" s="26">
        <v>0</v>
      </c>
      <c r="IY15" s="32">
        <f t="shared" si="8"/>
        <v>0</v>
      </c>
      <c r="IZ15" s="34" t="s">
        <v>32</v>
      </c>
      <c r="JA15" s="34"/>
      <c r="JB15" s="26" t="s">
        <v>32</v>
      </c>
      <c r="JC15" s="34" t="s">
        <v>32</v>
      </c>
      <c r="JD15" s="32" t="s">
        <v>32</v>
      </c>
      <c r="JE15" s="32"/>
      <c r="JF15" s="34" t="s">
        <v>32</v>
      </c>
      <c r="JG15" s="28"/>
      <c r="JH15" s="28" t="s">
        <v>32</v>
      </c>
      <c r="JI15" s="82" t="s">
        <v>32</v>
      </c>
      <c r="JJ15" s="34" t="s">
        <v>32</v>
      </c>
      <c r="JK15" s="32" t="s">
        <v>32</v>
      </c>
      <c r="JL15" s="32" t="s">
        <v>32</v>
      </c>
      <c r="JM15" s="29" t="s">
        <v>32</v>
      </c>
      <c r="JN15" s="28"/>
      <c r="JO15" s="26" t="s">
        <v>32</v>
      </c>
      <c r="JP15" s="34" t="s">
        <v>32</v>
      </c>
      <c r="JQ15" s="32" t="s">
        <v>32</v>
      </c>
      <c r="JR15" s="34"/>
      <c r="JS15" s="33">
        <f t="shared" si="21"/>
        <v>0</v>
      </c>
      <c r="JT15" s="24"/>
      <c r="JU15" s="25">
        <v>46066</v>
      </c>
      <c r="JV15" s="28">
        <v>2502</v>
      </c>
      <c r="JW15" s="75">
        <v>1691</v>
      </c>
      <c r="JX15" s="75">
        <v>7.5</v>
      </c>
      <c r="JY15" s="26">
        <v>0</v>
      </c>
      <c r="JZ15" s="26">
        <v>0</v>
      </c>
      <c r="KA15" s="32">
        <f t="shared" si="9"/>
        <v>0</v>
      </c>
      <c r="KB15" s="34" t="s">
        <v>32</v>
      </c>
      <c r="KC15" s="34"/>
      <c r="KD15" s="26" t="s">
        <v>32</v>
      </c>
      <c r="KE15" s="34" t="s">
        <v>32</v>
      </c>
      <c r="KF15" s="32" t="s">
        <v>32</v>
      </c>
      <c r="KG15" s="32"/>
      <c r="KH15" s="34" t="s">
        <v>32</v>
      </c>
      <c r="KI15" s="28"/>
      <c r="KJ15" s="28" t="s">
        <v>32</v>
      </c>
      <c r="KK15" s="82" t="s">
        <v>32</v>
      </c>
      <c r="KL15" s="34" t="s">
        <v>32</v>
      </c>
      <c r="KM15" s="32" t="s">
        <v>32</v>
      </c>
      <c r="KN15" s="32" t="s">
        <v>32</v>
      </c>
      <c r="KO15" s="29" t="s">
        <v>32</v>
      </c>
      <c r="KP15" s="28"/>
      <c r="KQ15" s="26" t="s">
        <v>32</v>
      </c>
      <c r="KR15" s="34" t="s">
        <v>32</v>
      </c>
      <c r="KS15" s="32" t="s">
        <v>32</v>
      </c>
      <c r="KT15" s="34"/>
      <c r="KU15" s="33">
        <f t="shared" si="22"/>
        <v>0</v>
      </c>
      <c r="KV15" s="24"/>
      <c r="KW15" s="25">
        <v>46094</v>
      </c>
      <c r="KX15" s="28">
        <v>2630</v>
      </c>
      <c r="KY15" s="75">
        <v>4125</v>
      </c>
      <c r="KZ15" s="75">
        <v>8</v>
      </c>
      <c r="LA15" s="26">
        <v>8414</v>
      </c>
      <c r="LB15" s="26">
        <v>350649</v>
      </c>
      <c r="LC15" s="32">
        <f t="shared" si="10"/>
        <v>28368</v>
      </c>
      <c r="LD15" s="34" t="s">
        <v>32</v>
      </c>
      <c r="LE15" s="34"/>
      <c r="LF15" s="26" t="s">
        <v>32</v>
      </c>
      <c r="LG15" s="34" t="s">
        <v>32</v>
      </c>
      <c r="LH15" s="32" t="s">
        <v>32</v>
      </c>
      <c r="LI15" s="32">
        <v>21000</v>
      </c>
      <c r="LJ15" s="34">
        <v>3900</v>
      </c>
      <c r="LK15" s="28"/>
      <c r="LL15" s="28" t="s">
        <v>32</v>
      </c>
      <c r="LM15" s="82">
        <v>1158</v>
      </c>
      <c r="LN15" s="34">
        <v>860</v>
      </c>
      <c r="LO15" s="32">
        <v>100</v>
      </c>
      <c r="LP15" s="32" t="s">
        <v>32</v>
      </c>
      <c r="LQ15" s="29" t="s">
        <v>32</v>
      </c>
      <c r="LR15" s="28">
        <v>1350</v>
      </c>
      <c r="LS15" s="26" t="s">
        <v>32</v>
      </c>
      <c r="LT15" s="34" t="s">
        <v>32</v>
      </c>
      <c r="LU15" s="32" t="s">
        <v>32</v>
      </c>
      <c r="LV15" s="34"/>
      <c r="LW15" s="33">
        <f t="shared" si="23"/>
        <v>28368</v>
      </c>
      <c r="LX15" s="24"/>
    </row>
    <row r="16" spans="1:336" x14ac:dyDescent="0.3">
      <c r="A16" s="25">
        <v>45761</v>
      </c>
      <c r="B16" s="26">
        <v>0</v>
      </c>
      <c r="C16" s="26">
        <v>0</v>
      </c>
      <c r="D16" s="27">
        <f t="shared" si="0"/>
        <v>0</v>
      </c>
      <c r="E16" s="28">
        <v>1034</v>
      </c>
      <c r="F16" s="29">
        <v>962</v>
      </c>
      <c r="G16" s="29">
        <v>5</v>
      </c>
      <c r="H16" s="34" t="s">
        <v>32</v>
      </c>
      <c r="I16" s="34"/>
      <c r="J16" s="31" t="s">
        <v>32</v>
      </c>
      <c r="K16" s="34" t="s">
        <v>32</v>
      </c>
      <c r="L16" s="32" t="s">
        <v>32</v>
      </c>
      <c r="M16" s="32"/>
      <c r="N16" s="34"/>
      <c r="O16" s="28"/>
      <c r="P16" s="28" t="s">
        <v>32</v>
      </c>
      <c r="Q16" s="34" t="s">
        <v>32</v>
      </c>
      <c r="R16" s="34" t="s">
        <v>32</v>
      </c>
      <c r="S16" s="32" t="s">
        <v>32</v>
      </c>
      <c r="T16" s="32" t="s">
        <v>32</v>
      </c>
      <c r="U16" s="29" t="s">
        <v>32</v>
      </c>
      <c r="V16" s="28" t="s">
        <v>32</v>
      </c>
      <c r="W16" s="26" t="s">
        <v>32</v>
      </c>
      <c r="X16" s="34" t="s">
        <v>32</v>
      </c>
      <c r="Y16" s="34" t="s">
        <v>32</v>
      </c>
      <c r="Z16" s="34" t="s">
        <v>32</v>
      </c>
      <c r="AA16" s="33">
        <f>SUM(H16:Z16)</f>
        <v>0</v>
      </c>
      <c r="AB16" s="24"/>
      <c r="AC16" s="25">
        <v>45791</v>
      </c>
      <c r="AD16" s="26">
        <v>0</v>
      </c>
      <c r="AE16" s="26">
        <v>0</v>
      </c>
      <c r="AF16" s="27">
        <f t="shared" si="1"/>
        <v>0</v>
      </c>
      <c r="AG16" s="28">
        <v>426</v>
      </c>
      <c r="AH16" s="29">
        <v>6470</v>
      </c>
      <c r="AI16" s="29">
        <v>17.25</v>
      </c>
      <c r="AJ16" s="34" t="s">
        <v>32</v>
      </c>
      <c r="AK16" s="34"/>
      <c r="AL16" s="31" t="s">
        <v>32</v>
      </c>
      <c r="AM16" s="34" t="s">
        <v>32</v>
      </c>
      <c r="AN16" s="32" t="s">
        <v>32</v>
      </c>
      <c r="AO16" s="32"/>
      <c r="AP16" s="34"/>
      <c r="AQ16" s="28"/>
      <c r="AR16" s="28" t="s">
        <v>32</v>
      </c>
      <c r="AS16" s="34" t="s">
        <v>32</v>
      </c>
      <c r="AT16" s="34" t="s">
        <v>32</v>
      </c>
      <c r="AU16" s="32" t="s">
        <v>32</v>
      </c>
      <c r="AV16" s="32" t="s">
        <v>32</v>
      </c>
      <c r="AW16" s="29" t="s">
        <v>32</v>
      </c>
      <c r="AX16" s="28" t="s">
        <v>32</v>
      </c>
      <c r="AY16" s="26" t="s">
        <v>32</v>
      </c>
      <c r="AZ16" s="34" t="s">
        <v>32</v>
      </c>
      <c r="BA16" s="34" t="s">
        <v>32</v>
      </c>
      <c r="BB16" s="34" t="s">
        <v>32</v>
      </c>
      <c r="BC16" s="33">
        <f>SUM(AJ16:BB16)</f>
        <v>0</v>
      </c>
      <c r="BD16" s="24"/>
      <c r="BE16" s="25">
        <v>45822</v>
      </c>
      <c r="BF16" s="26">
        <v>12070</v>
      </c>
      <c r="BG16" s="26">
        <v>708176</v>
      </c>
      <c r="BH16" s="27">
        <f t="shared" si="2"/>
        <v>126198</v>
      </c>
      <c r="BI16" s="28">
        <v>2068</v>
      </c>
      <c r="BJ16" s="29">
        <v>2668</v>
      </c>
      <c r="BK16" s="29">
        <v>5</v>
      </c>
      <c r="BL16" s="34">
        <v>52725</v>
      </c>
      <c r="BM16" s="34">
        <v>18037</v>
      </c>
      <c r="BN16" s="31">
        <v>15450</v>
      </c>
      <c r="BO16" s="34" t="s">
        <v>32</v>
      </c>
      <c r="BP16" s="32" t="s">
        <v>32</v>
      </c>
      <c r="BQ16" s="32">
        <v>3000</v>
      </c>
      <c r="BR16" s="34">
        <v>35000</v>
      </c>
      <c r="BS16" s="28"/>
      <c r="BT16" s="28" t="s">
        <v>32</v>
      </c>
      <c r="BU16" s="34">
        <v>1986</v>
      </c>
      <c r="BV16" s="34" t="s">
        <v>32</v>
      </c>
      <c r="BW16" s="32" t="s">
        <v>32</v>
      </c>
      <c r="BX16" s="32" t="s">
        <v>32</v>
      </c>
      <c r="BY16" s="29" t="s">
        <v>32</v>
      </c>
      <c r="BZ16" s="28" t="s">
        <v>32</v>
      </c>
      <c r="CA16" s="26" t="s">
        <v>32</v>
      </c>
      <c r="CB16" s="34" t="s">
        <v>32</v>
      </c>
      <c r="CC16" s="34" t="s">
        <v>32</v>
      </c>
      <c r="CD16" s="34" t="s">
        <v>32</v>
      </c>
      <c r="CE16" s="33">
        <f>SUM(BL16:CD16)</f>
        <v>126198</v>
      </c>
      <c r="CF16" s="24"/>
      <c r="CG16" s="25">
        <v>45852</v>
      </c>
      <c r="CH16" s="26">
        <v>0</v>
      </c>
      <c r="CI16" s="26">
        <v>0</v>
      </c>
      <c r="CJ16" s="27">
        <f t="shared" si="3"/>
        <v>0</v>
      </c>
      <c r="CK16" s="28">
        <v>1949</v>
      </c>
      <c r="CL16" s="29">
        <v>1005</v>
      </c>
      <c r="CM16" s="29">
        <v>6.5</v>
      </c>
      <c r="CN16" s="34" t="s">
        <v>32</v>
      </c>
      <c r="CO16" s="34"/>
      <c r="CP16" s="31" t="s">
        <v>32</v>
      </c>
      <c r="CQ16" s="34" t="s">
        <v>32</v>
      </c>
      <c r="CR16" s="32" t="s">
        <v>32</v>
      </c>
      <c r="CS16" s="32"/>
      <c r="CT16" s="34"/>
      <c r="CU16" s="28"/>
      <c r="CV16" s="28" t="s">
        <v>32</v>
      </c>
      <c r="CW16" s="34" t="s">
        <v>32</v>
      </c>
      <c r="CX16" s="34" t="s">
        <v>32</v>
      </c>
      <c r="CY16" s="32" t="s">
        <v>32</v>
      </c>
      <c r="CZ16" s="32" t="s">
        <v>32</v>
      </c>
      <c r="DA16" s="29" t="s">
        <v>32</v>
      </c>
      <c r="DB16" s="28" t="s">
        <v>32</v>
      </c>
      <c r="DC16" s="26" t="s">
        <v>32</v>
      </c>
      <c r="DD16" s="34" t="s">
        <v>32</v>
      </c>
      <c r="DE16" s="34" t="s">
        <v>32</v>
      </c>
      <c r="DF16" s="34" t="s">
        <v>32</v>
      </c>
      <c r="DG16" s="33">
        <f>SUM(CN16:DF16)</f>
        <v>0</v>
      </c>
      <c r="DH16" s="24"/>
      <c r="DI16" s="25">
        <v>45883</v>
      </c>
      <c r="DJ16" s="26">
        <v>0</v>
      </c>
      <c r="DK16" s="26">
        <v>0</v>
      </c>
      <c r="DL16" s="28">
        <v>3689</v>
      </c>
      <c r="DM16" s="29">
        <v>0</v>
      </c>
      <c r="DN16" s="29">
        <v>7</v>
      </c>
      <c r="DO16" s="27">
        <f t="shared" si="4"/>
        <v>0</v>
      </c>
      <c r="DP16" s="34" t="s">
        <v>32</v>
      </c>
      <c r="DQ16" s="34"/>
      <c r="DR16" s="31" t="s">
        <v>32</v>
      </c>
      <c r="DS16" s="34" t="s">
        <v>32</v>
      </c>
      <c r="DT16" s="32" t="s">
        <v>32</v>
      </c>
      <c r="DU16" s="32"/>
      <c r="DV16" s="34"/>
      <c r="DW16" s="28"/>
      <c r="DX16" s="28" t="s">
        <v>32</v>
      </c>
      <c r="DY16" s="34" t="s">
        <v>32</v>
      </c>
      <c r="DZ16" s="34" t="s">
        <v>32</v>
      </c>
      <c r="EA16" s="32" t="s">
        <v>32</v>
      </c>
      <c r="EB16" s="32" t="s">
        <v>32</v>
      </c>
      <c r="EC16" s="29" t="s">
        <v>32</v>
      </c>
      <c r="ED16" s="28" t="s">
        <v>32</v>
      </c>
      <c r="EE16" s="26" t="s">
        <v>32</v>
      </c>
      <c r="EF16" s="34" t="s">
        <v>32</v>
      </c>
      <c r="EG16" s="34" t="s">
        <v>32</v>
      </c>
      <c r="EH16" s="34" t="s">
        <v>32</v>
      </c>
      <c r="EI16" s="33">
        <f>SUM(DP16:EH16)</f>
        <v>0</v>
      </c>
      <c r="EJ16" s="24"/>
      <c r="EK16" s="25">
        <v>45914</v>
      </c>
      <c r="EL16" s="28">
        <v>3487</v>
      </c>
      <c r="EM16" s="28">
        <v>3556</v>
      </c>
      <c r="EN16" s="28">
        <v>5.5</v>
      </c>
      <c r="EO16" s="26">
        <v>0</v>
      </c>
      <c r="EP16" s="26">
        <v>0</v>
      </c>
      <c r="EQ16" s="27">
        <f t="shared" si="5"/>
        <v>0</v>
      </c>
      <c r="ER16" s="34" t="s">
        <v>32</v>
      </c>
      <c r="ES16" s="34"/>
      <c r="ET16" s="31" t="s">
        <v>32</v>
      </c>
      <c r="EU16" s="34" t="s">
        <v>32</v>
      </c>
      <c r="EV16" s="30" t="s">
        <v>32</v>
      </c>
      <c r="EW16" s="30"/>
      <c r="EX16" s="34"/>
      <c r="EY16" s="28"/>
      <c r="EZ16" s="28" t="s">
        <v>32</v>
      </c>
      <c r="FA16" s="34" t="s">
        <v>32</v>
      </c>
      <c r="FB16" s="34" t="s">
        <v>32</v>
      </c>
      <c r="FC16" s="32" t="s">
        <v>32</v>
      </c>
      <c r="FD16" s="32" t="s">
        <v>32</v>
      </c>
      <c r="FE16" s="75" t="s">
        <v>32</v>
      </c>
      <c r="FF16" s="32" t="s">
        <v>32</v>
      </c>
      <c r="FG16" s="26" t="s">
        <v>32</v>
      </c>
      <c r="FH16" s="34" t="s">
        <v>32</v>
      </c>
      <c r="FI16" s="34" t="s">
        <v>32</v>
      </c>
      <c r="FJ16" s="34" t="s">
        <v>32</v>
      </c>
      <c r="FK16" s="33">
        <f>SUM(ER16:FJ16)</f>
        <v>0</v>
      </c>
      <c r="FL16" s="24"/>
      <c r="FM16" s="25">
        <v>45944</v>
      </c>
      <c r="FN16" s="28">
        <v>3267</v>
      </c>
      <c r="FO16" s="75">
        <v>2073</v>
      </c>
      <c r="FP16" s="75">
        <v>7.75</v>
      </c>
      <c r="FQ16" s="26">
        <v>0</v>
      </c>
      <c r="FR16" s="26">
        <v>0</v>
      </c>
      <c r="FS16" s="32">
        <f t="shared" si="11"/>
        <v>0</v>
      </c>
      <c r="FT16" s="34" t="s">
        <v>32</v>
      </c>
      <c r="FU16" s="34"/>
      <c r="FV16" s="26" t="s">
        <v>32</v>
      </c>
      <c r="FW16" s="34" t="s">
        <v>32</v>
      </c>
      <c r="FX16" s="32" t="s">
        <v>32</v>
      </c>
      <c r="FY16" s="32"/>
      <c r="FZ16" s="34"/>
      <c r="GA16" s="28"/>
      <c r="GB16" s="28" t="s">
        <v>32</v>
      </c>
      <c r="GC16" s="82" t="s">
        <v>32</v>
      </c>
      <c r="GD16" s="34" t="s">
        <v>32</v>
      </c>
      <c r="GE16" s="32" t="s">
        <v>32</v>
      </c>
      <c r="GF16" s="32" t="s">
        <v>32</v>
      </c>
      <c r="GG16" s="29" t="s">
        <v>32</v>
      </c>
      <c r="GH16" s="28" t="s">
        <v>32</v>
      </c>
      <c r="GI16" s="26" t="s">
        <v>32</v>
      </c>
      <c r="GJ16" s="34" t="s">
        <v>32</v>
      </c>
      <c r="GK16" s="32" t="s">
        <v>32</v>
      </c>
      <c r="GL16" s="34" t="s">
        <v>32</v>
      </c>
      <c r="GM16" s="33">
        <f>SUM(FT16:GL16)</f>
        <v>0</v>
      </c>
      <c r="GN16" s="24"/>
      <c r="GO16" s="25">
        <v>45975</v>
      </c>
      <c r="GP16" s="28">
        <v>2918</v>
      </c>
      <c r="GQ16" s="75">
        <v>2308</v>
      </c>
      <c r="GR16" s="75">
        <v>7.5</v>
      </c>
      <c r="GS16" s="26">
        <v>24</v>
      </c>
      <c r="GT16" s="26">
        <v>900</v>
      </c>
      <c r="GU16" s="32">
        <f t="shared" si="6"/>
        <v>162283</v>
      </c>
      <c r="GV16" s="34">
        <v>52500</v>
      </c>
      <c r="GW16" s="28">
        <v>18500</v>
      </c>
      <c r="GX16" s="26" t="s">
        <v>32</v>
      </c>
      <c r="GY16" s="34" t="s">
        <v>32</v>
      </c>
      <c r="GZ16" s="32">
        <v>14678</v>
      </c>
      <c r="HA16" s="32"/>
      <c r="HB16" s="34">
        <v>72000</v>
      </c>
      <c r="HC16" s="28"/>
      <c r="HD16" s="28" t="s">
        <v>32</v>
      </c>
      <c r="HE16" s="26">
        <v>4085</v>
      </c>
      <c r="HF16" s="34" t="s">
        <v>32</v>
      </c>
      <c r="HG16" s="32">
        <v>520</v>
      </c>
      <c r="HH16" s="32" t="s">
        <v>51</v>
      </c>
      <c r="HI16" s="29" t="s">
        <v>32</v>
      </c>
      <c r="HJ16" s="32" t="s">
        <v>32</v>
      </c>
      <c r="HK16" s="26" t="s">
        <v>32</v>
      </c>
      <c r="HL16" s="26" t="s">
        <v>32</v>
      </c>
      <c r="HM16" s="82" t="s">
        <v>32</v>
      </c>
      <c r="HN16" s="82" t="s">
        <v>32</v>
      </c>
      <c r="HO16" s="33">
        <f>SUM(GV16:HN16)</f>
        <v>162283</v>
      </c>
      <c r="HP16" s="24"/>
      <c r="HQ16" s="25">
        <v>46005</v>
      </c>
      <c r="HR16" s="28">
        <v>3702</v>
      </c>
      <c r="HS16" s="75">
        <v>0</v>
      </c>
      <c r="HT16" s="75">
        <v>6</v>
      </c>
      <c r="HU16" s="26">
        <v>0</v>
      </c>
      <c r="HV16" s="26">
        <v>0</v>
      </c>
      <c r="HW16" s="32">
        <f t="shared" si="7"/>
        <v>0</v>
      </c>
      <c r="HX16" s="30" t="s">
        <v>32</v>
      </c>
      <c r="HY16" s="28"/>
      <c r="HZ16" s="26" t="s">
        <v>32</v>
      </c>
      <c r="IA16" s="30" t="s">
        <v>32</v>
      </c>
      <c r="IB16" s="32" t="s">
        <v>32</v>
      </c>
      <c r="IC16" s="75"/>
      <c r="ID16" s="30"/>
      <c r="IE16" s="28"/>
      <c r="IF16" s="28" t="s">
        <v>32</v>
      </c>
      <c r="IG16" s="26" t="s">
        <v>32</v>
      </c>
      <c r="IH16" s="30" t="s">
        <v>32</v>
      </c>
      <c r="II16" s="28" t="s">
        <v>32</v>
      </c>
      <c r="IJ16" s="28" t="s">
        <v>32</v>
      </c>
      <c r="IK16" s="75" t="s">
        <v>32</v>
      </c>
      <c r="IL16" s="32" t="s">
        <v>32</v>
      </c>
      <c r="IM16" s="26" t="s">
        <v>32</v>
      </c>
      <c r="IN16" s="26" t="s">
        <v>32</v>
      </c>
      <c r="IO16" s="82" t="s">
        <v>32</v>
      </c>
      <c r="IP16" s="82" t="s">
        <v>32</v>
      </c>
      <c r="IQ16" s="33">
        <f>SUM(HX16:IP16)</f>
        <v>0</v>
      </c>
      <c r="IR16" s="24"/>
      <c r="IS16" s="25">
        <v>46036</v>
      </c>
      <c r="IT16" s="28">
        <v>2967</v>
      </c>
      <c r="IU16" s="75">
        <v>4354</v>
      </c>
      <c r="IV16" s="75">
        <v>8.5</v>
      </c>
      <c r="IW16" s="26">
        <v>0</v>
      </c>
      <c r="IX16" s="26">
        <v>0</v>
      </c>
      <c r="IY16" s="32">
        <f t="shared" si="8"/>
        <v>0</v>
      </c>
      <c r="IZ16" s="34" t="s">
        <v>32</v>
      </c>
      <c r="JA16" s="34"/>
      <c r="JB16" s="26" t="s">
        <v>32</v>
      </c>
      <c r="JC16" s="34" t="s">
        <v>32</v>
      </c>
      <c r="JD16" s="32" t="s">
        <v>32</v>
      </c>
      <c r="JE16" s="32"/>
      <c r="JF16" s="34"/>
      <c r="JG16" s="28"/>
      <c r="JH16" s="28" t="s">
        <v>32</v>
      </c>
      <c r="JI16" s="82" t="s">
        <v>32</v>
      </c>
      <c r="JJ16" s="34" t="s">
        <v>32</v>
      </c>
      <c r="JK16" s="32" t="s">
        <v>32</v>
      </c>
      <c r="JL16" s="32" t="s">
        <v>32</v>
      </c>
      <c r="JM16" s="29" t="s">
        <v>32</v>
      </c>
      <c r="JN16" s="28" t="s">
        <v>32</v>
      </c>
      <c r="JO16" s="26" t="s">
        <v>32</v>
      </c>
      <c r="JP16" s="34" t="s">
        <v>32</v>
      </c>
      <c r="JQ16" s="32" t="s">
        <v>32</v>
      </c>
      <c r="JR16" s="34" t="s">
        <v>32</v>
      </c>
      <c r="JS16" s="33">
        <f>SUM(IZ16:JR16)</f>
        <v>0</v>
      </c>
      <c r="JT16" s="24"/>
      <c r="JU16" s="25">
        <v>46067</v>
      </c>
      <c r="JV16" s="28">
        <v>3360</v>
      </c>
      <c r="JW16" s="75">
        <v>0</v>
      </c>
      <c r="JX16" s="75">
        <v>8</v>
      </c>
      <c r="JY16" s="26">
        <v>8126</v>
      </c>
      <c r="JZ16" s="26">
        <v>274961</v>
      </c>
      <c r="KA16" s="32">
        <f t="shared" si="9"/>
        <v>157005</v>
      </c>
      <c r="KB16" s="34">
        <v>20840</v>
      </c>
      <c r="KC16" s="34">
        <v>15560</v>
      </c>
      <c r="KD16" s="26">
        <v>102100</v>
      </c>
      <c r="KE16" s="34">
        <v>2500</v>
      </c>
      <c r="KF16" s="32">
        <v>13525</v>
      </c>
      <c r="KG16" s="32"/>
      <c r="KH16" s="34"/>
      <c r="KI16" s="28"/>
      <c r="KJ16" s="28" t="s">
        <v>32</v>
      </c>
      <c r="KK16" s="82">
        <v>2480</v>
      </c>
      <c r="KL16" s="34" t="s">
        <v>32</v>
      </c>
      <c r="KM16" s="32" t="s">
        <v>32</v>
      </c>
      <c r="KN16" s="32" t="s">
        <v>32</v>
      </c>
      <c r="KO16" s="29" t="s">
        <v>32</v>
      </c>
      <c r="KP16" s="28" t="s">
        <v>32</v>
      </c>
      <c r="KQ16" s="26" t="s">
        <v>32</v>
      </c>
      <c r="KR16" s="34" t="s">
        <v>32</v>
      </c>
      <c r="KS16" s="32" t="s">
        <v>32</v>
      </c>
      <c r="KT16" s="34" t="s">
        <v>32</v>
      </c>
      <c r="KU16" s="33">
        <f>SUM(KB16:KT16)</f>
        <v>157005</v>
      </c>
      <c r="KV16" s="24"/>
      <c r="KW16" s="25">
        <v>46095</v>
      </c>
      <c r="KX16" s="28">
        <v>2752</v>
      </c>
      <c r="KY16" s="75">
        <v>1128</v>
      </c>
      <c r="KZ16" s="75">
        <v>3.5</v>
      </c>
      <c r="LA16" s="26">
        <v>0</v>
      </c>
      <c r="LB16" s="26">
        <v>0</v>
      </c>
      <c r="LC16" s="32">
        <f t="shared" si="10"/>
        <v>0</v>
      </c>
      <c r="LD16" s="34" t="s">
        <v>32</v>
      </c>
      <c r="LE16" s="34"/>
      <c r="LF16" s="26" t="s">
        <v>32</v>
      </c>
      <c r="LG16" s="34" t="s">
        <v>32</v>
      </c>
      <c r="LH16" s="32" t="s">
        <v>32</v>
      </c>
      <c r="LI16" s="32"/>
      <c r="LJ16" s="34"/>
      <c r="LK16" s="28"/>
      <c r="LL16" s="28" t="s">
        <v>32</v>
      </c>
      <c r="LM16" s="82" t="s">
        <v>32</v>
      </c>
      <c r="LN16" s="34" t="s">
        <v>32</v>
      </c>
      <c r="LO16" s="32" t="s">
        <v>32</v>
      </c>
      <c r="LP16" s="32" t="s">
        <v>32</v>
      </c>
      <c r="LQ16" s="29" t="s">
        <v>32</v>
      </c>
      <c r="LR16" s="28" t="s">
        <v>32</v>
      </c>
      <c r="LS16" s="26" t="s">
        <v>32</v>
      </c>
      <c r="LT16" s="34" t="s">
        <v>32</v>
      </c>
      <c r="LU16" s="32" t="s">
        <v>32</v>
      </c>
      <c r="LV16" s="34" t="s">
        <v>32</v>
      </c>
      <c r="LW16" s="33">
        <f>SUM(LD16:LV16)</f>
        <v>0</v>
      </c>
      <c r="LX16" s="24"/>
    </row>
    <row r="17" spans="1:336" x14ac:dyDescent="0.3">
      <c r="A17" s="25">
        <v>45762</v>
      </c>
      <c r="B17" s="26">
        <v>0</v>
      </c>
      <c r="C17" s="26">
        <v>0</v>
      </c>
      <c r="D17" s="27">
        <f t="shared" si="0"/>
        <v>571383</v>
      </c>
      <c r="E17" s="28">
        <v>2946</v>
      </c>
      <c r="F17" s="29">
        <v>0</v>
      </c>
      <c r="G17" s="29">
        <v>7.25</v>
      </c>
      <c r="H17" s="34" t="s">
        <v>32</v>
      </c>
      <c r="I17" s="34"/>
      <c r="J17" s="31" t="s">
        <v>32</v>
      </c>
      <c r="K17" s="34">
        <v>304801</v>
      </c>
      <c r="L17" s="32">
        <v>5750</v>
      </c>
      <c r="M17" s="32">
        <v>251650</v>
      </c>
      <c r="N17" s="34" t="s">
        <v>32</v>
      </c>
      <c r="O17" s="28" t="s">
        <v>32</v>
      </c>
      <c r="P17" s="28" t="s">
        <v>32</v>
      </c>
      <c r="Q17" s="34">
        <v>1885</v>
      </c>
      <c r="R17" s="34" t="s">
        <v>32</v>
      </c>
      <c r="S17" s="32" t="s">
        <v>32</v>
      </c>
      <c r="T17" s="32" t="s">
        <v>32</v>
      </c>
      <c r="U17" s="29">
        <v>7017</v>
      </c>
      <c r="V17" s="28">
        <v>280</v>
      </c>
      <c r="W17" s="26" t="s">
        <v>32</v>
      </c>
      <c r="X17" s="34" t="s">
        <v>32</v>
      </c>
      <c r="Y17" s="34" t="s">
        <v>32</v>
      </c>
      <c r="Z17" s="34"/>
      <c r="AA17" s="33">
        <f>SUM(H17:Y17)</f>
        <v>571383</v>
      </c>
      <c r="AB17" s="24"/>
      <c r="AC17" s="25">
        <v>45792</v>
      </c>
      <c r="AD17" s="26">
        <v>0</v>
      </c>
      <c r="AE17" s="26">
        <v>0</v>
      </c>
      <c r="AF17" s="27">
        <f t="shared" si="1"/>
        <v>56760</v>
      </c>
      <c r="AG17" s="28">
        <v>2740</v>
      </c>
      <c r="AH17" s="29">
        <v>4645</v>
      </c>
      <c r="AI17" s="29">
        <v>15.25</v>
      </c>
      <c r="AJ17" s="34" t="s">
        <v>32</v>
      </c>
      <c r="AK17" s="34"/>
      <c r="AL17" s="31" t="s">
        <v>32</v>
      </c>
      <c r="AM17" s="34" t="s">
        <v>32</v>
      </c>
      <c r="AN17" s="32">
        <v>5080</v>
      </c>
      <c r="AO17" s="32"/>
      <c r="AP17" s="34">
        <v>50000</v>
      </c>
      <c r="AQ17" s="28" t="s">
        <v>32</v>
      </c>
      <c r="AR17" s="28" t="s">
        <v>32</v>
      </c>
      <c r="AS17" s="34">
        <v>1480</v>
      </c>
      <c r="AT17" s="34" t="s">
        <v>32</v>
      </c>
      <c r="AU17" s="32" t="s">
        <v>32</v>
      </c>
      <c r="AV17" s="32" t="s">
        <v>32</v>
      </c>
      <c r="AW17" s="29" t="s">
        <v>32</v>
      </c>
      <c r="AX17" s="28" t="s">
        <v>32</v>
      </c>
      <c r="AY17" s="26">
        <v>200</v>
      </c>
      <c r="AZ17" s="34" t="s">
        <v>32</v>
      </c>
      <c r="BA17" s="34" t="s">
        <v>32</v>
      </c>
      <c r="BB17" s="34"/>
      <c r="BC17" s="33">
        <f>SUM(AJ17:BA17)</f>
        <v>56760</v>
      </c>
      <c r="BD17" s="24"/>
      <c r="BE17" s="25">
        <v>45823</v>
      </c>
      <c r="BF17" s="26">
        <v>0</v>
      </c>
      <c r="BG17" s="26">
        <v>0</v>
      </c>
      <c r="BH17" s="27">
        <f t="shared" si="2"/>
        <v>0</v>
      </c>
      <c r="BI17" s="28">
        <v>528</v>
      </c>
      <c r="BJ17" s="29">
        <v>637</v>
      </c>
      <c r="BK17" s="29">
        <v>1.5</v>
      </c>
      <c r="BL17" s="34" t="s">
        <v>32</v>
      </c>
      <c r="BM17" s="34"/>
      <c r="BN17" s="31" t="s">
        <v>32</v>
      </c>
      <c r="BO17" s="34" t="s">
        <v>32</v>
      </c>
      <c r="BP17" s="32" t="s">
        <v>32</v>
      </c>
      <c r="BQ17" s="32"/>
      <c r="BR17" s="34" t="s">
        <v>32</v>
      </c>
      <c r="BS17" s="28" t="s">
        <v>32</v>
      </c>
      <c r="BT17" s="28" t="s">
        <v>32</v>
      </c>
      <c r="BU17" s="34" t="s">
        <v>32</v>
      </c>
      <c r="BV17" s="34" t="s">
        <v>32</v>
      </c>
      <c r="BW17" s="32" t="s">
        <v>32</v>
      </c>
      <c r="BX17" s="32" t="s">
        <v>32</v>
      </c>
      <c r="BY17" s="29" t="s">
        <v>32</v>
      </c>
      <c r="BZ17" s="28" t="s">
        <v>32</v>
      </c>
      <c r="CA17" s="26" t="s">
        <v>32</v>
      </c>
      <c r="CB17" s="34" t="s">
        <v>32</v>
      </c>
      <c r="CC17" s="34" t="s">
        <v>32</v>
      </c>
      <c r="CD17" s="34"/>
      <c r="CE17" s="33">
        <f>SUM(BL17:CC17)</f>
        <v>0</v>
      </c>
      <c r="CF17" s="24"/>
      <c r="CG17" s="25">
        <v>45853</v>
      </c>
      <c r="CH17" s="26">
        <v>5853</v>
      </c>
      <c r="CI17" s="26">
        <v>99523</v>
      </c>
      <c r="CJ17" s="27">
        <f t="shared" si="3"/>
        <v>93685</v>
      </c>
      <c r="CK17" s="28">
        <v>3086</v>
      </c>
      <c r="CL17" s="29">
        <v>0</v>
      </c>
      <c r="CM17" s="29">
        <v>5.75</v>
      </c>
      <c r="CN17" s="34" t="s">
        <v>32</v>
      </c>
      <c r="CO17" s="34"/>
      <c r="CP17" s="31">
        <v>50000</v>
      </c>
      <c r="CQ17" s="34" t="s">
        <v>32</v>
      </c>
      <c r="CR17" s="32">
        <v>2050</v>
      </c>
      <c r="CS17" s="32"/>
      <c r="CT17" s="34">
        <v>40000</v>
      </c>
      <c r="CU17" s="28" t="s">
        <v>32</v>
      </c>
      <c r="CV17" s="28" t="s">
        <v>32</v>
      </c>
      <c r="CW17" s="34">
        <v>1635</v>
      </c>
      <c r="CX17" s="34" t="s">
        <v>32</v>
      </c>
      <c r="CY17" s="32" t="s">
        <v>32</v>
      </c>
      <c r="CZ17" s="32" t="s">
        <v>32</v>
      </c>
      <c r="DA17" s="29" t="s">
        <v>32</v>
      </c>
      <c r="DB17" s="28" t="s">
        <v>32</v>
      </c>
      <c r="DC17" s="26" t="s">
        <v>32</v>
      </c>
      <c r="DD17" s="34" t="s">
        <v>32</v>
      </c>
      <c r="DE17" s="34" t="s">
        <v>32</v>
      </c>
      <c r="DF17" s="34"/>
      <c r="DG17" s="33">
        <f>SUM(CN17:DE17)</f>
        <v>93685</v>
      </c>
      <c r="DH17" s="24"/>
      <c r="DI17" s="25">
        <v>45884</v>
      </c>
      <c r="DJ17" s="26">
        <v>2972</v>
      </c>
      <c r="DK17" s="26">
        <v>136989</v>
      </c>
      <c r="DL17" s="28">
        <v>1890</v>
      </c>
      <c r="DM17" s="29">
        <v>2087</v>
      </c>
      <c r="DN17" s="29">
        <v>3.75</v>
      </c>
      <c r="DO17" s="27">
        <f t="shared" si="4"/>
        <v>646440</v>
      </c>
      <c r="DP17" s="34" t="s">
        <v>32</v>
      </c>
      <c r="DQ17" s="34"/>
      <c r="DR17" s="31">
        <v>6500</v>
      </c>
      <c r="DS17" s="34">
        <v>70000</v>
      </c>
      <c r="DT17" s="32" t="s">
        <v>32</v>
      </c>
      <c r="DU17" s="32">
        <v>50000</v>
      </c>
      <c r="DV17" s="34">
        <v>15000</v>
      </c>
      <c r="DW17" s="28" t="s">
        <v>32</v>
      </c>
      <c r="DX17" s="28" t="s">
        <v>32</v>
      </c>
      <c r="DY17" s="34">
        <v>3440</v>
      </c>
      <c r="DZ17" s="34" t="s">
        <v>32</v>
      </c>
      <c r="EA17" s="32">
        <v>500000</v>
      </c>
      <c r="EB17" s="32" t="s">
        <v>137</v>
      </c>
      <c r="EC17" s="29">
        <v>1500</v>
      </c>
      <c r="ED17" s="28" t="s">
        <v>32</v>
      </c>
      <c r="EE17" s="26" t="s">
        <v>32</v>
      </c>
      <c r="EF17" s="34" t="s">
        <v>32</v>
      </c>
      <c r="EG17" s="34" t="s">
        <v>32</v>
      </c>
      <c r="EH17" s="34"/>
      <c r="EI17" s="33">
        <f>SUM(DP17:EG17)</f>
        <v>646440</v>
      </c>
      <c r="EJ17" s="24"/>
      <c r="EK17" s="25">
        <v>45915</v>
      </c>
      <c r="EL17" s="28">
        <v>2005</v>
      </c>
      <c r="EM17" s="28">
        <v>8360</v>
      </c>
      <c r="EN17" s="28">
        <v>11.5</v>
      </c>
      <c r="EO17" s="26">
        <v>200</v>
      </c>
      <c r="EP17" s="26">
        <v>12000</v>
      </c>
      <c r="EQ17" s="27">
        <f t="shared" si="5"/>
        <v>134592</v>
      </c>
      <c r="ER17" s="34">
        <v>42750</v>
      </c>
      <c r="ES17" s="34">
        <v>15050</v>
      </c>
      <c r="ET17" s="31">
        <v>23700</v>
      </c>
      <c r="EU17" s="34" t="s">
        <v>32</v>
      </c>
      <c r="EV17" s="30" t="s">
        <v>32</v>
      </c>
      <c r="EW17" s="30"/>
      <c r="EX17" s="34">
        <v>17300</v>
      </c>
      <c r="EY17" s="28" t="s">
        <v>32</v>
      </c>
      <c r="EZ17" s="28" t="s">
        <v>32</v>
      </c>
      <c r="FA17" s="34">
        <v>2800</v>
      </c>
      <c r="FB17" s="34" t="s">
        <v>32</v>
      </c>
      <c r="FC17" s="32" t="s">
        <v>32</v>
      </c>
      <c r="FD17" s="32" t="s">
        <v>32</v>
      </c>
      <c r="FE17" s="75">
        <v>32992</v>
      </c>
      <c r="FF17" s="32" t="s">
        <v>32</v>
      </c>
      <c r="FG17" s="26" t="s">
        <v>32</v>
      </c>
      <c r="FH17" s="34" t="s">
        <v>32</v>
      </c>
      <c r="FI17" s="34" t="s">
        <v>32</v>
      </c>
      <c r="FJ17" s="34"/>
      <c r="FK17" s="33">
        <f>SUM(ER17:FI17)</f>
        <v>134592</v>
      </c>
      <c r="FL17" s="24"/>
      <c r="FM17" s="25">
        <v>45945</v>
      </c>
      <c r="FN17" s="28">
        <v>3054</v>
      </c>
      <c r="FO17" s="75">
        <v>3720</v>
      </c>
      <c r="FP17" s="75">
        <v>9</v>
      </c>
      <c r="FQ17" s="26">
        <v>4493</v>
      </c>
      <c r="FR17" s="26">
        <v>223800</v>
      </c>
      <c r="FS17" s="32">
        <f t="shared" si="11"/>
        <v>724880</v>
      </c>
      <c r="FT17" s="34">
        <v>13320</v>
      </c>
      <c r="FU17" s="34">
        <v>9980</v>
      </c>
      <c r="FV17" s="26">
        <v>560000</v>
      </c>
      <c r="FW17" s="34" t="s">
        <v>32</v>
      </c>
      <c r="FX17" s="32">
        <v>2540</v>
      </c>
      <c r="FY17" s="32" t="s">
        <v>32</v>
      </c>
      <c r="FZ17" s="34">
        <v>135000</v>
      </c>
      <c r="GA17" s="28" t="s">
        <v>32</v>
      </c>
      <c r="GB17" s="28" t="s">
        <v>32</v>
      </c>
      <c r="GC17" s="82">
        <v>3640</v>
      </c>
      <c r="GD17" s="34" t="s">
        <v>32</v>
      </c>
      <c r="GE17" s="32" t="s">
        <v>32</v>
      </c>
      <c r="GF17" s="32" t="s">
        <v>32</v>
      </c>
      <c r="GG17" s="29" t="s">
        <v>32</v>
      </c>
      <c r="GH17" s="28">
        <v>400</v>
      </c>
      <c r="GI17" s="26" t="s">
        <v>32</v>
      </c>
      <c r="GJ17" s="34" t="s">
        <v>32</v>
      </c>
      <c r="GK17" s="32" t="s">
        <v>32</v>
      </c>
      <c r="GL17" s="34"/>
      <c r="GM17" s="33">
        <f>SUM(FT17:GK17)</f>
        <v>724880</v>
      </c>
      <c r="GN17" s="24"/>
      <c r="GO17" s="25">
        <v>45976</v>
      </c>
      <c r="GP17" s="28">
        <v>480</v>
      </c>
      <c r="GQ17" s="75">
        <v>2648</v>
      </c>
      <c r="GR17" s="75">
        <v>8</v>
      </c>
      <c r="GS17" s="26">
        <v>0</v>
      </c>
      <c r="GT17" s="26">
        <v>0</v>
      </c>
      <c r="GU17" s="32">
        <f t="shared" si="6"/>
        <v>0</v>
      </c>
      <c r="GV17" s="34" t="s">
        <v>32</v>
      </c>
      <c r="GW17" s="28"/>
      <c r="GX17" s="26" t="s">
        <v>32</v>
      </c>
      <c r="GY17" s="34" t="s">
        <v>32</v>
      </c>
      <c r="GZ17" s="32" t="s">
        <v>32</v>
      </c>
      <c r="HA17" s="32"/>
      <c r="HB17" s="34" t="s">
        <v>32</v>
      </c>
      <c r="HC17" s="28" t="s">
        <v>32</v>
      </c>
      <c r="HD17" s="28" t="s">
        <v>32</v>
      </c>
      <c r="HE17" s="26" t="s">
        <v>32</v>
      </c>
      <c r="HF17" s="34" t="s">
        <v>32</v>
      </c>
      <c r="HG17" s="32" t="s">
        <v>32</v>
      </c>
      <c r="HH17" s="32" t="s">
        <v>32</v>
      </c>
      <c r="HI17" s="29" t="s">
        <v>32</v>
      </c>
      <c r="HJ17" s="32" t="s">
        <v>32</v>
      </c>
      <c r="HK17" s="26" t="s">
        <v>32</v>
      </c>
      <c r="HL17" s="26" t="s">
        <v>32</v>
      </c>
      <c r="HM17" s="82" t="s">
        <v>32</v>
      </c>
      <c r="HN17" s="82"/>
      <c r="HO17" s="33">
        <f>SUM(GV17:HM17)</f>
        <v>0</v>
      </c>
      <c r="HP17" s="24"/>
      <c r="HQ17" s="25">
        <v>46006</v>
      </c>
      <c r="HR17" s="28">
        <v>1082</v>
      </c>
      <c r="HS17" s="75">
        <v>540</v>
      </c>
      <c r="HT17" s="75">
        <v>7.5</v>
      </c>
      <c r="HU17" s="26">
        <v>70</v>
      </c>
      <c r="HV17" s="26">
        <v>3500</v>
      </c>
      <c r="HW17" s="32">
        <f t="shared" si="7"/>
        <v>157000</v>
      </c>
      <c r="HX17" s="30" t="s">
        <v>32</v>
      </c>
      <c r="HY17" s="28"/>
      <c r="HZ17" s="26">
        <v>139000</v>
      </c>
      <c r="IA17" s="30" t="s">
        <v>32</v>
      </c>
      <c r="IB17" s="32" t="s">
        <v>32</v>
      </c>
      <c r="IC17" s="75"/>
      <c r="ID17" s="30">
        <v>10000</v>
      </c>
      <c r="IE17" s="28" t="s">
        <v>32</v>
      </c>
      <c r="IF17" s="28">
        <v>500</v>
      </c>
      <c r="IG17" s="26">
        <v>2700</v>
      </c>
      <c r="IH17" s="30" t="s">
        <v>32</v>
      </c>
      <c r="II17" s="28" t="s">
        <v>32</v>
      </c>
      <c r="IJ17" s="28" t="s">
        <v>32</v>
      </c>
      <c r="IK17" s="75">
        <v>1000</v>
      </c>
      <c r="IL17" s="32" t="s">
        <v>32</v>
      </c>
      <c r="IM17" s="26">
        <v>3800</v>
      </c>
      <c r="IN17" s="26" t="s">
        <v>68</v>
      </c>
      <c r="IO17" s="82" t="s">
        <v>32</v>
      </c>
      <c r="IP17" s="82"/>
      <c r="IQ17" s="33">
        <f>SUM(HX17:IO17)</f>
        <v>157000</v>
      </c>
      <c r="IR17" s="24"/>
      <c r="IS17" s="25">
        <v>46037</v>
      </c>
      <c r="IT17" s="28">
        <v>3917</v>
      </c>
      <c r="IU17" s="75">
        <v>5995</v>
      </c>
      <c r="IV17" s="75">
        <v>9</v>
      </c>
      <c r="IW17" s="26">
        <v>5410</v>
      </c>
      <c r="IX17" s="26">
        <v>252908</v>
      </c>
      <c r="IY17" s="32">
        <f t="shared" si="8"/>
        <v>176755</v>
      </c>
      <c r="IZ17" s="34">
        <v>17530</v>
      </c>
      <c r="JA17" s="34">
        <v>19670</v>
      </c>
      <c r="JB17" s="26">
        <v>79000</v>
      </c>
      <c r="JC17" s="34">
        <v>200</v>
      </c>
      <c r="JD17" s="32">
        <v>800</v>
      </c>
      <c r="JE17" s="32"/>
      <c r="JF17" s="34">
        <v>50000</v>
      </c>
      <c r="JG17" s="28" t="s">
        <v>32</v>
      </c>
      <c r="JH17" s="28">
        <v>4600</v>
      </c>
      <c r="JI17" s="82">
        <v>4955</v>
      </c>
      <c r="JJ17" s="34" t="s">
        <v>32</v>
      </c>
      <c r="JK17" s="32" t="s">
        <v>32</v>
      </c>
      <c r="JL17" s="32" t="s">
        <v>32</v>
      </c>
      <c r="JM17" s="29" t="s">
        <v>32</v>
      </c>
      <c r="JN17" s="28" t="s">
        <v>32</v>
      </c>
      <c r="JO17" s="26" t="s">
        <v>32</v>
      </c>
      <c r="JP17" s="34" t="s">
        <v>32</v>
      </c>
      <c r="JQ17" s="32" t="s">
        <v>32</v>
      </c>
      <c r="JR17" s="34"/>
      <c r="JS17" s="33">
        <f>SUM(IZ17:JQ17)</f>
        <v>176755</v>
      </c>
      <c r="JT17" s="24"/>
      <c r="JU17" s="25">
        <v>46068</v>
      </c>
      <c r="JV17" s="28">
        <v>3476</v>
      </c>
      <c r="JW17" s="75">
        <v>6317</v>
      </c>
      <c r="JX17" s="75">
        <v>12</v>
      </c>
      <c r="JY17" s="26">
        <v>0</v>
      </c>
      <c r="JZ17" s="26">
        <v>0</v>
      </c>
      <c r="KA17" s="32">
        <f t="shared" si="9"/>
        <v>0</v>
      </c>
      <c r="KB17" s="34" t="s">
        <v>32</v>
      </c>
      <c r="KC17" s="34"/>
      <c r="KD17" s="26" t="s">
        <v>32</v>
      </c>
      <c r="KE17" s="34" t="s">
        <v>32</v>
      </c>
      <c r="KF17" s="32" t="s">
        <v>32</v>
      </c>
      <c r="KG17" s="32"/>
      <c r="KH17" s="34" t="s">
        <v>32</v>
      </c>
      <c r="KI17" s="28" t="s">
        <v>32</v>
      </c>
      <c r="KJ17" s="28" t="s">
        <v>32</v>
      </c>
      <c r="KK17" s="82" t="s">
        <v>32</v>
      </c>
      <c r="KL17" s="34" t="s">
        <v>32</v>
      </c>
      <c r="KM17" s="32" t="s">
        <v>32</v>
      </c>
      <c r="KN17" s="32" t="s">
        <v>32</v>
      </c>
      <c r="KO17" s="29" t="s">
        <v>32</v>
      </c>
      <c r="KP17" s="28" t="s">
        <v>32</v>
      </c>
      <c r="KQ17" s="26" t="s">
        <v>32</v>
      </c>
      <c r="KR17" s="34" t="s">
        <v>32</v>
      </c>
      <c r="KS17" s="32" t="s">
        <v>32</v>
      </c>
      <c r="KT17" s="34"/>
      <c r="KU17" s="33">
        <f>SUM(KB17:KS17)</f>
        <v>0</v>
      </c>
      <c r="KV17" s="24"/>
      <c r="KW17" s="25">
        <v>46096</v>
      </c>
      <c r="KX17" s="28">
        <v>2312</v>
      </c>
      <c r="KY17" s="75">
        <v>3372</v>
      </c>
      <c r="KZ17" s="75">
        <v>9</v>
      </c>
      <c r="LA17" s="26">
        <v>2833</v>
      </c>
      <c r="LB17" s="26">
        <v>145371</v>
      </c>
      <c r="LC17" s="32">
        <f t="shared" si="10"/>
        <v>6826</v>
      </c>
      <c r="LD17" s="34" t="s">
        <v>32</v>
      </c>
      <c r="LE17" s="34"/>
      <c r="LF17" s="26" t="s">
        <v>32</v>
      </c>
      <c r="LG17" s="34" t="s">
        <v>32</v>
      </c>
      <c r="LH17" s="32" t="s">
        <v>32</v>
      </c>
      <c r="LI17" s="32">
        <v>5441</v>
      </c>
      <c r="LJ17" s="34" t="s">
        <v>32</v>
      </c>
      <c r="LK17" s="28" t="s">
        <v>32</v>
      </c>
      <c r="LL17" s="28" t="s">
        <v>32</v>
      </c>
      <c r="LM17" s="82">
        <v>1385</v>
      </c>
      <c r="LN17" s="34" t="s">
        <v>32</v>
      </c>
      <c r="LO17" s="32" t="s">
        <v>32</v>
      </c>
      <c r="LP17" s="32" t="s">
        <v>32</v>
      </c>
      <c r="LQ17" s="29" t="s">
        <v>32</v>
      </c>
      <c r="LR17" s="28" t="s">
        <v>32</v>
      </c>
      <c r="LS17" s="26" t="s">
        <v>32</v>
      </c>
      <c r="LT17" s="34" t="s">
        <v>32</v>
      </c>
      <c r="LU17" s="32" t="s">
        <v>32</v>
      </c>
      <c r="LV17" s="34"/>
      <c r="LW17" s="33">
        <f>SUM(LD17:LU17)</f>
        <v>6826</v>
      </c>
      <c r="LX17" s="24"/>
    </row>
    <row r="18" spans="1:336" x14ac:dyDescent="0.3">
      <c r="A18" s="25">
        <v>45763</v>
      </c>
      <c r="B18" s="26">
        <v>170</v>
      </c>
      <c r="C18" s="26">
        <v>12550</v>
      </c>
      <c r="D18" s="27">
        <f t="shared" si="0"/>
        <v>15050</v>
      </c>
      <c r="E18" s="28">
        <v>1361</v>
      </c>
      <c r="F18" s="29">
        <v>3966</v>
      </c>
      <c r="G18" s="29">
        <v>10</v>
      </c>
      <c r="H18" s="34" t="s">
        <v>32</v>
      </c>
      <c r="I18" s="34"/>
      <c r="J18" s="31" t="s">
        <v>32</v>
      </c>
      <c r="K18" s="34" t="s">
        <v>32</v>
      </c>
      <c r="L18" s="32" t="s">
        <v>32</v>
      </c>
      <c r="M18" s="32">
        <v>11900</v>
      </c>
      <c r="N18" s="34" t="s">
        <v>32</v>
      </c>
      <c r="O18" s="28">
        <v>1000</v>
      </c>
      <c r="P18" s="28">
        <v>500</v>
      </c>
      <c r="Q18" s="34">
        <v>1650</v>
      </c>
      <c r="R18" s="34" t="s">
        <v>32</v>
      </c>
      <c r="S18" s="32" t="s">
        <v>32</v>
      </c>
      <c r="T18" s="32" t="s">
        <v>32</v>
      </c>
      <c r="U18" s="29"/>
      <c r="V18" s="28" t="s">
        <v>32</v>
      </c>
      <c r="W18" s="26" t="s">
        <v>32</v>
      </c>
      <c r="X18" s="34" t="s">
        <v>32</v>
      </c>
      <c r="Y18" s="34" t="s">
        <v>32</v>
      </c>
      <c r="Z18" s="34" t="s">
        <v>32</v>
      </c>
      <c r="AA18" s="33">
        <f>SUM(H18:Z18)</f>
        <v>15050</v>
      </c>
      <c r="AB18" s="24"/>
      <c r="AC18" s="25">
        <v>45793</v>
      </c>
      <c r="AD18" s="26">
        <v>0</v>
      </c>
      <c r="AE18" s="26">
        <v>0</v>
      </c>
      <c r="AF18" s="27">
        <f t="shared" si="1"/>
        <v>132952</v>
      </c>
      <c r="AG18" s="28">
        <v>3377</v>
      </c>
      <c r="AH18" s="29">
        <v>2395</v>
      </c>
      <c r="AI18" s="29">
        <v>7.5</v>
      </c>
      <c r="AJ18" s="34">
        <v>15150</v>
      </c>
      <c r="AK18" s="34">
        <v>12350</v>
      </c>
      <c r="AL18" s="31">
        <v>33600</v>
      </c>
      <c r="AM18" s="34" t="s">
        <v>32</v>
      </c>
      <c r="AN18" s="32" t="s">
        <v>32</v>
      </c>
      <c r="AO18" s="32">
        <v>21600</v>
      </c>
      <c r="AP18" s="34">
        <v>50000</v>
      </c>
      <c r="AQ18" s="28" t="s">
        <v>32</v>
      </c>
      <c r="AR18" s="28" t="s">
        <v>32</v>
      </c>
      <c r="AS18" s="34">
        <v>252</v>
      </c>
      <c r="AT18" s="34" t="s">
        <v>32</v>
      </c>
      <c r="AU18" s="32" t="s">
        <v>32</v>
      </c>
      <c r="AV18" s="32" t="s">
        <v>32</v>
      </c>
      <c r="AW18" s="29"/>
      <c r="AX18" s="28" t="s">
        <v>32</v>
      </c>
      <c r="AY18" s="26" t="s">
        <v>32</v>
      </c>
      <c r="AZ18" s="34" t="s">
        <v>32</v>
      </c>
      <c r="BA18" s="34" t="s">
        <v>32</v>
      </c>
      <c r="BB18" s="34" t="s">
        <v>32</v>
      </c>
      <c r="BC18" s="33">
        <f>SUM(AJ18:BB18)</f>
        <v>132952</v>
      </c>
      <c r="BD18" s="24"/>
      <c r="BE18" s="25">
        <v>45824</v>
      </c>
      <c r="BF18" s="26">
        <v>0</v>
      </c>
      <c r="BG18" s="26">
        <v>0</v>
      </c>
      <c r="BH18" s="27">
        <f t="shared" si="2"/>
        <v>333913</v>
      </c>
      <c r="BI18" s="28">
        <v>726</v>
      </c>
      <c r="BJ18" s="29">
        <v>0</v>
      </c>
      <c r="BK18" s="29">
        <v>0</v>
      </c>
      <c r="BL18" s="34">
        <v>20449</v>
      </c>
      <c r="BM18" s="34">
        <v>61051</v>
      </c>
      <c r="BN18" s="31">
        <v>70000</v>
      </c>
      <c r="BO18" s="34">
        <v>140000</v>
      </c>
      <c r="BP18" s="32" t="s">
        <v>32</v>
      </c>
      <c r="BQ18" s="32"/>
      <c r="BR18" s="34" t="s">
        <v>32</v>
      </c>
      <c r="BS18" s="28" t="s">
        <v>32</v>
      </c>
      <c r="BT18" s="28" t="s">
        <v>32</v>
      </c>
      <c r="BU18" s="34">
        <v>3913</v>
      </c>
      <c r="BV18" s="34" t="s">
        <v>32</v>
      </c>
      <c r="BW18" s="32">
        <v>32500</v>
      </c>
      <c r="BX18" s="32" t="s">
        <v>130</v>
      </c>
      <c r="BY18" s="29"/>
      <c r="BZ18" s="28" t="s">
        <v>32</v>
      </c>
      <c r="CA18" s="26">
        <v>6000</v>
      </c>
      <c r="CB18" s="34" t="s">
        <v>40</v>
      </c>
      <c r="CC18" s="34" t="s">
        <v>32</v>
      </c>
      <c r="CD18" s="34" t="s">
        <v>32</v>
      </c>
      <c r="CE18" s="33">
        <f>SUM(BL18:CD18)</f>
        <v>333913</v>
      </c>
      <c r="CF18" s="24"/>
      <c r="CG18" s="25">
        <v>45854</v>
      </c>
      <c r="CH18" s="26">
        <v>0</v>
      </c>
      <c r="CI18" s="26">
        <v>0</v>
      </c>
      <c r="CJ18" s="27">
        <f t="shared" si="3"/>
        <v>51290</v>
      </c>
      <c r="CK18" s="28">
        <v>3246</v>
      </c>
      <c r="CL18" s="29">
        <v>4826</v>
      </c>
      <c r="CM18" s="29">
        <v>8.5</v>
      </c>
      <c r="CN18" s="34">
        <v>10300</v>
      </c>
      <c r="CO18" s="34">
        <v>11200</v>
      </c>
      <c r="CP18" s="31" t="s">
        <v>32</v>
      </c>
      <c r="CQ18" s="34" t="s">
        <v>32</v>
      </c>
      <c r="CR18" s="32">
        <v>22590</v>
      </c>
      <c r="CS18" s="32"/>
      <c r="CT18" s="34" t="s">
        <v>32</v>
      </c>
      <c r="CU18" s="28" t="s">
        <v>32</v>
      </c>
      <c r="CV18" s="28" t="s">
        <v>32</v>
      </c>
      <c r="CW18" s="34">
        <v>2200</v>
      </c>
      <c r="CX18" s="34" t="s">
        <v>32</v>
      </c>
      <c r="CY18" s="32" t="s">
        <v>32</v>
      </c>
      <c r="CZ18" s="32" t="s">
        <v>32</v>
      </c>
      <c r="DA18" s="29"/>
      <c r="DB18" s="28" t="s">
        <v>32</v>
      </c>
      <c r="DC18" s="26" t="s">
        <v>32</v>
      </c>
      <c r="DD18" s="34" t="s">
        <v>32</v>
      </c>
      <c r="DE18" s="34">
        <v>5000</v>
      </c>
      <c r="DF18" s="34" t="s">
        <v>135</v>
      </c>
      <c r="DG18" s="33">
        <f>SUM(CN18:DF18)</f>
        <v>51290</v>
      </c>
      <c r="DH18" s="24"/>
      <c r="DI18" s="25">
        <v>45885</v>
      </c>
      <c r="DJ18" s="26">
        <v>0</v>
      </c>
      <c r="DK18" s="26">
        <v>0</v>
      </c>
      <c r="DL18" s="28">
        <v>825</v>
      </c>
      <c r="DM18" s="29">
        <v>5497</v>
      </c>
      <c r="DN18" s="29">
        <v>8</v>
      </c>
      <c r="DO18" s="27">
        <f t="shared" si="4"/>
        <v>0</v>
      </c>
      <c r="DP18" s="34" t="s">
        <v>32</v>
      </c>
      <c r="DQ18" s="34"/>
      <c r="DR18" s="31" t="s">
        <v>32</v>
      </c>
      <c r="DS18" s="34" t="s">
        <v>32</v>
      </c>
      <c r="DT18" s="32" t="s">
        <v>32</v>
      </c>
      <c r="DU18" s="32"/>
      <c r="DV18" s="34" t="s">
        <v>32</v>
      </c>
      <c r="DW18" s="28" t="s">
        <v>32</v>
      </c>
      <c r="DX18" s="28" t="s">
        <v>32</v>
      </c>
      <c r="DY18" s="34" t="s">
        <v>32</v>
      </c>
      <c r="DZ18" s="34" t="s">
        <v>32</v>
      </c>
      <c r="EA18" s="32" t="s">
        <v>32</v>
      </c>
      <c r="EB18" s="32" t="s">
        <v>32</v>
      </c>
      <c r="EC18" s="29"/>
      <c r="ED18" s="28" t="s">
        <v>32</v>
      </c>
      <c r="EE18" s="26" t="s">
        <v>32</v>
      </c>
      <c r="EF18" s="34" t="s">
        <v>32</v>
      </c>
      <c r="EG18" s="34" t="s">
        <v>32</v>
      </c>
      <c r="EH18" s="34" t="s">
        <v>32</v>
      </c>
      <c r="EI18" s="33">
        <f>SUM(DP18:EH18)</f>
        <v>0</v>
      </c>
      <c r="EJ18" s="24"/>
      <c r="EK18" s="25">
        <v>45916</v>
      </c>
      <c r="EL18" s="28">
        <v>960</v>
      </c>
      <c r="EM18" s="28">
        <v>0</v>
      </c>
      <c r="EN18" s="28">
        <v>2.5</v>
      </c>
      <c r="EO18" s="26">
        <v>0</v>
      </c>
      <c r="EP18" s="26">
        <v>0</v>
      </c>
      <c r="EQ18" s="27">
        <f t="shared" si="5"/>
        <v>0</v>
      </c>
      <c r="ER18" s="34" t="s">
        <v>32</v>
      </c>
      <c r="ES18" s="34"/>
      <c r="ET18" s="31" t="s">
        <v>32</v>
      </c>
      <c r="EU18" s="34" t="s">
        <v>32</v>
      </c>
      <c r="EV18" s="30" t="s">
        <v>32</v>
      </c>
      <c r="EW18" s="30"/>
      <c r="EX18" s="34" t="s">
        <v>32</v>
      </c>
      <c r="EY18" s="28" t="s">
        <v>32</v>
      </c>
      <c r="EZ18" s="28" t="s">
        <v>32</v>
      </c>
      <c r="FA18" s="34" t="s">
        <v>32</v>
      </c>
      <c r="FB18" s="34" t="s">
        <v>32</v>
      </c>
      <c r="FC18" s="32" t="s">
        <v>32</v>
      </c>
      <c r="FD18" s="32" t="s">
        <v>32</v>
      </c>
      <c r="FE18" s="75"/>
      <c r="FF18" s="32" t="s">
        <v>32</v>
      </c>
      <c r="FG18" s="26" t="s">
        <v>32</v>
      </c>
      <c r="FH18" s="34" t="s">
        <v>32</v>
      </c>
      <c r="FI18" s="34" t="s">
        <v>32</v>
      </c>
      <c r="FJ18" s="34" t="s">
        <v>32</v>
      </c>
      <c r="FK18" s="33">
        <f>SUM(ER18:FJ18)</f>
        <v>0</v>
      </c>
      <c r="FL18" s="24"/>
      <c r="FM18" s="25">
        <v>45946</v>
      </c>
      <c r="FN18" s="28">
        <v>3178</v>
      </c>
      <c r="FO18" s="75">
        <v>3030</v>
      </c>
      <c r="FP18" s="75">
        <v>9</v>
      </c>
      <c r="FQ18" s="26">
        <v>1011</v>
      </c>
      <c r="FR18" s="26">
        <v>57100</v>
      </c>
      <c r="FS18" s="32">
        <f t="shared" si="11"/>
        <v>275189</v>
      </c>
      <c r="FT18" s="34">
        <v>13340</v>
      </c>
      <c r="FU18" s="34">
        <v>16660</v>
      </c>
      <c r="FV18" s="26">
        <v>189956</v>
      </c>
      <c r="FW18" s="34" t="s">
        <v>32</v>
      </c>
      <c r="FX18" s="32">
        <v>38128</v>
      </c>
      <c r="FY18" s="32"/>
      <c r="FZ18" s="34" t="s">
        <v>32</v>
      </c>
      <c r="GA18" s="28" t="s">
        <v>32</v>
      </c>
      <c r="GB18" s="28">
        <v>500</v>
      </c>
      <c r="GC18" s="82">
        <v>605</v>
      </c>
      <c r="GD18" s="34" t="s">
        <v>32</v>
      </c>
      <c r="GE18" s="32" t="s">
        <v>32</v>
      </c>
      <c r="GF18" s="32" t="s">
        <v>32</v>
      </c>
      <c r="GG18" s="29"/>
      <c r="GH18" s="28" t="s">
        <v>32</v>
      </c>
      <c r="GI18" s="26">
        <v>16000</v>
      </c>
      <c r="GJ18" s="34" t="s">
        <v>40</v>
      </c>
      <c r="GK18" s="32" t="s">
        <v>32</v>
      </c>
      <c r="GL18" s="34" t="s">
        <v>32</v>
      </c>
      <c r="GM18" s="33">
        <f>SUM(FT18:GL18)</f>
        <v>275189</v>
      </c>
      <c r="GN18" s="24"/>
      <c r="GO18" s="25">
        <v>45977</v>
      </c>
      <c r="GP18" s="28">
        <v>1268</v>
      </c>
      <c r="GQ18" s="75">
        <v>3144</v>
      </c>
      <c r="GR18" s="75">
        <v>6</v>
      </c>
      <c r="GS18" s="26">
        <v>7241</v>
      </c>
      <c r="GT18" s="26">
        <v>277753</v>
      </c>
      <c r="GU18" s="32">
        <f t="shared" si="6"/>
        <v>7635</v>
      </c>
      <c r="GV18" s="34" t="s">
        <v>32</v>
      </c>
      <c r="GW18" s="28"/>
      <c r="GX18" s="26" t="s">
        <v>32</v>
      </c>
      <c r="GY18" s="34" t="s">
        <v>32</v>
      </c>
      <c r="GZ18" s="32" t="s">
        <v>32</v>
      </c>
      <c r="HA18" s="32"/>
      <c r="HB18" s="34" t="s">
        <v>32</v>
      </c>
      <c r="HC18" s="28" t="s">
        <v>32</v>
      </c>
      <c r="HD18" s="28" t="s">
        <v>32</v>
      </c>
      <c r="HE18" s="26">
        <v>3135</v>
      </c>
      <c r="HF18" s="34" t="s">
        <v>32</v>
      </c>
      <c r="HG18" s="32" t="s">
        <v>32</v>
      </c>
      <c r="HH18" s="32" t="s">
        <v>32</v>
      </c>
      <c r="HI18" s="29"/>
      <c r="HJ18" s="32" t="s">
        <v>32</v>
      </c>
      <c r="HK18" s="26" t="s">
        <v>32</v>
      </c>
      <c r="HL18" s="26" t="s">
        <v>32</v>
      </c>
      <c r="HM18" s="82">
        <v>4500</v>
      </c>
      <c r="HN18" s="82" t="s">
        <v>153</v>
      </c>
      <c r="HO18" s="33">
        <f>SUM(GV18:HN18)</f>
        <v>7635</v>
      </c>
      <c r="HP18" s="24"/>
      <c r="HQ18" s="25">
        <v>46007</v>
      </c>
      <c r="HR18" s="28">
        <v>1050</v>
      </c>
      <c r="HS18" s="75">
        <v>4058</v>
      </c>
      <c r="HT18" s="75">
        <v>6.25</v>
      </c>
      <c r="HU18" s="26">
        <v>11496</v>
      </c>
      <c r="HV18" s="26">
        <v>791439</v>
      </c>
      <c r="HW18" s="32">
        <f t="shared" si="7"/>
        <v>20560</v>
      </c>
      <c r="HX18" s="30" t="s">
        <v>32</v>
      </c>
      <c r="HY18" s="28"/>
      <c r="HZ18" s="26" t="s">
        <v>32</v>
      </c>
      <c r="IA18" s="30" t="s">
        <v>32</v>
      </c>
      <c r="IB18" s="32" t="s">
        <v>32</v>
      </c>
      <c r="IC18" s="75"/>
      <c r="ID18" s="30">
        <v>19900</v>
      </c>
      <c r="IE18" s="28" t="s">
        <v>32</v>
      </c>
      <c r="IF18" s="28" t="s">
        <v>32</v>
      </c>
      <c r="IG18" s="26">
        <v>660</v>
      </c>
      <c r="IH18" s="30" t="s">
        <v>32</v>
      </c>
      <c r="II18" s="28" t="s">
        <v>32</v>
      </c>
      <c r="IJ18" s="28" t="s">
        <v>32</v>
      </c>
      <c r="IK18" s="75"/>
      <c r="IL18" s="32" t="s">
        <v>32</v>
      </c>
      <c r="IM18" s="26" t="s">
        <v>32</v>
      </c>
      <c r="IN18" s="26" t="s">
        <v>32</v>
      </c>
      <c r="IO18" s="82" t="s">
        <v>32</v>
      </c>
      <c r="IP18" s="82" t="s">
        <v>32</v>
      </c>
      <c r="IQ18" s="33">
        <f>SUM(HX18:IP18)</f>
        <v>20560</v>
      </c>
      <c r="IR18" s="24"/>
      <c r="IS18" s="25">
        <v>46038</v>
      </c>
      <c r="IT18" s="28">
        <v>3230</v>
      </c>
      <c r="IU18" s="75">
        <v>1930</v>
      </c>
      <c r="IV18" s="75">
        <v>10</v>
      </c>
      <c r="IW18" s="26">
        <v>0</v>
      </c>
      <c r="IX18" s="26">
        <v>0</v>
      </c>
      <c r="IY18" s="32">
        <f t="shared" si="8"/>
        <v>0</v>
      </c>
      <c r="IZ18" s="34" t="s">
        <v>32</v>
      </c>
      <c r="JA18" s="34"/>
      <c r="JB18" s="26" t="s">
        <v>32</v>
      </c>
      <c r="JC18" s="34" t="s">
        <v>32</v>
      </c>
      <c r="JD18" s="32" t="s">
        <v>32</v>
      </c>
      <c r="JE18" s="32"/>
      <c r="JF18" s="34" t="s">
        <v>32</v>
      </c>
      <c r="JG18" s="28" t="s">
        <v>32</v>
      </c>
      <c r="JH18" s="28" t="s">
        <v>32</v>
      </c>
      <c r="JI18" s="82" t="s">
        <v>32</v>
      </c>
      <c r="JJ18" s="34" t="s">
        <v>32</v>
      </c>
      <c r="JK18" s="32" t="s">
        <v>32</v>
      </c>
      <c r="JL18" s="32" t="s">
        <v>32</v>
      </c>
      <c r="JM18" s="29"/>
      <c r="JN18" s="28" t="s">
        <v>32</v>
      </c>
      <c r="JO18" s="26" t="s">
        <v>32</v>
      </c>
      <c r="JP18" s="34" t="s">
        <v>32</v>
      </c>
      <c r="JQ18" s="32" t="s">
        <v>32</v>
      </c>
      <c r="JR18" s="34" t="s">
        <v>32</v>
      </c>
      <c r="JS18" s="33">
        <f>SUM(IZ18:JR18)</f>
        <v>0</v>
      </c>
      <c r="JT18" s="24"/>
      <c r="JU18" s="25">
        <v>46069</v>
      </c>
      <c r="JV18" s="28">
        <v>3377</v>
      </c>
      <c r="JW18" s="75">
        <v>5860</v>
      </c>
      <c r="JX18" s="75">
        <v>12</v>
      </c>
      <c r="JY18" s="26">
        <v>8202</v>
      </c>
      <c r="JZ18" s="26">
        <v>626299</v>
      </c>
      <c r="KA18" s="32">
        <f t="shared" si="9"/>
        <v>171695</v>
      </c>
      <c r="KB18" s="34">
        <v>44302</v>
      </c>
      <c r="KC18" s="34">
        <v>15698</v>
      </c>
      <c r="KD18" s="26">
        <v>42900</v>
      </c>
      <c r="KE18" s="34" t="s">
        <v>32</v>
      </c>
      <c r="KF18" s="32">
        <v>500</v>
      </c>
      <c r="KG18" s="32">
        <v>66550</v>
      </c>
      <c r="KH18" s="34" t="s">
        <v>32</v>
      </c>
      <c r="KI18" s="28" t="s">
        <v>32</v>
      </c>
      <c r="KJ18" s="28" t="s">
        <v>32</v>
      </c>
      <c r="KK18" s="82">
        <v>1045</v>
      </c>
      <c r="KL18" s="34" t="s">
        <v>32</v>
      </c>
      <c r="KM18" s="32" t="s">
        <v>32</v>
      </c>
      <c r="KN18" s="32" t="s">
        <v>32</v>
      </c>
      <c r="KO18" s="29"/>
      <c r="KP18" s="28" t="s">
        <v>32</v>
      </c>
      <c r="KQ18" s="26">
        <v>700</v>
      </c>
      <c r="KR18" s="34" t="s">
        <v>40</v>
      </c>
      <c r="KS18" s="32" t="s">
        <v>32</v>
      </c>
      <c r="KT18" s="34" t="s">
        <v>32</v>
      </c>
      <c r="KU18" s="33">
        <f>SUM(KB18:KT18)</f>
        <v>171695</v>
      </c>
      <c r="KV18" s="24"/>
      <c r="KW18" s="25">
        <v>46097</v>
      </c>
      <c r="KX18" s="28">
        <v>3339</v>
      </c>
      <c r="KY18" s="75">
        <v>3246</v>
      </c>
      <c r="KZ18" s="75">
        <v>7.5</v>
      </c>
      <c r="LA18" s="26">
        <v>0</v>
      </c>
      <c r="LB18" s="26">
        <v>0</v>
      </c>
      <c r="LC18" s="32">
        <f t="shared" si="10"/>
        <v>0</v>
      </c>
      <c r="LD18" s="34" t="s">
        <v>32</v>
      </c>
      <c r="LE18" s="34"/>
      <c r="LF18" s="26" t="s">
        <v>32</v>
      </c>
      <c r="LG18" s="34" t="s">
        <v>32</v>
      </c>
      <c r="LH18" s="32" t="s">
        <v>32</v>
      </c>
      <c r="LI18" s="32"/>
      <c r="LJ18" s="34" t="s">
        <v>32</v>
      </c>
      <c r="LK18" s="28" t="s">
        <v>32</v>
      </c>
      <c r="LL18" s="28" t="s">
        <v>32</v>
      </c>
      <c r="LM18" s="82" t="s">
        <v>32</v>
      </c>
      <c r="LN18" s="34" t="s">
        <v>32</v>
      </c>
      <c r="LO18" s="32" t="s">
        <v>32</v>
      </c>
      <c r="LP18" s="32" t="s">
        <v>32</v>
      </c>
      <c r="LQ18" s="29"/>
      <c r="LR18" s="28" t="s">
        <v>32</v>
      </c>
      <c r="LS18" s="26" t="s">
        <v>32</v>
      </c>
      <c r="LT18" s="34" t="s">
        <v>32</v>
      </c>
      <c r="LU18" s="32" t="s">
        <v>32</v>
      </c>
      <c r="LV18" s="34" t="s">
        <v>32</v>
      </c>
      <c r="LW18" s="33">
        <f>SUM(LD18:LV18)</f>
        <v>0</v>
      </c>
      <c r="LX18" s="24"/>
    </row>
    <row r="19" spans="1:336" x14ac:dyDescent="0.3">
      <c r="A19" s="25">
        <v>45764</v>
      </c>
      <c r="B19" s="26">
        <v>0</v>
      </c>
      <c r="C19" s="26">
        <v>0</v>
      </c>
      <c r="D19" s="27">
        <f t="shared" si="0"/>
        <v>0</v>
      </c>
      <c r="E19" s="28">
        <v>0</v>
      </c>
      <c r="F19" s="29">
        <v>0</v>
      </c>
      <c r="G19" s="29">
        <v>0</v>
      </c>
      <c r="H19" s="34" t="s">
        <v>32</v>
      </c>
      <c r="I19" s="34"/>
      <c r="J19" s="31" t="s">
        <v>32</v>
      </c>
      <c r="K19" s="34" t="s">
        <v>32</v>
      </c>
      <c r="L19" s="32" t="s">
        <v>32</v>
      </c>
      <c r="M19" s="32"/>
      <c r="N19" s="34" t="s">
        <v>32</v>
      </c>
      <c r="O19" s="28"/>
      <c r="P19" s="28" t="s">
        <v>32</v>
      </c>
      <c r="Q19" s="34" t="s">
        <v>32</v>
      </c>
      <c r="R19" s="34" t="s">
        <v>32</v>
      </c>
      <c r="S19" s="32" t="s">
        <v>32</v>
      </c>
      <c r="T19" s="32" t="s">
        <v>32</v>
      </c>
      <c r="U19" s="29" t="s">
        <v>32</v>
      </c>
      <c r="V19" s="28" t="s">
        <v>32</v>
      </c>
      <c r="W19" s="26" t="s">
        <v>32</v>
      </c>
      <c r="X19" s="34" t="s">
        <v>32</v>
      </c>
      <c r="Y19" s="34" t="s">
        <v>32</v>
      </c>
      <c r="Z19" s="34"/>
      <c r="AA19" s="33">
        <f t="shared" ref="AA19:AA33" si="24">SUM(H19:Y19)</f>
        <v>0</v>
      </c>
      <c r="AB19" s="24"/>
      <c r="AC19" s="25">
        <v>45794</v>
      </c>
      <c r="AD19" s="26">
        <v>807</v>
      </c>
      <c r="AE19" s="26">
        <v>51200</v>
      </c>
      <c r="AF19" s="27">
        <f t="shared" si="1"/>
        <v>67620</v>
      </c>
      <c r="AG19" s="28">
        <v>3258</v>
      </c>
      <c r="AH19" s="29">
        <v>4206</v>
      </c>
      <c r="AI19" s="29">
        <v>11.25</v>
      </c>
      <c r="AJ19" s="34" t="s">
        <v>32</v>
      </c>
      <c r="AK19" s="34"/>
      <c r="AL19" s="31">
        <v>55000</v>
      </c>
      <c r="AM19" s="34" t="s">
        <v>32</v>
      </c>
      <c r="AN19" s="32" t="s">
        <v>32</v>
      </c>
      <c r="AO19" s="32">
        <v>8000</v>
      </c>
      <c r="AP19" s="34" t="s">
        <v>32</v>
      </c>
      <c r="AQ19" s="28"/>
      <c r="AR19" s="28" t="s">
        <v>32</v>
      </c>
      <c r="AS19" s="34">
        <v>1120</v>
      </c>
      <c r="AT19" s="34" t="s">
        <v>32</v>
      </c>
      <c r="AU19" s="32" t="s">
        <v>32</v>
      </c>
      <c r="AV19" s="32" t="s">
        <v>32</v>
      </c>
      <c r="AW19" s="29">
        <v>3500</v>
      </c>
      <c r="AX19" s="28" t="s">
        <v>32</v>
      </c>
      <c r="AY19" s="26" t="s">
        <v>32</v>
      </c>
      <c r="AZ19" s="34" t="s">
        <v>32</v>
      </c>
      <c r="BA19" s="34" t="s">
        <v>32</v>
      </c>
      <c r="BB19" s="34"/>
      <c r="BC19" s="33">
        <f t="shared" ref="BC19:BC33" si="25">SUM(AJ19:BA19)</f>
        <v>67620</v>
      </c>
      <c r="BD19" s="24"/>
      <c r="BE19" s="25">
        <v>45825</v>
      </c>
      <c r="BF19" s="26">
        <v>0</v>
      </c>
      <c r="BG19" s="26">
        <v>0</v>
      </c>
      <c r="BH19" s="27">
        <f t="shared" si="2"/>
        <v>0</v>
      </c>
      <c r="BI19" s="28">
        <v>2883</v>
      </c>
      <c r="BJ19" s="29">
        <v>4350</v>
      </c>
      <c r="BK19" s="29">
        <v>7</v>
      </c>
      <c r="BL19" s="34" t="s">
        <v>32</v>
      </c>
      <c r="BM19" s="34"/>
      <c r="BN19" s="31" t="s">
        <v>32</v>
      </c>
      <c r="BO19" s="34" t="s">
        <v>32</v>
      </c>
      <c r="BP19" s="32" t="s">
        <v>32</v>
      </c>
      <c r="BQ19" s="32"/>
      <c r="BR19" s="34" t="s">
        <v>32</v>
      </c>
      <c r="BS19" s="28"/>
      <c r="BT19" s="28" t="s">
        <v>32</v>
      </c>
      <c r="BU19" s="34" t="s">
        <v>32</v>
      </c>
      <c r="BV19" s="34" t="s">
        <v>32</v>
      </c>
      <c r="BW19" s="32" t="s">
        <v>32</v>
      </c>
      <c r="BX19" s="32" t="s">
        <v>32</v>
      </c>
      <c r="BY19" s="29" t="s">
        <v>32</v>
      </c>
      <c r="BZ19" s="28" t="s">
        <v>32</v>
      </c>
      <c r="CA19" s="26" t="s">
        <v>32</v>
      </c>
      <c r="CB19" s="34" t="s">
        <v>32</v>
      </c>
      <c r="CC19" s="34" t="s">
        <v>32</v>
      </c>
      <c r="CD19" s="34"/>
      <c r="CE19" s="33">
        <f t="shared" ref="CE19:CE33" si="26">SUM(BL19:CC19)</f>
        <v>0</v>
      </c>
      <c r="CF19" s="24"/>
      <c r="CG19" s="25">
        <v>45855</v>
      </c>
      <c r="CH19" s="26">
        <v>0</v>
      </c>
      <c r="CI19" s="26">
        <v>0</v>
      </c>
      <c r="CJ19" s="27">
        <f t="shared" si="3"/>
        <v>0</v>
      </c>
      <c r="CK19" s="28">
        <v>2385</v>
      </c>
      <c r="CL19" s="29">
        <v>0</v>
      </c>
      <c r="CM19" s="29">
        <v>5</v>
      </c>
      <c r="CN19" s="34" t="s">
        <v>32</v>
      </c>
      <c r="CO19" s="34"/>
      <c r="CP19" s="31" t="s">
        <v>32</v>
      </c>
      <c r="CQ19" s="34" t="s">
        <v>32</v>
      </c>
      <c r="CR19" s="32" t="s">
        <v>32</v>
      </c>
      <c r="CS19" s="32"/>
      <c r="CT19" s="34" t="s">
        <v>32</v>
      </c>
      <c r="CU19" s="28"/>
      <c r="CV19" s="28" t="s">
        <v>32</v>
      </c>
      <c r="CW19" s="34" t="s">
        <v>32</v>
      </c>
      <c r="CX19" s="34" t="s">
        <v>32</v>
      </c>
      <c r="CY19" s="32" t="s">
        <v>32</v>
      </c>
      <c r="CZ19" s="32" t="s">
        <v>32</v>
      </c>
      <c r="DA19" s="29" t="s">
        <v>32</v>
      </c>
      <c r="DB19" s="28" t="s">
        <v>32</v>
      </c>
      <c r="DC19" s="26" t="s">
        <v>32</v>
      </c>
      <c r="DD19" s="34" t="s">
        <v>32</v>
      </c>
      <c r="DE19" s="34" t="s">
        <v>32</v>
      </c>
      <c r="DF19" s="34"/>
      <c r="DG19" s="33">
        <f t="shared" ref="DG19:DG33" si="27">SUM(CN19:DE19)</f>
        <v>0</v>
      </c>
      <c r="DH19" s="24"/>
      <c r="DI19" s="25">
        <v>45886</v>
      </c>
      <c r="DJ19" s="26">
        <v>0</v>
      </c>
      <c r="DK19" s="26">
        <v>0</v>
      </c>
      <c r="DL19" s="28">
        <v>3529</v>
      </c>
      <c r="DM19" s="29">
        <v>1542</v>
      </c>
      <c r="DN19" s="29">
        <v>10</v>
      </c>
      <c r="DO19" s="27">
        <f t="shared" si="4"/>
        <v>0</v>
      </c>
      <c r="DP19" s="34" t="s">
        <v>32</v>
      </c>
      <c r="DQ19" s="34"/>
      <c r="DR19" s="31" t="s">
        <v>32</v>
      </c>
      <c r="DS19" s="34" t="s">
        <v>32</v>
      </c>
      <c r="DT19" s="32" t="s">
        <v>32</v>
      </c>
      <c r="DU19" s="32"/>
      <c r="DV19" s="34" t="s">
        <v>32</v>
      </c>
      <c r="DW19" s="28"/>
      <c r="DX19" s="28" t="s">
        <v>32</v>
      </c>
      <c r="DY19" s="34" t="s">
        <v>32</v>
      </c>
      <c r="DZ19" s="34" t="s">
        <v>32</v>
      </c>
      <c r="EA19" s="32" t="s">
        <v>32</v>
      </c>
      <c r="EB19" s="32" t="s">
        <v>32</v>
      </c>
      <c r="EC19" s="29" t="s">
        <v>32</v>
      </c>
      <c r="ED19" s="28" t="s">
        <v>32</v>
      </c>
      <c r="EE19" s="26" t="s">
        <v>32</v>
      </c>
      <c r="EF19" s="34" t="s">
        <v>32</v>
      </c>
      <c r="EG19" s="34" t="s">
        <v>32</v>
      </c>
      <c r="EH19" s="34"/>
      <c r="EI19" s="33">
        <f t="shared" ref="EI19:EI33" si="28">SUM(DP19:EG19)</f>
        <v>0</v>
      </c>
      <c r="EJ19" s="24"/>
      <c r="EK19" s="25">
        <v>45917</v>
      </c>
      <c r="EL19" s="28">
        <v>2928</v>
      </c>
      <c r="EM19" s="28">
        <v>1536</v>
      </c>
      <c r="EN19" s="28">
        <v>8.5</v>
      </c>
      <c r="EO19" s="26">
        <v>6721</v>
      </c>
      <c r="EP19" s="26">
        <v>332711</v>
      </c>
      <c r="EQ19" s="27">
        <f t="shared" si="5"/>
        <v>551803</v>
      </c>
      <c r="ER19" s="34" t="s">
        <v>32</v>
      </c>
      <c r="ES19" s="34"/>
      <c r="ET19" s="31">
        <v>77392</v>
      </c>
      <c r="EU19" s="34">
        <v>170000</v>
      </c>
      <c r="EV19" s="30" t="s">
        <v>32</v>
      </c>
      <c r="EW19" s="30"/>
      <c r="EX19" s="34" t="s">
        <v>32</v>
      </c>
      <c r="EY19" s="28"/>
      <c r="EZ19" s="28" t="s">
        <v>32</v>
      </c>
      <c r="FA19" s="34">
        <v>1750</v>
      </c>
      <c r="FB19" s="34" t="s">
        <v>32</v>
      </c>
      <c r="FC19" s="32">
        <v>302661</v>
      </c>
      <c r="FD19" s="32" t="s">
        <v>43</v>
      </c>
      <c r="FE19" s="75" t="s">
        <v>32</v>
      </c>
      <c r="FF19" s="32" t="s">
        <v>32</v>
      </c>
      <c r="FG19" s="26" t="s">
        <v>32</v>
      </c>
      <c r="FH19" s="34" t="s">
        <v>32</v>
      </c>
      <c r="FI19" s="34" t="s">
        <v>32</v>
      </c>
      <c r="FJ19" s="34"/>
      <c r="FK19" s="33">
        <f t="shared" ref="FK19:FK33" si="29">SUM(ER19:FI19)</f>
        <v>551803</v>
      </c>
      <c r="FL19" s="24"/>
      <c r="FM19" s="25">
        <v>45947</v>
      </c>
      <c r="FN19" s="28">
        <v>1509</v>
      </c>
      <c r="FO19" s="75">
        <v>4481</v>
      </c>
      <c r="FP19" s="75">
        <v>8</v>
      </c>
      <c r="FQ19" s="26">
        <v>0</v>
      </c>
      <c r="FR19" s="26">
        <v>0</v>
      </c>
      <c r="FS19" s="32">
        <f t="shared" si="11"/>
        <v>0</v>
      </c>
      <c r="FT19" s="34" t="s">
        <v>32</v>
      </c>
      <c r="FU19" s="34"/>
      <c r="FV19" s="26" t="s">
        <v>32</v>
      </c>
      <c r="FW19" s="34" t="s">
        <v>32</v>
      </c>
      <c r="FX19" s="32" t="s">
        <v>32</v>
      </c>
      <c r="FY19" s="32"/>
      <c r="FZ19" s="34" t="s">
        <v>32</v>
      </c>
      <c r="GA19" s="28"/>
      <c r="GB19" s="28" t="s">
        <v>32</v>
      </c>
      <c r="GC19" s="82" t="s">
        <v>32</v>
      </c>
      <c r="GD19" s="34" t="s">
        <v>32</v>
      </c>
      <c r="GE19" s="32" t="s">
        <v>32</v>
      </c>
      <c r="GF19" s="32" t="s">
        <v>32</v>
      </c>
      <c r="GG19" s="29" t="s">
        <v>32</v>
      </c>
      <c r="GH19" s="28" t="s">
        <v>32</v>
      </c>
      <c r="GI19" s="26" t="s">
        <v>32</v>
      </c>
      <c r="GJ19" s="34" t="s">
        <v>32</v>
      </c>
      <c r="GK19" s="32" t="s">
        <v>32</v>
      </c>
      <c r="GL19" s="34"/>
      <c r="GM19" s="33">
        <f t="shared" ref="GM19:GM33" si="30">SUM(FT19:GK19)</f>
        <v>0</v>
      </c>
      <c r="GN19" s="24"/>
      <c r="GO19" s="25">
        <v>45978</v>
      </c>
      <c r="GP19" s="28">
        <v>1881</v>
      </c>
      <c r="GQ19" s="75">
        <v>1758</v>
      </c>
      <c r="GR19" s="75">
        <v>5</v>
      </c>
      <c r="GS19" s="26">
        <v>0</v>
      </c>
      <c r="GT19" s="26">
        <v>0</v>
      </c>
      <c r="GU19" s="32">
        <f t="shared" si="6"/>
        <v>0</v>
      </c>
      <c r="GV19" s="34" t="s">
        <v>32</v>
      </c>
      <c r="GW19" s="28"/>
      <c r="GX19" s="26" t="s">
        <v>32</v>
      </c>
      <c r="GY19" s="34" t="s">
        <v>32</v>
      </c>
      <c r="GZ19" s="32" t="s">
        <v>32</v>
      </c>
      <c r="HA19" s="32"/>
      <c r="HB19" s="34" t="s">
        <v>32</v>
      </c>
      <c r="HC19" s="28"/>
      <c r="HD19" s="28" t="s">
        <v>32</v>
      </c>
      <c r="HE19" s="26" t="s">
        <v>32</v>
      </c>
      <c r="HF19" s="34" t="s">
        <v>32</v>
      </c>
      <c r="HG19" s="32" t="s">
        <v>32</v>
      </c>
      <c r="HH19" s="32" t="s">
        <v>32</v>
      </c>
      <c r="HI19" s="29" t="s">
        <v>32</v>
      </c>
      <c r="HJ19" s="32" t="s">
        <v>32</v>
      </c>
      <c r="HK19" s="26" t="s">
        <v>32</v>
      </c>
      <c r="HL19" s="26" t="s">
        <v>32</v>
      </c>
      <c r="HM19" s="82" t="s">
        <v>32</v>
      </c>
      <c r="HN19" s="82"/>
      <c r="HO19" s="33">
        <f t="shared" ref="HO19:HO33" si="31">SUM(GV19:HM19)</f>
        <v>0</v>
      </c>
      <c r="HP19" s="24"/>
      <c r="HQ19" s="25">
        <v>46008</v>
      </c>
      <c r="HR19" s="28">
        <v>1323</v>
      </c>
      <c r="HS19" s="75">
        <v>3489</v>
      </c>
      <c r="HT19" s="75">
        <v>1.05</v>
      </c>
      <c r="HU19" s="26">
        <v>0</v>
      </c>
      <c r="HV19" s="26">
        <v>0</v>
      </c>
      <c r="HW19" s="32">
        <f t="shared" si="7"/>
        <v>0</v>
      </c>
      <c r="HX19" s="30" t="s">
        <v>32</v>
      </c>
      <c r="HY19" s="28"/>
      <c r="HZ19" s="26" t="s">
        <v>32</v>
      </c>
      <c r="IA19" s="30" t="s">
        <v>32</v>
      </c>
      <c r="IB19" s="32" t="s">
        <v>32</v>
      </c>
      <c r="IC19" s="75"/>
      <c r="ID19" s="30" t="s">
        <v>32</v>
      </c>
      <c r="IE19" s="28"/>
      <c r="IF19" s="28" t="s">
        <v>32</v>
      </c>
      <c r="IG19" s="26" t="s">
        <v>32</v>
      </c>
      <c r="IH19" s="30" t="s">
        <v>32</v>
      </c>
      <c r="II19" s="28" t="s">
        <v>32</v>
      </c>
      <c r="IJ19" s="28" t="s">
        <v>32</v>
      </c>
      <c r="IK19" s="75" t="s">
        <v>32</v>
      </c>
      <c r="IL19" s="32" t="s">
        <v>32</v>
      </c>
      <c r="IM19" s="26" t="s">
        <v>32</v>
      </c>
      <c r="IN19" s="26" t="s">
        <v>32</v>
      </c>
      <c r="IO19" s="82" t="s">
        <v>32</v>
      </c>
      <c r="IP19" s="82"/>
      <c r="IQ19" s="33">
        <f t="shared" ref="IQ19:IQ33" si="32">SUM(HX19:IO19)</f>
        <v>0</v>
      </c>
      <c r="IR19" s="24"/>
      <c r="IS19" s="25">
        <v>46039</v>
      </c>
      <c r="IT19" s="28">
        <v>3180</v>
      </c>
      <c r="IU19" s="75">
        <v>1662</v>
      </c>
      <c r="IV19" s="75">
        <v>11</v>
      </c>
      <c r="IW19" s="26">
        <v>1084</v>
      </c>
      <c r="IX19" s="26">
        <v>59420</v>
      </c>
      <c r="IY19" s="32">
        <f t="shared" si="8"/>
        <v>11888</v>
      </c>
      <c r="IZ19" s="34" t="s">
        <v>32</v>
      </c>
      <c r="JA19" s="34"/>
      <c r="JB19" s="26" t="s">
        <v>32</v>
      </c>
      <c r="JC19" s="34" t="s">
        <v>32</v>
      </c>
      <c r="JD19" s="32" t="s">
        <v>32</v>
      </c>
      <c r="JE19" s="32">
        <v>8700</v>
      </c>
      <c r="JF19" s="34" t="s">
        <v>32</v>
      </c>
      <c r="JG19" s="28"/>
      <c r="JH19" s="28">
        <v>800</v>
      </c>
      <c r="JI19" s="82">
        <v>1888</v>
      </c>
      <c r="JJ19" s="34" t="s">
        <v>32</v>
      </c>
      <c r="JK19" s="32" t="s">
        <v>32</v>
      </c>
      <c r="JL19" s="32" t="s">
        <v>32</v>
      </c>
      <c r="JM19" s="29" t="s">
        <v>32</v>
      </c>
      <c r="JN19" s="28" t="s">
        <v>32</v>
      </c>
      <c r="JO19" s="26">
        <v>500</v>
      </c>
      <c r="JP19" s="34" t="s">
        <v>68</v>
      </c>
      <c r="JQ19" s="32" t="s">
        <v>32</v>
      </c>
      <c r="JR19" s="34"/>
      <c r="JS19" s="33">
        <f t="shared" ref="JS19:JS33" si="33">SUM(IZ19:JQ19)</f>
        <v>11888</v>
      </c>
      <c r="JT19" s="24"/>
      <c r="JU19" s="25">
        <v>46070</v>
      </c>
      <c r="JV19" s="28">
        <v>0</v>
      </c>
      <c r="JW19" s="75">
        <v>0</v>
      </c>
      <c r="JX19" s="75">
        <v>0</v>
      </c>
      <c r="JY19" s="26">
        <v>0</v>
      </c>
      <c r="JZ19" s="26">
        <v>0</v>
      </c>
      <c r="KA19" s="32">
        <f t="shared" si="9"/>
        <v>0</v>
      </c>
      <c r="KB19" s="34" t="s">
        <v>32</v>
      </c>
      <c r="KC19" s="34"/>
      <c r="KD19" s="26" t="s">
        <v>32</v>
      </c>
      <c r="KE19" s="34" t="s">
        <v>32</v>
      </c>
      <c r="KF19" s="32" t="s">
        <v>32</v>
      </c>
      <c r="KG19" s="32"/>
      <c r="KH19" s="34" t="s">
        <v>32</v>
      </c>
      <c r="KI19" s="28"/>
      <c r="KJ19" s="28" t="s">
        <v>32</v>
      </c>
      <c r="KK19" s="82" t="s">
        <v>32</v>
      </c>
      <c r="KL19" s="34" t="s">
        <v>32</v>
      </c>
      <c r="KM19" s="32" t="s">
        <v>32</v>
      </c>
      <c r="KN19" s="32" t="s">
        <v>32</v>
      </c>
      <c r="KO19" s="29" t="s">
        <v>32</v>
      </c>
      <c r="KP19" s="28" t="s">
        <v>32</v>
      </c>
      <c r="KQ19" s="26" t="s">
        <v>32</v>
      </c>
      <c r="KR19" s="34" t="s">
        <v>32</v>
      </c>
      <c r="KS19" s="32" t="s">
        <v>32</v>
      </c>
      <c r="KT19" s="34"/>
      <c r="KU19" s="33">
        <f t="shared" ref="KU19:KU33" si="34">SUM(KB19:KS19)</f>
        <v>0</v>
      </c>
      <c r="KV19" s="24"/>
      <c r="KW19" s="25">
        <v>46098</v>
      </c>
      <c r="KX19" s="28">
        <v>1291</v>
      </c>
      <c r="KY19" s="75">
        <v>0</v>
      </c>
      <c r="KZ19" s="75">
        <v>1</v>
      </c>
      <c r="LA19" s="26">
        <v>5572</v>
      </c>
      <c r="LB19" s="26">
        <v>341832</v>
      </c>
      <c r="LC19" s="32">
        <f t="shared" si="10"/>
        <v>90493</v>
      </c>
      <c r="LD19" s="34">
        <v>8732</v>
      </c>
      <c r="LE19" s="34">
        <v>10866</v>
      </c>
      <c r="LF19" s="26">
        <v>64680</v>
      </c>
      <c r="LG19" s="34" t="s">
        <v>32</v>
      </c>
      <c r="LH19" s="32">
        <v>100</v>
      </c>
      <c r="LI19" s="32"/>
      <c r="LJ19" s="34" t="s">
        <v>32</v>
      </c>
      <c r="LK19" s="28"/>
      <c r="LL19" s="28">
        <v>400</v>
      </c>
      <c r="LM19" s="82">
        <v>3605</v>
      </c>
      <c r="LN19" s="34" t="s">
        <v>32</v>
      </c>
      <c r="LO19" s="32" t="s">
        <v>32</v>
      </c>
      <c r="LP19" s="32" t="s">
        <v>32</v>
      </c>
      <c r="LQ19" s="29">
        <v>2110</v>
      </c>
      <c r="LR19" s="28" t="s">
        <v>32</v>
      </c>
      <c r="LS19" s="26" t="s">
        <v>32</v>
      </c>
      <c r="LT19" s="34" t="s">
        <v>32</v>
      </c>
      <c r="LU19" s="32" t="s">
        <v>32</v>
      </c>
      <c r="LV19" s="34"/>
      <c r="LW19" s="33">
        <f t="shared" ref="LW19:LW33" si="35">SUM(LD19:LU19)</f>
        <v>90493</v>
      </c>
      <c r="LX19" s="24"/>
    </row>
    <row r="20" spans="1:336" x14ac:dyDescent="0.3">
      <c r="A20" s="25">
        <v>45765</v>
      </c>
      <c r="B20" s="26">
        <v>0</v>
      </c>
      <c r="C20" s="26">
        <v>0</v>
      </c>
      <c r="D20" s="27">
        <f t="shared" si="0"/>
        <v>50231</v>
      </c>
      <c r="E20" s="28">
        <v>1723</v>
      </c>
      <c r="F20" s="29">
        <v>0</v>
      </c>
      <c r="G20" s="29">
        <v>0</v>
      </c>
      <c r="H20" s="34" t="s">
        <v>32</v>
      </c>
      <c r="I20" s="34"/>
      <c r="J20" s="31" t="s">
        <v>32</v>
      </c>
      <c r="K20" s="34">
        <v>20000</v>
      </c>
      <c r="L20" s="32">
        <v>1600</v>
      </c>
      <c r="M20" s="32"/>
      <c r="N20" s="34">
        <v>25000</v>
      </c>
      <c r="O20" s="28" t="s">
        <v>32</v>
      </c>
      <c r="P20" s="28" t="s">
        <v>32</v>
      </c>
      <c r="Q20" s="34">
        <v>600</v>
      </c>
      <c r="R20" s="34">
        <v>3031</v>
      </c>
      <c r="S20" s="32" t="s">
        <v>32</v>
      </c>
      <c r="T20" s="32" t="s">
        <v>32</v>
      </c>
      <c r="U20" s="29" t="s">
        <v>32</v>
      </c>
      <c r="V20" s="28" t="s">
        <v>32</v>
      </c>
      <c r="W20" s="26" t="s">
        <v>32</v>
      </c>
      <c r="X20" s="34" t="s">
        <v>32</v>
      </c>
      <c r="Y20" s="34" t="s">
        <v>32</v>
      </c>
      <c r="Z20" s="34"/>
      <c r="AA20" s="33">
        <f t="shared" si="24"/>
        <v>50231</v>
      </c>
      <c r="AB20" s="24"/>
      <c r="AC20" s="25">
        <v>45795</v>
      </c>
      <c r="AD20" s="26">
        <v>412</v>
      </c>
      <c r="AE20" s="26">
        <v>26800</v>
      </c>
      <c r="AF20" s="27">
        <f t="shared" si="1"/>
        <v>215440</v>
      </c>
      <c r="AG20" s="28">
        <v>3697</v>
      </c>
      <c r="AH20" s="29">
        <v>2437</v>
      </c>
      <c r="AI20" s="29">
        <v>9</v>
      </c>
      <c r="AJ20" s="34">
        <v>59460</v>
      </c>
      <c r="AK20" s="34">
        <v>30040</v>
      </c>
      <c r="AL20" s="31">
        <v>121700</v>
      </c>
      <c r="AM20" s="34" t="s">
        <v>32</v>
      </c>
      <c r="AN20" s="32">
        <v>520</v>
      </c>
      <c r="AO20" s="32" t="s">
        <v>32</v>
      </c>
      <c r="AP20" s="34" t="s">
        <v>32</v>
      </c>
      <c r="AQ20" s="28" t="s">
        <v>32</v>
      </c>
      <c r="AR20" s="28" t="s">
        <v>32</v>
      </c>
      <c r="AS20" s="34">
        <v>2220</v>
      </c>
      <c r="AT20" s="34" t="s">
        <v>32</v>
      </c>
      <c r="AU20" s="32" t="s">
        <v>32</v>
      </c>
      <c r="AV20" s="32" t="s">
        <v>32</v>
      </c>
      <c r="AW20" s="29" t="s">
        <v>32</v>
      </c>
      <c r="AX20" s="28" t="s">
        <v>32</v>
      </c>
      <c r="AY20" s="26">
        <v>1500</v>
      </c>
      <c r="AZ20" s="34" t="s">
        <v>40</v>
      </c>
      <c r="BA20" s="34" t="s">
        <v>32</v>
      </c>
      <c r="BB20" s="34"/>
      <c r="BC20" s="33">
        <f t="shared" si="25"/>
        <v>215440</v>
      </c>
      <c r="BD20" s="24"/>
      <c r="BE20" s="25">
        <v>45826</v>
      </c>
      <c r="BF20" s="26">
        <v>0</v>
      </c>
      <c r="BG20" s="26">
        <v>0</v>
      </c>
      <c r="BH20" s="27">
        <f t="shared" si="2"/>
        <v>0</v>
      </c>
      <c r="BI20" s="28">
        <v>2887</v>
      </c>
      <c r="BJ20" s="29">
        <v>0</v>
      </c>
      <c r="BK20" s="29">
        <v>5</v>
      </c>
      <c r="BL20" s="34" t="s">
        <v>32</v>
      </c>
      <c r="BM20" s="34"/>
      <c r="BN20" s="31" t="s">
        <v>32</v>
      </c>
      <c r="BO20" s="34" t="s">
        <v>32</v>
      </c>
      <c r="BP20" s="32" t="s">
        <v>32</v>
      </c>
      <c r="BQ20" s="32"/>
      <c r="BR20" s="34" t="s">
        <v>32</v>
      </c>
      <c r="BS20" s="28" t="s">
        <v>32</v>
      </c>
      <c r="BT20" s="28" t="s">
        <v>32</v>
      </c>
      <c r="BU20" s="34" t="s">
        <v>32</v>
      </c>
      <c r="BV20" s="34" t="s">
        <v>32</v>
      </c>
      <c r="BW20" s="32" t="s">
        <v>32</v>
      </c>
      <c r="BX20" s="32" t="s">
        <v>32</v>
      </c>
      <c r="BY20" s="29" t="s">
        <v>32</v>
      </c>
      <c r="BZ20" s="28" t="s">
        <v>32</v>
      </c>
      <c r="CA20" s="26" t="s">
        <v>32</v>
      </c>
      <c r="CB20" s="34" t="s">
        <v>32</v>
      </c>
      <c r="CC20" s="34" t="s">
        <v>32</v>
      </c>
      <c r="CD20" s="34"/>
      <c r="CE20" s="33">
        <f t="shared" si="26"/>
        <v>0</v>
      </c>
      <c r="CF20" s="24"/>
      <c r="CG20" s="25">
        <v>45856</v>
      </c>
      <c r="CH20" s="26">
        <v>0</v>
      </c>
      <c r="CI20" s="26">
        <v>0</v>
      </c>
      <c r="CJ20" s="27">
        <f t="shared" si="3"/>
        <v>17200</v>
      </c>
      <c r="CK20" s="28">
        <v>1691</v>
      </c>
      <c r="CL20" s="29">
        <v>3118</v>
      </c>
      <c r="CM20" s="29">
        <v>7.5</v>
      </c>
      <c r="CN20" s="34" t="s">
        <v>32</v>
      </c>
      <c r="CO20" s="34"/>
      <c r="CP20" s="31" t="s">
        <v>32</v>
      </c>
      <c r="CQ20" s="34" t="s">
        <v>32</v>
      </c>
      <c r="CR20" s="32" t="s">
        <v>32</v>
      </c>
      <c r="CS20" s="32">
        <v>15800</v>
      </c>
      <c r="CT20" s="34" t="s">
        <v>32</v>
      </c>
      <c r="CU20" s="28" t="s">
        <v>32</v>
      </c>
      <c r="CV20" s="28" t="s">
        <v>32</v>
      </c>
      <c r="CW20" s="34">
        <v>1400</v>
      </c>
      <c r="CX20" s="34" t="s">
        <v>32</v>
      </c>
      <c r="CY20" s="32" t="s">
        <v>32</v>
      </c>
      <c r="CZ20" s="32" t="s">
        <v>32</v>
      </c>
      <c r="DA20" s="29" t="s">
        <v>32</v>
      </c>
      <c r="DB20" s="28" t="s">
        <v>32</v>
      </c>
      <c r="DC20" s="26" t="s">
        <v>32</v>
      </c>
      <c r="DD20" s="34" t="s">
        <v>32</v>
      </c>
      <c r="DE20" s="34" t="s">
        <v>32</v>
      </c>
      <c r="DF20" s="34"/>
      <c r="DG20" s="33">
        <f t="shared" si="27"/>
        <v>17200</v>
      </c>
      <c r="DH20" s="24"/>
      <c r="DI20" s="25">
        <v>45887</v>
      </c>
      <c r="DJ20" s="26">
        <v>6963</v>
      </c>
      <c r="DK20" s="26">
        <v>467332</v>
      </c>
      <c r="DL20" s="28">
        <v>2851</v>
      </c>
      <c r="DM20" s="29">
        <v>4135</v>
      </c>
      <c r="DN20" s="29">
        <v>8.5</v>
      </c>
      <c r="DO20" s="27">
        <f t="shared" si="4"/>
        <v>20686</v>
      </c>
      <c r="DP20" s="34" t="s">
        <v>32</v>
      </c>
      <c r="DQ20" s="34"/>
      <c r="DR20" s="31" t="s">
        <v>32</v>
      </c>
      <c r="DS20" s="34" t="s">
        <v>32</v>
      </c>
      <c r="DT20" s="32" t="s">
        <v>32</v>
      </c>
      <c r="DU20" s="32">
        <v>8000</v>
      </c>
      <c r="DV20" s="34">
        <v>10750</v>
      </c>
      <c r="DW20" s="28" t="s">
        <v>32</v>
      </c>
      <c r="DX20" s="28">
        <v>500</v>
      </c>
      <c r="DY20" s="34">
        <v>1436</v>
      </c>
      <c r="DZ20" s="34" t="s">
        <v>32</v>
      </c>
      <c r="EA20" s="32" t="s">
        <v>32</v>
      </c>
      <c r="EB20" s="32" t="s">
        <v>32</v>
      </c>
      <c r="EC20" s="29" t="s">
        <v>32</v>
      </c>
      <c r="ED20" s="28" t="s">
        <v>32</v>
      </c>
      <c r="EE20" s="26" t="s">
        <v>32</v>
      </c>
      <c r="EF20" s="34" t="s">
        <v>32</v>
      </c>
      <c r="EG20" s="34" t="s">
        <v>32</v>
      </c>
      <c r="EH20" s="34"/>
      <c r="EI20" s="33">
        <f t="shared" si="28"/>
        <v>20686</v>
      </c>
      <c r="EJ20" s="24"/>
      <c r="EK20" s="25">
        <v>45918</v>
      </c>
      <c r="EL20" s="28">
        <v>2041</v>
      </c>
      <c r="EM20" s="28">
        <v>6320</v>
      </c>
      <c r="EN20" s="28">
        <v>9</v>
      </c>
      <c r="EO20" s="26">
        <v>0</v>
      </c>
      <c r="EP20" s="26">
        <v>0</v>
      </c>
      <c r="EQ20" s="27">
        <f t="shared" si="5"/>
        <v>0</v>
      </c>
      <c r="ER20" s="34" t="s">
        <v>32</v>
      </c>
      <c r="ES20" s="34"/>
      <c r="ET20" s="31" t="s">
        <v>32</v>
      </c>
      <c r="EU20" s="34" t="s">
        <v>32</v>
      </c>
      <c r="EV20" s="30" t="s">
        <v>32</v>
      </c>
      <c r="EW20" s="30"/>
      <c r="EX20" s="34" t="s">
        <v>32</v>
      </c>
      <c r="EY20" s="28" t="s">
        <v>32</v>
      </c>
      <c r="EZ20" s="28" t="s">
        <v>32</v>
      </c>
      <c r="FA20" s="34" t="s">
        <v>32</v>
      </c>
      <c r="FB20" s="34" t="s">
        <v>32</v>
      </c>
      <c r="FC20" s="32" t="s">
        <v>32</v>
      </c>
      <c r="FD20" s="32" t="s">
        <v>32</v>
      </c>
      <c r="FE20" s="75" t="s">
        <v>32</v>
      </c>
      <c r="FF20" s="32" t="s">
        <v>32</v>
      </c>
      <c r="FG20" s="26" t="s">
        <v>32</v>
      </c>
      <c r="FH20" s="34" t="s">
        <v>32</v>
      </c>
      <c r="FI20" s="34" t="s">
        <v>32</v>
      </c>
      <c r="FJ20" s="34"/>
      <c r="FK20" s="33">
        <f t="shared" si="29"/>
        <v>0</v>
      </c>
      <c r="FL20" s="24"/>
      <c r="FM20" s="25">
        <v>45948</v>
      </c>
      <c r="FN20" s="28">
        <v>0</v>
      </c>
      <c r="FO20" s="75">
        <v>0</v>
      </c>
      <c r="FP20" s="75">
        <v>0</v>
      </c>
      <c r="FQ20" s="26">
        <v>0</v>
      </c>
      <c r="FR20" s="26">
        <v>0</v>
      </c>
      <c r="FS20" s="32">
        <f t="shared" si="11"/>
        <v>0</v>
      </c>
      <c r="FT20" s="34" t="s">
        <v>32</v>
      </c>
      <c r="FU20" s="34"/>
      <c r="FV20" s="26" t="s">
        <v>32</v>
      </c>
      <c r="FW20" s="34" t="s">
        <v>32</v>
      </c>
      <c r="FX20" s="32" t="s">
        <v>32</v>
      </c>
      <c r="FY20" s="32"/>
      <c r="FZ20" s="34" t="s">
        <v>32</v>
      </c>
      <c r="GA20" s="28" t="s">
        <v>32</v>
      </c>
      <c r="GB20" s="28" t="s">
        <v>32</v>
      </c>
      <c r="GC20" s="82" t="s">
        <v>32</v>
      </c>
      <c r="GD20" s="34" t="s">
        <v>32</v>
      </c>
      <c r="GE20" s="32" t="s">
        <v>32</v>
      </c>
      <c r="GF20" s="32" t="s">
        <v>32</v>
      </c>
      <c r="GG20" s="29" t="s">
        <v>32</v>
      </c>
      <c r="GH20" s="28" t="s">
        <v>32</v>
      </c>
      <c r="GI20" s="26" t="s">
        <v>32</v>
      </c>
      <c r="GJ20" s="34" t="s">
        <v>32</v>
      </c>
      <c r="GK20" s="32" t="s">
        <v>32</v>
      </c>
      <c r="GL20" s="34"/>
      <c r="GM20" s="33">
        <f t="shared" si="30"/>
        <v>0</v>
      </c>
      <c r="GN20" s="24"/>
      <c r="GO20" s="25">
        <v>45979</v>
      </c>
      <c r="GP20" s="28">
        <v>3095</v>
      </c>
      <c r="GQ20" s="75">
        <v>0</v>
      </c>
      <c r="GR20" s="75">
        <v>8</v>
      </c>
      <c r="GS20" s="26">
        <v>15902</v>
      </c>
      <c r="GT20" s="26">
        <v>847844</v>
      </c>
      <c r="GU20" s="32">
        <f t="shared" si="6"/>
        <v>85930</v>
      </c>
      <c r="GV20" s="34" t="s">
        <v>32</v>
      </c>
      <c r="GW20" s="28"/>
      <c r="GX20" s="26" t="s">
        <v>32</v>
      </c>
      <c r="GY20" s="34">
        <v>5500</v>
      </c>
      <c r="GZ20" s="32">
        <v>1390</v>
      </c>
      <c r="HA20" s="32">
        <v>19500</v>
      </c>
      <c r="HB20" s="34">
        <v>50000</v>
      </c>
      <c r="HC20" s="28">
        <v>3800</v>
      </c>
      <c r="HD20" s="28" t="s">
        <v>32</v>
      </c>
      <c r="HE20" s="26">
        <v>3690</v>
      </c>
      <c r="HF20" s="34" t="s">
        <v>32</v>
      </c>
      <c r="HG20" s="32" t="s">
        <v>32</v>
      </c>
      <c r="HH20" s="32" t="s">
        <v>32</v>
      </c>
      <c r="HI20" s="29">
        <v>1000</v>
      </c>
      <c r="HJ20" s="32" t="s">
        <v>32</v>
      </c>
      <c r="HK20" s="26" t="s">
        <v>32</v>
      </c>
      <c r="HL20" s="26" t="s">
        <v>32</v>
      </c>
      <c r="HM20" s="82">
        <v>1050</v>
      </c>
      <c r="HN20" s="82" t="s">
        <v>154</v>
      </c>
      <c r="HO20" s="33">
        <f t="shared" si="31"/>
        <v>85930</v>
      </c>
      <c r="HP20" s="24"/>
      <c r="HQ20" s="25">
        <v>46009</v>
      </c>
      <c r="HR20" s="28">
        <v>2249</v>
      </c>
      <c r="HS20" s="75">
        <v>1998</v>
      </c>
      <c r="HT20" s="75">
        <v>7.5</v>
      </c>
      <c r="HU20" s="26">
        <v>0</v>
      </c>
      <c r="HV20" s="26">
        <v>0</v>
      </c>
      <c r="HW20" s="32">
        <f t="shared" si="7"/>
        <v>0</v>
      </c>
      <c r="HX20" s="30" t="s">
        <v>32</v>
      </c>
      <c r="HY20" s="28"/>
      <c r="HZ20" s="26" t="s">
        <v>32</v>
      </c>
      <c r="IA20" s="30" t="s">
        <v>32</v>
      </c>
      <c r="IB20" s="32" t="s">
        <v>32</v>
      </c>
      <c r="IC20" s="75"/>
      <c r="ID20" s="30" t="s">
        <v>32</v>
      </c>
      <c r="IE20" s="28" t="s">
        <v>32</v>
      </c>
      <c r="IF20" s="28" t="s">
        <v>32</v>
      </c>
      <c r="IG20" s="26" t="s">
        <v>32</v>
      </c>
      <c r="IH20" s="30" t="s">
        <v>32</v>
      </c>
      <c r="II20" s="28" t="s">
        <v>32</v>
      </c>
      <c r="IJ20" s="28" t="s">
        <v>32</v>
      </c>
      <c r="IK20" s="75" t="s">
        <v>32</v>
      </c>
      <c r="IL20" s="32" t="s">
        <v>32</v>
      </c>
      <c r="IM20" s="26" t="s">
        <v>32</v>
      </c>
      <c r="IN20" s="26" t="s">
        <v>32</v>
      </c>
      <c r="IO20" s="82" t="s">
        <v>32</v>
      </c>
      <c r="IP20" s="82"/>
      <c r="IQ20" s="33">
        <f t="shared" si="32"/>
        <v>0</v>
      </c>
      <c r="IR20" s="24"/>
      <c r="IS20" s="25">
        <v>46040</v>
      </c>
      <c r="IT20" s="28">
        <v>0</v>
      </c>
      <c r="IU20" s="75">
        <v>0</v>
      </c>
      <c r="IV20" s="75">
        <v>0</v>
      </c>
      <c r="IW20" s="26">
        <v>0</v>
      </c>
      <c r="IX20" s="26">
        <v>0</v>
      </c>
      <c r="IY20" s="32">
        <f t="shared" si="8"/>
        <v>0</v>
      </c>
      <c r="IZ20" s="34" t="s">
        <v>32</v>
      </c>
      <c r="JA20" s="34"/>
      <c r="JB20" s="26" t="s">
        <v>32</v>
      </c>
      <c r="JC20" s="34" t="s">
        <v>32</v>
      </c>
      <c r="JD20" s="32" t="s">
        <v>32</v>
      </c>
      <c r="JE20" s="32"/>
      <c r="JF20" s="34" t="s">
        <v>32</v>
      </c>
      <c r="JG20" s="28" t="s">
        <v>32</v>
      </c>
      <c r="JH20" s="28" t="s">
        <v>32</v>
      </c>
      <c r="JI20" s="82" t="s">
        <v>32</v>
      </c>
      <c r="JJ20" s="34" t="s">
        <v>32</v>
      </c>
      <c r="JK20" s="32" t="s">
        <v>32</v>
      </c>
      <c r="JL20" s="32" t="s">
        <v>32</v>
      </c>
      <c r="JM20" s="29" t="s">
        <v>32</v>
      </c>
      <c r="JN20" s="28" t="s">
        <v>32</v>
      </c>
      <c r="JO20" s="26" t="s">
        <v>32</v>
      </c>
      <c r="JP20" s="34" t="s">
        <v>32</v>
      </c>
      <c r="JQ20" s="32" t="s">
        <v>32</v>
      </c>
      <c r="JR20" s="34"/>
      <c r="JS20" s="33">
        <f t="shared" si="33"/>
        <v>0</v>
      </c>
      <c r="JT20" s="24"/>
      <c r="JU20" s="25">
        <v>46071</v>
      </c>
      <c r="JV20" s="28">
        <v>2915</v>
      </c>
      <c r="JW20" s="75">
        <v>2381</v>
      </c>
      <c r="JX20" s="75">
        <v>5</v>
      </c>
      <c r="JY20" s="26">
        <v>2352</v>
      </c>
      <c r="JZ20" s="26">
        <v>132560</v>
      </c>
      <c r="KA20" s="32">
        <f t="shared" si="9"/>
        <v>36805</v>
      </c>
      <c r="KB20" s="34" t="s">
        <v>32</v>
      </c>
      <c r="KC20" s="34"/>
      <c r="KD20" s="26" t="s">
        <v>32</v>
      </c>
      <c r="KE20" s="34" t="s">
        <v>32</v>
      </c>
      <c r="KF20" s="32">
        <v>20500</v>
      </c>
      <c r="KG20" s="32">
        <v>15000</v>
      </c>
      <c r="KH20" s="34" t="s">
        <v>32</v>
      </c>
      <c r="KI20" s="28" t="s">
        <v>32</v>
      </c>
      <c r="KJ20" s="28" t="s">
        <v>32</v>
      </c>
      <c r="KK20" s="82">
        <v>1305</v>
      </c>
      <c r="KL20" s="34" t="s">
        <v>32</v>
      </c>
      <c r="KM20" s="32" t="s">
        <v>32</v>
      </c>
      <c r="KN20" s="32" t="s">
        <v>32</v>
      </c>
      <c r="KO20" s="29" t="s">
        <v>32</v>
      </c>
      <c r="KP20" s="28" t="s">
        <v>32</v>
      </c>
      <c r="KQ20" s="26" t="s">
        <v>32</v>
      </c>
      <c r="KR20" s="34" t="s">
        <v>32</v>
      </c>
      <c r="KS20" s="32" t="s">
        <v>32</v>
      </c>
      <c r="KT20" s="34"/>
      <c r="KU20" s="33">
        <f t="shared" si="34"/>
        <v>36805</v>
      </c>
      <c r="KV20" s="24"/>
      <c r="KW20" s="25">
        <v>46099</v>
      </c>
      <c r="KX20" s="28">
        <v>0</v>
      </c>
      <c r="KY20" s="75">
        <v>0</v>
      </c>
      <c r="KZ20" s="75">
        <v>0</v>
      </c>
      <c r="LA20" s="26">
        <v>0</v>
      </c>
      <c r="LB20" s="26">
        <v>0</v>
      </c>
      <c r="LC20" s="32">
        <f t="shared" si="10"/>
        <v>0</v>
      </c>
      <c r="LD20" s="34" t="s">
        <v>32</v>
      </c>
      <c r="LE20" s="34"/>
      <c r="LF20" s="26" t="s">
        <v>32</v>
      </c>
      <c r="LG20" s="34" t="s">
        <v>32</v>
      </c>
      <c r="LH20" s="32" t="s">
        <v>32</v>
      </c>
      <c r="LI20" s="32"/>
      <c r="LJ20" s="34" t="s">
        <v>32</v>
      </c>
      <c r="LK20" s="28" t="s">
        <v>32</v>
      </c>
      <c r="LL20" s="28" t="s">
        <v>32</v>
      </c>
      <c r="LM20" s="82" t="s">
        <v>32</v>
      </c>
      <c r="LN20" s="34" t="s">
        <v>32</v>
      </c>
      <c r="LO20" s="32" t="s">
        <v>32</v>
      </c>
      <c r="LP20" s="32" t="s">
        <v>32</v>
      </c>
      <c r="LQ20" s="29" t="s">
        <v>32</v>
      </c>
      <c r="LR20" s="28" t="s">
        <v>32</v>
      </c>
      <c r="LS20" s="26" t="s">
        <v>32</v>
      </c>
      <c r="LT20" s="34" t="s">
        <v>32</v>
      </c>
      <c r="LU20" s="32" t="s">
        <v>32</v>
      </c>
      <c r="LV20" s="34"/>
      <c r="LW20" s="33">
        <f t="shared" si="35"/>
        <v>0</v>
      </c>
      <c r="LX20" s="24"/>
    </row>
    <row r="21" spans="1:336" x14ac:dyDescent="0.3">
      <c r="A21" s="25">
        <v>45766</v>
      </c>
      <c r="B21" s="26">
        <v>7942</v>
      </c>
      <c r="C21" s="26">
        <v>585888</v>
      </c>
      <c r="D21" s="27">
        <f t="shared" si="0"/>
        <v>72450</v>
      </c>
      <c r="E21" s="28">
        <v>3301</v>
      </c>
      <c r="F21" s="29">
        <v>0</v>
      </c>
      <c r="G21" s="29">
        <v>4.5</v>
      </c>
      <c r="H21" s="34" t="s">
        <v>32</v>
      </c>
      <c r="I21" s="34" t="s">
        <v>32</v>
      </c>
      <c r="J21" s="31" t="s">
        <v>32</v>
      </c>
      <c r="K21" s="34" t="s">
        <v>32</v>
      </c>
      <c r="L21" s="32">
        <v>3040</v>
      </c>
      <c r="M21" s="32">
        <v>10200</v>
      </c>
      <c r="N21" s="34">
        <v>59210</v>
      </c>
      <c r="O21" s="28" t="s">
        <v>32</v>
      </c>
      <c r="P21" s="28" t="s">
        <v>32</v>
      </c>
      <c r="Q21" s="34" t="s">
        <v>32</v>
      </c>
      <c r="R21" s="34" t="s">
        <v>32</v>
      </c>
      <c r="S21" s="32" t="s">
        <v>32</v>
      </c>
      <c r="T21" s="32" t="s">
        <v>32</v>
      </c>
      <c r="U21" s="29" t="s">
        <v>32</v>
      </c>
      <c r="V21" s="28" t="s">
        <v>32</v>
      </c>
      <c r="W21" s="26" t="s">
        <v>32</v>
      </c>
      <c r="X21" s="34" t="s">
        <v>32</v>
      </c>
      <c r="Y21" s="34" t="s">
        <v>32</v>
      </c>
      <c r="Z21" s="34"/>
      <c r="AA21" s="33">
        <f t="shared" si="24"/>
        <v>72450</v>
      </c>
      <c r="AB21" s="24"/>
      <c r="AC21" s="25">
        <v>45796</v>
      </c>
      <c r="AD21" s="26">
        <v>0</v>
      </c>
      <c r="AE21" s="26">
        <v>0</v>
      </c>
      <c r="AF21" s="27">
        <f t="shared" si="1"/>
        <v>0</v>
      </c>
      <c r="AG21" s="28">
        <v>2718</v>
      </c>
      <c r="AH21" s="29">
        <v>0</v>
      </c>
      <c r="AI21" s="29">
        <v>6.5</v>
      </c>
      <c r="AJ21" s="34" t="s">
        <v>32</v>
      </c>
      <c r="AK21" s="34" t="s">
        <v>32</v>
      </c>
      <c r="AL21" s="31" t="s">
        <v>32</v>
      </c>
      <c r="AM21" s="34" t="s">
        <v>32</v>
      </c>
      <c r="AN21" s="32" t="s">
        <v>32</v>
      </c>
      <c r="AO21" s="32" t="s">
        <v>32</v>
      </c>
      <c r="AP21" s="34" t="s">
        <v>32</v>
      </c>
      <c r="AQ21" s="28" t="s">
        <v>32</v>
      </c>
      <c r="AR21" s="28" t="s">
        <v>32</v>
      </c>
      <c r="AS21" s="34" t="s">
        <v>32</v>
      </c>
      <c r="AT21" s="34" t="s">
        <v>32</v>
      </c>
      <c r="AU21" s="32" t="s">
        <v>32</v>
      </c>
      <c r="AV21" s="32" t="s">
        <v>32</v>
      </c>
      <c r="AW21" s="29" t="s">
        <v>32</v>
      </c>
      <c r="AX21" s="28" t="s">
        <v>32</v>
      </c>
      <c r="AY21" s="26" t="s">
        <v>32</v>
      </c>
      <c r="AZ21" s="34" t="s">
        <v>32</v>
      </c>
      <c r="BA21" s="34" t="s">
        <v>32</v>
      </c>
      <c r="BB21" s="34"/>
      <c r="BC21" s="33">
        <f t="shared" si="25"/>
        <v>0</v>
      </c>
      <c r="BD21" s="24"/>
      <c r="BE21" s="25">
        <v>45827</v>
      </c>
      <c r="BF21" s="26">
        <v>5268</v>
      </c>
      <c r="BG21" s="26">
        <v>262616</v>
      </c>
      <c r="BH21" s="27">
        <f t="shared" si="2"/>
        <v>181050</v>
      </c>
      <c r="BI21" s="28">
        <v>2366</v>
      </c>
      <c r="BJ21" s="29">
        <v>0</v>
      </c>
      <c r="BK21" s="29">
        <v>4.5</v>
      </c>
      <c r="BL21" s="34">
        <v>35900</v>
      </c>
      <c r="BM21" s="34" t="s">
        <v>32</v>
      </c>
      <c r="BN21" s="31">
        <v>50000</v>
      </c>
      <c r="BO21" s="34" t="s">
        <v>32</v>
      </c>
      <c r="BP21" s="32">
        <v>1400</v>
      </c>
      <c r="BQ21" s="32">
        <v>46900</v>
      </c>
      <c r="BR21" s="34" t="s">
        <v>32</v>
      </c>
      <c r="BS21" s="28" t="s">
        <v>32</v>
      </c>
      <c r="BT21" s="28" t="s">
        <v>32</v>
      </c>
      <c r="BU21" s="34">
        <v>1850</v>
      </c>
      <c r="BV21" s="34" t="s">
        <v>32</v>
      </c>
      <c r="BW21" s="32" t="s">
        <v>32</v>
      </c>
      <c r="BX21" s="32" t="s">
        <v>32</v>
      </c>
      <c r="BY21" s="29" t="s">
        <v>32</v>
      </c>
      <c r="BZ21" s="28" t="s">
        <v>32</v>
      </c>
      <c r="CA21" s="26">
        <v>45000</v>
      </c>
      <c r="CB21" s="34" t="s">
        <v>57</v>
      </c>
      <c r="CC21" s="34" t="s">
        <v>32</v>
      </c>
      <c r="CD21" s="34"/>
      <c r="CE21" s="33">
        <f t="shared" si="26"/>
        <v>181050</v>
      </c>
      <c r="CF21" s="24"/>
      <c r="CG21" s="25">
        <v>45857</v>
      </c>
      <c r="CH21" s="26">
        <v>0</v>
      </c>
      <c r="CI21" s="26">
        <v>0</v>
      </c>
      <c r="CJ21" s="27">
        <f t="shared" si="3"/>
        <v>0</v>
      </c>
      <c r="CK21" s="28">
        <v>3058</v>
      </c>
      <c r="CL21" s="29">
        <v>405</v>
      </c>
      <c r="CM21" s="29">
        <v>4</v>
      </c>
      <c r="CN21" s="34" t="s">
        <v>32</v>
      </c>
      <c r="CO21" s="34" t="s">
        <v>32</v>
      </c>
      <c r="CP21" s="31" t="s">
        <v>32</v>
      </c>
      <c r="CQ21" s="34" t="s">
        <v>32</v>
      </c>
      <c r="CR21" s="32" t="s">
        <v>32</v>
      </c>
      <c r="CS21" s="32" t="s">
        <v>32</v>
      </c>
      <c r="CT21" s="34" t="s">
        <v>32</v>
      </c>
      <c r="CU21" s="28" t="s">
        <v>32</v>
      </c>
      <c r="CV21" s="28" t="s">
        <v>32</v>
      </c>
      <c r="CW21" s="34" t="s">
        <v>32</v>
      </c>
      <c r="CX21" s="34" t="s">
        <v>32</v>
      </c>
      <c r="CY21" s="32" t="s">
        <v>32</v>
      </c>
      <c r="CZ21" s="32" t="s">
        <v>32</v>
      </c>
      <c r="DA21" s="29" t="s">
        <v>32</v>
      </c>
      <c r="DB21" s="28" t="s">
        <v>32</v>
      </c>
      <c r="DC21" s="26" t="s">
        <v>32</v>
      </c>
      <c r="DD21" s="34" t="s">
        <v>32</v>
      </c>
      <c r="DE21" s="34" t="s">
        <v>32</v>
      </c>
      <c r="DF21" s="34"/>
      <c r="DG21" s="33">
        <f t="shared" si="27"/>
        <v>0</v>
      </c>
      <c r="DH21" s="24"/>
      <c r="DI21" s="25">
        <v>45888</v>
      </c>
      <c r="DJ21" s="26">
        <v>0</v>
      </c>
      <c r="DK21" s="26">
        <v>0</v>
      </c>
      <c r="DL21" s="28">
        <v>3201</v>
      </c>
      <c r="DM21" s="29">
        <v>2550</v>
      </c>
      <c r="DN21" s="29">
        <v>1.25</v>
      </c>
      <c r="DO21" s="27">
        <f t="shared" si="4"/>
        <v>0</v>
      </c>
      <c r="DP21" s="34" t="s">
        <v>32</v>
      </c>
      <c r="DQ21" s="34" t="s">
        <v>32</v>
      </c>
      <c r="DR21" s="31" t="s">
        <v>32</v>
      </c>
      <c r="DS21" s="34" t="s">
        <v>32</v>
      </c>
      <c r="DT21" s="32" t="s">
        <v>32</v>
      </c>
      <c r="DU21" s="32" t="s">
        <v>32</v>
      </c>
      <c r="DV21" s="34" t="s">
        <v>32</v>
      </c>
      <c r="DW21" s="28" t="s">
        <v>32</v>
      </c>
      <c r="DX21" s="28" t="s">
        <v>32</v>
      </c>
      <c r="DY21" s="34" t="s">
        <v>32</v>
      </c>
      <c r="DZ21" s="34" t="s">
        <v>32</v>
      </c>
      <c r="EA21" s="32" t="s">
        <v>32</v>
      </c>
      <c r="EB21" s="32" t="s">
        <v>32</v>
      </c>
      <c r="EC21" s="29" t="s">
        <v>32</v>
      </c>
      <c r="ED21" s="28" t="s">
        <v>32</v>
      </c>
      <c r="EE21" s="26" t="s">
        <v>32</v>
      </c>
      <c r="EF21" s="34" t="s">
        <v>32</v>
      </c>
      <c r="EG21" s="34" t="s">
        <v>32</v>
      </c>
      <c r="EH21" s="34"/>
      <c r="EI21" s="33">
        <f t="shared" si="28"/>
        <v>0</v>
      </c>
      <c r="EJ21" s="24"/>
      <c r="EK21" s="25">
        <v>45919</v>
      </c>
      <c r="EL21" s="28">
        <v>3005</v>
      </c>
      <c r="EM21" s="28">
        <v>3044</v>
      </c>
      <c r="EN21" s="28">
        <v>4.5</v>
      </c>
      <c r="EO21" s="26">
        <v>6185</v>
      </c>
      <c r="EP21" s="26">
        <v>195175</v>
      </c>
      <c r="EQ21" s="27">
        <f t="shared" si="5"/>
        <v>619388</v>
      </c>
      <c r="ER21" s="34" t="s">
        <v>32</v>
      </c>
      <c r="ES21" s="34" t="s">
        <v>32</v>
      </c>
      <c r="ET21" s="31" t="s">
        <v>32</v>
      </c>
      <c r="EU21" s="34" t="s">
        <v>32</v>
      </c>
      <c r="EV21" s="30">
        <v>380</v>
      </c>
      <c r="EW21" s="30" t="s">
        <v>32</v>
      </c>
      <c r="EX21" s="34">
        <v>50000</v>
      </c>
      <c r="EY21" s="28">
        <v>54968</v>
      </c>
      <c r="EZ21" s="28">
        <v>500</v>
      </c>
      <c r="FA21" s="34">
        <v>1285</v>
      </c>
      <c r="FB21" s="34" t="s">
        <v>32</v>
      </c>
      <c r="FC21" s="32">
        <v>12255</v>
      </c>
      <c r="FD21" s="32" t="s">
        <v>168</v>
      </c>
      <c r="FE21" s="75" t="s">
        <v>32</v>
      </c>
      <c r="FF21" s="32" t="s">
        <v>32</v>
      </c>
      <c r="FG21" s="26">
        <v>500000</v>
      </c>
      <c r="FH21" s="34" t="s">
        <v>141</v>
      </c>
      <c r="FI21" s="34" t="s">
        <v>32</v>
      </c>
      <c r="FJ21" s="34"/>
      <c r="FK21" s="33">
        <f t="shared" si="29"/>
        <v>619388</v>
      </c>
      <c r="FL21" s="24"/>
      <c r="FM21" s="25">
        <v>45949</v>
      </c>
      <c r="FN21" s="28" t="s">
        <v>32</v>
      </c>
      <c r="FO21" s="75" t="s">
        <v>32</v>
      </c>
      <c r="FP21" s="75" t="s">
        <v>32</v>
      </c>
      <c r="FQ21" s="26"/>
      <c r="FR21" s="26"/>
      <c r="FS21" s="32">
        <f t="shared" si="11"/>
        <v>0</v>
      </c>
      <c r="FT21" s="34" t="s">
        <v>32</v>
      </c>
      <c r="FU21" s="34" t="s">
        <v>32</v>
      </c>
      <c r="FV21" s="26" t="s">
        <v>32</v>
      </c>
      <c r="FW21" s="34" t="s">
        <v>32</v>
      </c>
      <c r="FX21" s="32" t="s">
        <v>32</v>
      </c>
      <c r="FY21" s="32" t="s">
        <v>32</v>
      </c>
      <c r="FZ21" s="34" t="s">
        <v>32</v>
      </c>
      <c r="GA21" s="28" t="s">
        <v>32</v>
      </c>
      <c r="GB21" s="28" t="s">
        <v>32</v>
      </c>
      <c r="GC21" s="82" t="s">
        <v>32</v>
      </c>
      <c r="GD21" s="34" t="s">
        <v>32</v>
      </c>
      <c r="GE21" s="32" t="s">
        <v>32</v>
      </c>
      <c r="GF21" s="32" t="s">
        <v>32</v>
      </c>
      <c r="GG21" s="29" t="s">
        <v>32</v>
      </c>
      <c r="GH21" s="28" t="s">
        <v>32</v>
      </c>
      <c r="GI21" s="26" t="s">
        <v>32</v>
      </c>
      <c r="GJ21" s="34" t="s">
        <v>32</v>
      </c>
      <c r="GK21" s="32" t="s">
        <v>32</v>
      </c>
      <c r="GL21" s="34"/>
      <c r="GM21" s="33">
        <f t="shared" si="30"/>
        <v>0</v>
      </c>
      <c r="GN21" s="24"/>
      <c r="GO21" s="25">
        <v>45980</v>
      </c>
      <c r="GP21" s="28">
        <v>2996</v>
      </c>
      <c r="GQ21" s="75">
        <v>5944</v>
      </c>
      <c r="GR21" s="75">
        <v>8.75</v>
      </c>
      <c r="GS21" s="26">
        <v>0</v>
      </c>
      <c r="GT21" s="26">
        <v>0</v>
      </c>
      <c r="GU21" s="32">
        <f t="shared" si="6"/>
        <v>0</v>
      </c>
      <c r="GV21" s="34" t="s">
        <v>32</v>
      </c>
      <c r="GW21" s="28" t="s">
        <v>32</v>
      </c>
      <c r="GX21" s="26" t="s">
        <v>32</v>
      </c>
      <c r="GY21" s="34" t="s">
        <v>32</v>
      </c>
      <c r="GZ21" s="32" t="s">
        <v>32</v>
      </c>
      <c r="HA21" s="32" t="s">
        <v>32</v>
      </c>
      <c r="HB21" s="34" t="s">
        <v>32</v>
      </c>
      <c r="HC21" s="28" t="s">
        <v>32</v>
      </c>
      <c r="HD21" s="28" t="s">
        <v>32</v>
      </c>
      <c r="HE21" s="26" t="s">
        <v>32</v>
      </c>
      <c r="HF21" s="34" t="s">
        <v>32</v>
      </c>
      <c r="HG21" s="32" t="s">
        <v>32</v>
      </c>
      <c r="HH21" s="32" t="s">
        <v>32</v>
      </c>
      <c r="HI21" s="29" t="s">
        <v>32</v>
      </c>
      <c r="HJ21" s="32" t="s">
        <v>32</v>
      </c>
      <c r="HK21" s="26" t="s">
        <v>32</v>
      </c>
      <c r="HL21" s="26" t="s">
        <v>32</v>
      </c>
      <c r="HM21" s="82" t="s">
        <v>32</v>
      </c>
      <c r="HN21" s="82"/>
      <c r="HO21" s="33">
        <f t="shared" si="31"/>
        <v>0</v>
      </c>
      <c r="HP21" s="24"/>
      <c r="HQ21" s="25">
        <v>46010</v>
      </c>
      <c r="HR21" s="28">
        <v>0</v>
      </c>
      <c r="HS21" s="75">
        <v>0</v>
      </c>
      <c r="HT21" s="75">
        <v>0</v>
      </c>
      <c r="HU21" s="26">
        <v>105</v>
      </c>
      <c r="HV21" s="26">
        <v>5450</v>
      </c>
      <c r="HW21" s="32">
        <f t="shared" si="7"/>
        <v>327032</v>
      </c>
      <c r="HX21" s="30">
        <v>132400</v>
      </c>
      <c r="HY21" s="28">
        <v>95000</v>
      </c>
      <c r="HZ21" s="26" t="s">
        <v>32</v>
      </c>
      <c r="IA21" s="30" t="s">
        <v>32</v>
      </c>
      <c r="IB21" s="32">
        <v>4692</v>
      </c>
      <c r="IC21" s="75" t="s">
        <v>32</v>
      </c>
      <c r="ID21" s="30">
        <v>70000</v>
      </c>
      <c r="IE21" s="28" t="s">
        <v>32</v>
      </c>
      <c r="IF21" s="28" t="s">
        <v>32</v>
      </c>
      <c r="IG21" s="26" t="s">
        <v>32</v>
      </c>
      <c r="IH21" s="30">
        <v>850</v>
      </c>
      <c r="II21" s="28">
        <v>220</v>
      </c>
      <c r="IJ21" s="28" t="s">
        <v>51</v>
      </c>
      <c r="IK21" s="75">
        <v>21500</v>
      </c>
      <c r="IL21" s="32" t="s">
        <v>32</v>
      </c>
      <c r="IM21" s="26">
        <v>2370</v>
      </c>
      <c r="IN21" s="26" t="s">
        <v>32</v>
      </c>
      <c r="IO21" s="82" t="s">
        <v>32</v>
      </c>
      <c r="IP21" s="82"/>
      <c r="IQ21" s="33">
        <f t="shared" si="32"/>
        <v>327032</v>
      </c>
      <c r="IR21" s="24"/>
      <c r="IS21" s="25">
        <v>46041</v>
      </c>
      <c r="IT21" s="28">
        <v>3244</v>
      </c>
      <c r="IU21" s="75">
        <v>4432</v>
      </c>
      <c r="IV21" s="75">
        <v>7</v>
      </c>
      <c r="IW21" s="26">
        <v>8823</v>
      </c>
      <c r="IX21" s="26">
        <v>541031</v>
      </c>
      <c r="IY21" s="32">
        <f t="shared" si="8"/>
        <v>136683</v>
      </c>
      <c r="IZ21" s="34">
        <v>8502</v>
      </c>
      <c r="JA21" s="34">
        <v>9522</v>
      </c>
      <c r="JB21" s="26" t="s">
        <v>32</v>
      </c>
      <c r="JC21" s="34" t="s">
        <v>32</v>
      </c>
      <c r="JD21" s="32" t="s">
        <v>32</v>
      </c>
      <c r="JE21" s="32">
        <v>35000</v>
      </c>
      <c r="JF21" s="34">
        <v>60000</v>
      </c>
      <c r="JG21" s="28" t="s">
        <v>32</v>
      </c>
      <c r="JH21" s="28" t="s">
        <v>32</v>
      </c>
      <c r="JI21" s="82">
        <v>2659</v>
      </c>
      <c r="JJ21" s="34" t="s">
        <v>32</v>
      </c>
      <c r="JK21" s="32" t="s">
        <v>32</v>
      </c>
      <c r="JL21" s="32" t="s">
        <v>32</v>
      </c>
      <c r="JM21" s="29">
        <v>1000</v>
      </c>
      <c r="JN21" s="28" t="s">
        <v>32</v>
      </c>
      <c r="JO21" s="26">
        <v>20000</v>
      </c>
      <c r="JP21" s="34" t="s">
        <v>166</v>
      </c>
      <c r="JQ21" s="32" t="s">
        <v>32</v>
      </c>
      <c r="JR21" s="34"/>
      <c r="JS21" s="33">
        <f t="shared" si="33"/>
        <v>136683</v>
      </c>
      <c r="JT21" s="24"/>
      <c r="JU21" s="25">
        <v>46072</v>
      </c>
      <c r="JV21" s="28">
        <v>1179</v>
      </c>
      <c r="JW21" s="75">
        <v>0</v>
      </c>
      <c r="JX21" s="75">
        <v>7</v>
      </c>
      <c r="JY21" s="26">
        <v>0</v>
      </c>
      <c r="JZ21" s="26">
        <v>0</v>
      </c>
      <c r="KA21" s="32">
        <f t="shared" si="9"/>
        <v>0</v>
      </c>
      <c r="KB21" s="34" t="s">
        <v>32</v>
      </c>
      <c r="KC21" s="34" t="s">
        <v>32</v>
      </c>
      <c r="KD21" s="26" t="s">
        <v>32</v>
      </c>
      <c r="KE21" s="34" t="s">
        <v>32</v>
      </c>
      <c r="KF21" s="32" t="s">
        <v>32</v>
      </c>
      <c r="KG21" s="32" t="s">
        <v>32</v>
      </c>
      <c r="KH21" s="34" t="s">
        <v>32</v>
      </c>
      <c r="KI21" s="28" t="s">
        <v>32</v>
      </c>
      <c r="KJ21" s="28" t="s">
        <v>32</v>
      </c>
      <c r="KK21" s="82" t="s">
        <v>32</v>
      </c>
      <c r="KL21" s="34" t="s">
        <v>32</v>
      </c>
      <c r="KM21" s="32" t="s">
        <v>32</v>
      </c>
      <c r="KN21" s="32" t="s">
        <v>32</v>
      </c>
      <c r="KO21" s="29" t="s">
        <v>32</v>
      </c>
      <c r="KP21" s="28" t="s">
        <v>32</v>
      </c>
      <c r="KQ21" s="26" t="s">
        <v>32</v>
      </c>
      <c r="KR21" s="34" t="s">
        <v>32</v>
      </c>
      <c r="KS21" s="32" t="s">
        <v>32</v>
      </c>
      <c r="KT21" s="34"/>
      <c r="KU21" s="33">
        <f t="shared" si="34"/>
        <v>0</v>
      </c>
      <c r="KV21" s="24"/>
      <c r="KW21" s="122">
        <v>46100</v>
      </c>
      <c r="KX21" s="59">
        <v>1242</v>
      </c>
      <c r="KY21" s="123">
        <v>0</v>
      </c>
      <c r="KZ21" s="123">
        <v>3</v>
      </c>
      <c r="LA21" s="124">
        <v>2873</v>
      </c>
      <c r="LB21" s="124">
        <v>140530</v>
      </c>
      <c r="LC21" s="125">
        <f t="shared" si="10"/>
        <v>429733</v>
      </c>
      <c r="LD21" s="126" t="s">
        <v>32</v>
      </c>
      <c r="LE21" s="126" t="s">
        <v>32</v>
      </c>
      <c r="LF21" s="124" t="s">
        <v>32</v>
      </c>
      <c r="LG21" s="126" t="s">
        <v>32</v>
      </c>
      <c r="LH21" s="125">
        <v>38576</v>
      </c>
      <c r="LI21" s="125">
        <v>27300</v>
      </c>
      <c r="LJ21" s="126" t="s">
        <v>32</v>
      </c>
      <c r="LK21" s="59" t="s">
        <v>32</v>
      </c>
      <c r="LL21" s="59" t="s">
        <v>32</v>
      </c>
      <c r="LM21" s="127">
        <v>1670</v>
      </c>
      <c r="LN21" s="126" t="s">
        <v>32</v>
      </c>
      <c r="LO21" s="125">
        <v>362187</v>
      </c>
      <c r="LP21" s="125" t="s">
        <v>43</v>
      </c>
      <c r="LQ21" s="128" t="s">
        <v>32</v>
      </c>
      <c r="LR21" s="59" t="s">
        <v>32</v>
      </c>
      <c r="LS21" s="124" t="s">
        <v>32</v>
      </c>
      <c r="LT21" s="126" t="s">
        <v>32</v>
      </c>
      <c r="LU21" s="125" t="s">
        <v>32</v>
      </c>
      <c r="LV21" s="126"/>
      <c r="LW21" s="129">
        <f t="shared" si="35"/>
        <v>429733</v>
      </c>
      <c r="LX21" s="24" t="s">
        <v>185</v>
      </c>
    </row>
    <row r="22" spans="1:336" x14ac:dyDescent="0.3">
      <c r="A22" s="25">
        <v>45767</v>
      </c>
      <c r="B22" s="26">
        <v>0</v>
      </c>
      <c r="C22" s="26">
        <v>0</v>
      </c>
      <c r="D22" s="27">
        <f t="shared" si="0"/>
        <v>0</v>
      </c>
      <c r="E22" s="28">
        <v>4172</v>
      </c>
      <c r="F22" s="29">
        <v>0</v>
      </c>
      <c r="G22" s="29">
        <v>4</v>
      </c>
      <c r="H22" s="30" t="s">
        <v>32</v>
      </c>
      <c r="I22" s="30"/>
      <c r="J22" s="31" t="s">
        <v>33</v>
      </c>
      <c r="K22" s="30" t="s">
        <v>32</v>
      </c>
      <c r="L22" s="32" t="s">
        <v>32</v>
      </c>
      <c r="M22" s="32"/>
      <c r="N22" s="30" t="s">
        <v>32</v>
      </c>
      <c r="O22" s="28"/>
      <c r="P22" s="28" t="s">
        <v>32</v>
      </c>
      <c r="Q22" s="30" t="s">
        <v>32</v>
      </c>
      <c r="R22" s="30" t="s">
        <v>32</v>
      </c>
      <c r="S22" s="32" t="s">
        <v>32</v>
      </c>
      <c r="T22" s="32" t="s">
        <v>32</v>
      </c>
      <c r="U22" s="29" t="s">
        <v>32</v>
      </c>
      <c r="V22" s="28" t="s">
        <v>32</v>
      </c>
      <c r="W22" s="26" t="s">
        <v>32</v>
      </c>
      <c r="X22" s="30" t="s">
        <v>32</v>
      </c>
      <c r="Y22" s="30" t="s">
        <v>32</v>
      </c>
      <c r="Z22" s="30"/>
      <c r="AA22" s="33">
        <f t="shared" si="24"/>
        <v>0</v>
      </c>
      <c r="AB22" s="24"/>
      <c r="AC22" s="25">
        <v>45797</v>
      </c>
      <c r="AD22" s="26">
        <v>0</v>
      </c>
      <c r="AE22" s="26">
        <v>0</v>
      </c>
      <c r="AF22" s="27">
        <f t="shared" si="1"/>
        <v>225670</v>
      </c>
      <c r="AG22" s="28">
        <v>2631</v>
      </c>
      <c r="AH22" s="29">
        <v>0</v>
      </c>
      <c r="AI22" s="29">
        <v>5.5</v>
      </c>
      <c r="AJ22" s="30" t="s">
        <v>32</v>
      </c>
      <c r="AK22" s="30"/>
      <c r="AL22" s="31">
        <v>123889</v>
      </c>
      <c r="AM22" s="30" t="s">
        <v>32</v>
      </c>
      <c r="AN22" s="32">
        <v>1550</v>
      </c>
      <c r="AO22" s="32" t="s">
        <v>32</v>
      </c>
      <c r="AP22" s="30" t="s">
        <v>32</v>
      </c>
      <c r="AQ22" s="28"/>
      <c r="AR22" s="28" t="s">
        <v>32</v>
      </c>
      <c r="AS22" s="30">
        <v>1290</v>
      </c>
      <c r="AT22" s="30" t="s">
        <v>32</v>
      </c>
      <c r="AU22" s="32">
        <v>53941</v>
      </c>
      <c r="AV22" s="32" t="s">
        <v>124</v>
      </c>
      <c r="AW22" s="29" t="s">
        <v>32</v>
      </c>
      <c r="AX22" s="28" t="s">
        <v>32</v>
      </c>
      <c r="AY22" s="26">
        <v>45000</v>
      </c>
      <c r="AZ22" s="30" t="s">
        <v>57</v>
      </c>
      <c r="BA22" s="30" t="s">
        <v>32</v>
      </c>
      <c r="BB22" s="30"/>
      <c r="BC22" s="33">
        <f t="shared" si="25"/>
        <v>225670</v>
      </c>
      <c r="BD22" s="24"/>
      <c r="BE22" s="25">
        <v>45828</v>
      </c>
      <c r="BF22" s="26">
        <v>0</v>
      </c>
      <c r="BG22" s="26">
        <v>0</v>
      </c>
      <c r="BH22" s="27">
        <f t="shared" si="2"/>
        <v>0</v>
      </c>
      <c r="BI22" s="28">
        <v>2723</v>
      </c>
      <c r="BJ22" s="29">
        <v>426</v>
      </c>
      <c r="BK22" s="29">
        <v>4</v>
      </c>
      <c r="BL22" s="30" t="s">
        <v>32</v>
      </c>
      <c r="BM22" s="30"/>
      <c r="BN22" s="31" t="s">
        <v>33</v>
      </c>
      <c r="BO22" s="30" t="s">
        <v>32</v>
      </c>
      <c r="BP22" s="32" t="s">
        <v>32</v>
      </c>
      <c r="BQ22" s="32"/>
      <c r="BR22" s="30" t="s">
        <v>32</v>
      </c>
      <c r="BS22" s="28"/>
      <c r="BT22" s="28" t="s">
        <v>32</v>
      </c>
      <c r="BU22" s="30" t="s">
        <v>32</v>
      </c>
      <c r="BV22" s="30" t="s">
        <v>32</v>
      </c>
      <c r="BW22" s="32" t="s">
        <v>32</v>
      </c>
      <c r="BX22" s="32" t="s">
        <v>32</v>
      </c>
      <c r="BY22" s="29" t="s">
        <v>32</v>
      </c>
      <c r="BZ22" s="28" t="s">
        <v>32</v>
      </c>
      <c r="CA22" s="26" t="s">
        <v>32</v>
      </c>
      <c r="CB22" s="30" t="s">
        <v>32</v>
      </c>
      <c r="CC22" s="30" t="s">
        <v>32</v>
      </c>
      <c r="CD22" s="30"/>
      <c r="CE22" s="33">
        <f t="shared" si="26"/>
        <v>0</v>
      </c>
      <c r="CF22" s="24"/>
      <c r="CG22" s="25">
        <v>45858</v>
      </c>
      <c r="CH22" s="26">
        <v>8152</v>
      </c>
      <c r="CI22" s="26">
        <v>561266</v>
      </c>
      <c r="CJ22" s="27">
        <f t="shared" si="3"/>
        <v>49545</v>
      </c>
      <c r="CK22" s="28">
        <v>2259</v>
      </c>
      <c r="CL22" s="29">
        <v>2136</v>
      </c>
      <c r="CM22" s="29">
        <v>3.5</v>
      </c>
      <c r="CN22" s="30">
        <v>21070</v>
      </c>
      <c r="CO22" s="30">
        <v>15230</v>
      </c>
      <c r="CP22" s="31" t="s">
        <v>33</v>
      </c>
      <c r="CQ22" s="30" t="s">
        <v>32</v>
      </c>
      <c r="CR22" s="32" t="s">
        <v>32</v>
      </c>
      <c r="CS22" s="32">
        <v>10100</v>
      </c>
      <c r="CT22" s="30" t="s">
        <v>32</v>
      </c>
      <c r="CU22" s="28"/>
      <c r="CV22" s="28" t="s">
        <v>32</v>
      </c>
      <c r="CW22" s="30">
        <v>2245</v>
      </c>
      <c r="CX22" s="30">
        <v>900</v>
      </c>
      <c r="CY22" s="32" t="s">
        <v>32</v>
      </c>
      <c r="CZ22" s="32" t="s">
        <v>32</v>
      </c>
      <c r="DA22" s="29" t="s">
        <v>32</v>
      </c>
      <c r="DB22" s="28" t="s">
        <v>32</v>
      </c>
      <c r="DC22" s="26" t="s">
        <v>32</v>
      </c>
      <c r="DD22" s="30" t="s">
        <v>32</v>
      </c>
      <c r="DE22" s="30" t="s">
        <v>32</v>
      </c>
      <c r="DF22" s="30"/>
      <c r="DG22" s="33">
        <f t="shared" si="27"/>
        <v>49545</v>
      </c>
      <c r="DH22" s="24"/>
      <c r="DI22" s="25">
        <v>45889</v>
      </c>
      <c r="DJ22" s="26">
        <v>0</v>
      </c>
      <c r="DK22" s="26">
        <v>0</v>
      </c>
      <c r="DL22" s="28">
        <v>2092</v>
      </c>
      <c r="DM22" s="29">
        <v>2420</v>
      </c>
      <c r="DN22" s="29">
        <v>7.5</v>
      </c>
      <c r="DO22" s="27">
        <f t="shared" si="4"/>
        <v>695405</v>
      </c>
      <c r="DP22" s="30" t="s">
        <v>32</v>
      </c>
      <c r="DQ22" s="30"/>
      <c r="DR22" s="31" t="s">
        <v>33</v>
      </c>
      <c r="DS22" s="30">
        <v>345000</v>
      </c>
      <c r="DT22" s="32">
        <v>456</v>
      </c>
      <c r="DU22" s="32"/>
      <c r="DV22" s="30">
        <v>50000</v>
      </c>
      <c r="DW22" s="28"/>
      <c r="DX22" s="28" t="s">
        <v>32</v>
      </c>
      <c r="DY22" s="30">
        <v>4247</v>
      </c>
      <c r="DZ22" s="30" t="s">
        <v>32</v>
      </c>
      <c r="EA22" s="32">
        <v>295492</v>
      </c>
      <c r="EB22" s="32" t="s">
        <v>43</v>
      </c>
      <c r="EC22" s="29" t="s">
        <v>32</v>
      </c>
      <c r="ED22" s="28">
        <v>210</v>
      </c>
      <c r="EE22" s="26" t="s">
        <v>32</v>
      </c>
      <c r="EF22" s="30" t="s">
        <v>32</v>
      </c>
      <c r="EG22" s="30" t="s">
        <v>32</v>
      </c>
      <c r="EH22" s="30"/>
      <c r="EI22" s="33">
        <f t="shared" si="28"/>
        <v>695405</v>
      </c>
      <c r="EJ22" s="24"/>
      <c r="EK22" s="25">
        <v>45920</v>
      </c>
      <c r="EL22" s="28">
        <v>2527</v>
      </c>
      <c r="EM22" s="28">
        <v>0</v>
      </c>
      <c r="EN22" s="28">
        <v>5.5</v>
      </c>
      <c r="EO22" s="26">
        <v>0</v>
      </c>
      <c r="EP22" s="26">
        <v>0</v>
      </c>
      <c r="EQ22" s="27">
        <f t="shared" si="5"/>
        <v>0</v>
      </c>
      <c r="ER22" s="30" t="s">
        <v>32</v>
      </c>
      <c r="ES22" s="30"/>
      <c r="ET22" s="31" t="s">
        <v>33</v>
      </c>
      <c r="EU22" s="30" t="s">
        <v>32</v>
      </c>
      <c r="EV22" s="30" t="s">
        <v>32</v>
      </c>
      <c r="EW22" s="30"/>
      <c r="EX22" s="30" t="s">
        <v>32</v>
      </c>
      <c r="EY22" s="28"/>
      <c r="EZ22" s="28" t="s">
        <v>32</v>
      </c>
      <c r="FA22" s="30" t="s">
        <v>32</v>
      </c>
      <c r="FB22" s="30" t="s">
        <v>32</v>
      </c>
      <c r="FC22" s="32" t="s">
        <v>32</v>
      </c>
      <c r="FD22" s="32" t="s">
        <v>32</v>
      </c>
      <c r="FE22" s="75" t="s">
        <v>32</v>
      </c>
      <c r="FF22" s="32" t="s">
        <v>32</v>
      </c>
      <c r="FG22" s="26" t="s">
        <v>32</v>
      </c>
      <c r="FH22" s="30" t="s">
        <v>32</v>
      </c>
      <c r="FI22" s="30" t="s">
        <v>32</v>
      </c>
      <c r="FJ22" s="30"/>
      <c r="FK22" s="33">
        <f t="shared" si="29"/>
        <v>0</v>
      </c>
      <c r="FL22" s="24"/>
      <c r="FM22" s="25">
        <v>45950</v>
      </c>
      <c r="FN22" s="28" t="s">
        <v>32</v>
      </c>
      <c r="FO22" s="75" t="s">
        <v>32</v>
      </c>
      <c r="FP22" s="75" t="s">
        <v>32</v>
      </c>
      <c r="FQ22" s="26"/>
      <c r="FR22" s="26"/>
      <c r="FS22" s="32">
        <f t="shared" si="11"/>
        <v>0</v>
      </c>
      <c r="FT22" s="30" t="s">
        <v>32</v>
      </c>
      <c r="FU22" s="30"/>
      <c r="FV22" s="26" t="s">
        <v>33</v>
      </c>
      <c r="FW22" s="30" t="s">
        <v>32</v>
      </c>
      <c r="FX22" s="32" t="s">
        <v>32</v>
      </c>
      <c r="FY22" s="32"/>
      <c r="FZ22" s="30" t="s">
        <v>32</v>
      </c>
      <c r="GA22" s="28"/>
      <c r="GB22" s="28" t="s">
        <v>32</v>
      </c>
      <c r="GC22" s="82" t="s">
        <v>32</v>
      </c>
      <c r="GD22" s="30" t="s">
        <v>32</v>
      </c>
      <c r="GE22" s="32" t="s">
        <v>32</v>
      </c>
      <c r="GF22" s="32" t="s">
        <v>32</v>
      </c>
      <c r="GG22" s="29" t="s">
        <v>32</v>
      </c>
      <c r="GH22" s="28" t="s">
        <v>32</v>
      </c>
      <c r="GI22" s="26" t="s">
        <v>32</v>
      </c>
      <c r="GJ22" s="30" t="s">
        <v>32</v>
      </c>
      <c r="GK22" s="32" t="s">
        <v>32</v>
      </c>
      <c r="GL22" s="30"/>
      <c r="GM22" s="33">
        <f t="shared" si="30"/>
        <v>0</v>
      </c>
      <c r="GN22" s="24"/>
      <c r="GO22" s="25">
        <v>45981</v>
      </c>
      <c r="GP22" s="28">
        <v>0</v>
      </c>
      <c r="GQ22" s="75">
        <v>0</v>
      </c>
      <c r="GR22" s="75">
        <v>0</v>
      </c>
      <c r="GS22" s="26">
        <v>0</v>
      </c>
      <c r="GT22" s="26">
        <v>0</v>
      </c>
      <c r="GU22" s="32">
        <f t="shared" si="6"/>
        <v>0</v>
      </c>
      <c r="GV22" s="30" t="s">
        <v>32</v>
      </c>
      <c r="GW22" s="28"/>
      <c r="GX22" s="26" t="s">
        <v>33</v>
      </c>
      <c r="GY22" s="30" t="s">
        <v>32</v>
      </c>
      <c r="GZ22" s="32" t="s">
        <v>32</v>
      </c>
      <c r="HA22" s="32"/>
      <c r="HB22" s="30" t="s">
        <v>32</v>
      </c>
      <c r="HC22" s="28"/>
      <c r="HD22" s="28" t="s">
        <v>32</v>
      </c>
      <c r="HE22" s="26" t="s">
        <v>32</v>
      </c>
      <c r="HF22" s="30" t="s">
        <v>32</v>
      </c>
      <c r="HG22" s="32" t="s">
        <v>32</v>
      </c>
      <c r="HH22" s="32" t="s">
        <v>32</v>
      </c>
      <c r="HI22" s="29" t="s">
        <v>32</v>
      </c>
      <c r="HJ22" s="32" t="s">
        <v>32</v>
      </c>
      <c r="HK22" s="26" t="s">
        <v>32</v>
      </c>
      <c r="HL22" s="26" t="s">
        <v>32</v>
      </c>
      <c r="HM22" s="82" t="s">
        <v>32</v>
      </c>
      <c r="HN22" s="82"/>
      <c r="HO22" s="33">
        <f t="shared" si="31"/>
        <v>0</v>
      </c>
      <c r="HP22" s="24"/>
      <c r="HQ22" s="25">
        <v>46011</v>
      </c>
      <c r="HR22" s="28">
        <v>1793</v>
      </c>
      <c r="HS22" s="75">
        <v>6912</v>
      </c>
      <c r="HT22" s="75">
        <v>10</v>
      </c>
      <c r="HU22" s="26">
        <v>0</v>
      </c>
      <c r="HV22" s="26">
        <v>0</v>
      </c>
      <c r="HW22" s="32">
        <f t="shared" si="7"/>
        <v>0</v>
      </c>
      <c r="HX22" s="30" t="s">
        <v>32</v>
      </c>
      <c r="HY22" s="28"/>
      <c r="HZ22" s="26" t="s">
        <v>33</v>
      </c>
      <c r="IA22" s="30" t="s">
        <v>32</v>
      </c>
      <c r="IB22" s="32" t="s">
        <v>32</v>
      </c>
      <c r="IC22" s="75"/>
      <c r="ID22" s="30" t="s">
        <v>32</v>
      </c>
      <c r="IE22" s="28"/>
      <c r="IF22" s="28" t="s">
        <v>32</v>
      </c>
      <c r="IG22" s="26" t="s">
        <v>32</v>
      </c>
      <c r="IH22" s="30" t="s">
        <v>32</v>
      </c>
      <c r="II22" s="28" t="s">
        <v>32</v>
      </c>
      <c r="IJ22" s="28" t="s">
        <v>32</v>
      </c>
      <c r="IK22" s="75" t="s">
        <v>32</v>
      </c>
      <c r="IL22" s="32" t="s">
        <v>32</v>
      </c>
      <c r="IM22" s="26" t="s">
        <v>32</v>
      </c>
      <c r="IN22" s="26" t="s">
        <v>32</v>
      </c>
      <c r="IO22" s="82" t="s">
        <v>32</v>
      </c>
      <c r="IP22" s="82"/>
      <c r="IQ22" s="33">
        <f t="shared" si="32"/>
        <v>0</v>
      </c>
      <c r="IR22" s="24"/>
      <c r="IS22" s="25">
        <v>46042</v>
      </c>
      <c r="IT22" s="28">
        <v>2410</v>
      </c>
      <c r="IU22" s="75">
        <v>0</v>
      </c>
      <c r="IV22" s="75">
        <v>5.5</v>
      </c>
      <c r="IW22" s="26">
        <v>0</v>
      </c>
      <c r="IX22" s="26">
        <v>0</v>
      </c>
      <c r="IY22" s="32">
        <f t="shared" si="8"/>
        <v>0</v>
      </c>
      <c r="IZ22" s="30" t="s">
        <v>32</v>
      </c>
      <c r="JA22" s="30"/>
      <c r="JB22" s="26" t="s">
        <v>33</v>
      </c>
      <c r="JC22" s="30" t="s">
        <v>32</v>
      </c>
      <c r="JD22" s="32" t="s">
        <v>32</v>
      </c>
      <c r="JE22" s="32"/>
      <c r="JF22" s="30" t="s">
        <v>32</v>
      </c>
      <c r="JG22" s="28"/>
      <c r="JH22" s="28" t="s">
        <v>32</v>
      </c>
      <c r="JI22" s="82" t="s">
        <v>32</v>
      </c>
      <c r="JJ22" s="30" t="s">
        <v>32</v>
      </c>
      <c r="JK22" s="32" t="s">
        <v>32</v>
      </c>
      <c r="JL22" s="32" t="s">
        <v>32</v>
      </c>
      <c r="JM22" s="29" t="s">
        <v>32</v>
      </c>
      <c r="JN22" s="28" t="s">
        <v>32</v>
      </c>
      <c r="JO22" s="26" t="s">
        <v>32</v>
      </c>
      <c r="JP22" s="30" t="s">
        <v>32</v>
      </c>
      <c r="JQ22" s="32" t="s">
        <v>32</v>
      </c>
      <c r="JR22" s="30"/>
      <c r="JS22" s="33">
        <f t="shared" si="33"/>
        <v>0</v>
      </c>
      <c r="JT22" s="24"/>
      <c r="JU22" s="25">
        <v>46073</v>
      </c>
      <c r="JV22" s="28">
        <v>2768</v>
      </c>
      <c r="JW22" s="75">
        <v>2382</v>
      </c>
      <c r="JX22" s="75">
        <v>5</v>
      </c>
      <c r="JY22" s="26">
        <v>0</v>
      </c>
      <c r="JZ22" s="26">
        <v>0</v>
      </c>
      <c r="KA22" s="32">
        <f t="shared" si="9"/>
        <v>0</v>
      </c>
      <c r="KB22" s="30" t="s">
        <v>32</v>
      </c>
      <c r="KC22" s="30"/>
      <c r="KD22" s="26" t="s">
        <v>33</v>
      </c>
      <c r="KE22" s="30" t="s">
        <v>32</v>
      </c>
      <c r="KF22" s="32" t="s">
        <v>32</v>
      </c>
      <c r="KG22" s="32"/>
      <c r="KH22" s="30" t="s">
        <v>32</v>
      </c>
      <c r="KI22" s="28"/>
      <c r="KJ22" s="28" t="s">
        <v>32</v>
      </c>
      <c r="KK22" s="82" t="s">
        <v>32</v>
      </c>
      <c r="KL22" s="30" t="s">
        <v>32</v>
      </c>
      <c r="KM22" s="32" t="s">
        <v>32</v>
      </c>
      <c r="KN22" s="32" t="s">
        <v>32</v>
      </c>
      <c r="KO22" s="29" t="s">
        <v>32</v>
      </c>
      <c r="KP22" s="28" t="s">
        <v>32</v>
      </c>
      <c r="KQ22" s="26" t="s">
        <v>32</v>
      </c>
      <c r="KR22" s="30" t="s">
        <v>32</v>
      </c>
      <c r="KS22" s="32" t="s">
        <v>32</v>
      </c>
      <c r="KT22" s="30"/>
      <c r="KU22" s="33">
        <f t="shared" si="34"/>
        <v>0</v>
      </c>
      <c r="KV22" s="24"/>
      <c r="KW22" s="25">
        <v>46101</v>
      </c>
      <c r="KX22" s="28">
        <v>2748</v>
      </c>
      <c r="KY22" s="75">
        <v>2653</v>
      </c>
      <c r="KZ22" s="75">
        <v>7.5</v>
      </c>
      <c r="LA22" s="26">
        <v>0</v>
      </c>
      <c r="LB22" s="26">
        <v>0</v>
      </c>
      <c r="LC22" s="32">
        <f t="shared" si="10"/>
        <v>0</v>
      </c>
      <c r="LD22" s="30" t="s">
        <v>32</v>
      </c>
      <c r="LE22" s="30"/>
      <c r="LF22" s="26" t="s">
        <v>33</v>
      </c>
      <c r="LG22" s="30" t="s">
        <v>32</v>
      </c>
      <c r="LH22" s="32" t="s">
        <v>32</v>
      </c>
      <c r="LI22" s="32"/>
      <c r="LJ22" s="30" t="s">
        <v>32</v>
      </c>
      <c r="LK22" s="28"/>
      <c r="LL22" s="28" t="s">
        <v>32</v>
      </c>
      <c r="LM22" s="82" t="s">
        <v>32</v>
      </c>
      <c r="LN22" s="30" t="s">
        <v>32</v>
      </c>
      <c r="LO22" s="32" t="s">
        <v>32</v>
      </c>
      <c r="LP22" s="32" t="s">
        <v>32</v>
      </c>
      <c r="LQ22" s="29" t="s">
        <v>32</v>
      </c>
      <c r="LR22" s="28" t="s">
        <v>32</v>
      </c>
      <c r="LS22" s="26" t="s">
        <v>32</v>
      </c>
      <c r="LT22" s="30" t="s">
        <v>32</v>
      </c>
      <c r="LU22" s="32" t="s">
        <v>32</v>
      </c>
      <c r="LV22" s="30"/>
      <c r="LW22" s="33">
        <f t="shared" si="35"/>
        <v>0</v>
      </c>
      <c r="LX22" s="24"/>
    </row>
    <row r="23" spans="1:336" x14ac:dyDescent="0.3">
      <c r="A23" s="25">
        <v>45768</v>
      </c>
      <c r="B23" s="26">
        <v>275</v>
      </c>
      <c r="C23" s="26">
        <v>13500</v>
      </c>
      <c r="D23" s="27">
        <f t="shared" si="0"/>
        <v>136010</v>
      </c>
      <c r="E23" s="28">
        <v>1975</v>
      </c>
      <c r="F23" s="29">
        <v>0</v>
      </c>
      <c r="G23" s="29">
        <v>4.25</v>
      </c>
      <c r="H23" s="34"/>
      <c r="I23" s="34"/>
      <c r="J23" s="31">
        <v>33445</v>
      </c>
      <c r="K23" s="34" t="s">
        <v>32</v>
      </c>
      <c r="L23" s="32" t="s">
        <v>32</v>
      </c>
      <c r="M23" s="32">
        <v>5000</v>
      </c>
      <c r="N23" s="34">
        <v>65000</v>
      </c>
      <c r="O23" s="28" t="s">
        <v>32</v>
      </c>
      <c r="P23" s="28" t="s">
        <v>32</v>
      </c>
      <c r="Q23" s="34">
        <v>2565</v>
      </c>
      <c r="R23" s="34" t="s">
        <v>32</v>
      </c>
      <c r="S23" s="32"/>
      <c r="T23" s="32" t="s">
        <v>32</v>
      </c>
      <c r="U23" s="29" t="s">
        <v>32</v>
      </c>
      <c r="V23" s="28" t="s">
        <v>32</v>
      </c>
      <c r="W23" s="26">
        <v>30000</v>
      </c>
      <c r="X23" s="34" t="s">
        <v>40</v>
      </c>
      <c r="Y23" s="34" t="s">
        <v>32</v>
      </c>
      <c r="Z23" s="34"/>
      <c r="AA23" s="33">
        <f t="shared" si="24"/>
        <v>136010</v>
      </c>
      <c r="AB23" s="24"/>
      <c r="AC23" s="25">
        <v>45798</v>
      </c>
      <c r="AD23" s="26">
        <v>0</v>
      </c>
      <c r="AE23" s="26">
        <v>0</v>
      </c>
      <c r="AF23" s="27">
        <f t="shared" si="1"/>
        <v>0</v>
      </c>
      <c r="AG23" s="28">
        <v>2791</v>
      </c>
      <c r="AH23" s="29">
        <v>6773</v>
      </c>
      <c r="AI23" s="29">
        <v>11.25</v>
      </c>
      <c r="AJ23" s="34"/>
      <c r="AK23" s="34"/>
      <c r="AL23" s="31" t="s">
        <v>32</v>
      </c>
      <c r="AM23" s="34" t="s">
        <v>32</v>
      </c>
      <c r="AN23" s="32" t="s">
        <v>32</v>
      </c>
      <c r="AO23" s="32"/>
      <c r="AP23" s="34" t="s">
        <v>32</v>
      </c>
      <c r="AQ23" s="28" t="s">
        <v>32</v>
      </c>
      <c r="AR23" s="28" t="s">
        <v>32</v>
      </c>
      <c r="AS23" s="34" t="s">
        <v>32</v>
      </c>
      <c r="AT23" s="34" t="s">
        <v>32</v>
      </c>
      <c r="AU23" s="32"/>
      <c r="AV23" s="32" t="s">
        <v>32</v>
      </c>
      <c r="AW23" s="29" t="s">
        <v>32</v>
      </c>
      <c r="AX23" s="28" t="s">
        <v>32</v>
      </c>
      <c r="AY23" s="26" t="s">
        <v>32</v>
      </c>
      <c r="AZ23" s="34" t="s">
        <v>32</v>
      </c>
      <c r="BA23" s="34" t="s">
        <v>32</v>
      </c>
      <c r="BB23" s="34"/>
      <c r="BC23" s="33">
        <f t="shared" si="25"/>
        <v>0</v>
      </c>
      <c r="BD23" s="24"/>
      <c r="BE23" s="25">
        <v>45829</v>
      </c>
      <c r="BF23" s="26" t="s">
        <v>32</v>
      </c>
      <c r="BG23" s="26" t="s">
        <v>32</v>
      </c>
      <c r="BH23" s="27">
        <f t="shared" si="2"/>
        <v>0</v>
      </c>
      <c r="BI23" s="28" t="s">
        <v>32</v>
      </c>
      <c r="BJ23" s="29" t="s">
        <v>32</v>
      </c>
      <c r="BK23" s="29" t="s">
        <v>32</v>
      </c>
      <c r="BL23" s="34"/>
      <c r="BM23" s="34"/>
      <c r="BN23" s="31" t="s">
        <v>32</v>
      </c>
      <c r="BO23" s="34" t="s">
        <v>32</v>
      </c>
      <c r="BP23" s="32" t="s">
        <v>32</v>
      </c>
      <c r="BQ23" s="32"/>
      <c r="BR23" s="34" t="s">
        <v>32</v>
      </c>
      <c r="BS23" s="28" t="s">
        <v>32</v>
      </c>
      <c r="BT23" s="28" t="s">
        <v>32</v>
      </c>
      <c r="BU23" s="34" t="s">
        <v>32</v>
      </c>
      <c r="BV23" s="34" t="s">
        <v>32</v>
      </c>
      <c r="BW23" s="32"/>
      <c r="BX23" s="32" t="s">
        <v>32</v>
      </c>
      <c r="BY23" s="29" t="s">
        <v>32</v>
      </c>
      <c r="BZ23" s="28" t="s">
        <v>32</v>
      </c>
      <c r="CA23" s="26" t="s">
        <v>32</v>
      </c>
      <c r="CB23" s="34" t="s">
        <v>32</v>
      </c>
      <c r="CC23" s="34" t="s">
        <v>32</v>
      </c>
      <c r="CD23" s="34"/>
      <c r="CE23" s="33">
        <f t="shared" si="26"/>
        <v>0</v>
      </c>
      <c r="CF23" s="24"/>
      <c r="CG23" s="25">
        <v>45859</v>
      </c>
      <c r="CH23" s="26">
        <v>0</v>
      </c>
      <c r="CI23" s="26">
        <v>0</v>
      </c>
      <c r="CJ23" s="27">
        <f t="shared" si="3"/>
        <v>0</v>
      </c>
      <c r="CK23" s="28">
        <v>2475</v>
      </c>
      <c r="CL23" s="29">
        <v>0</v>
      </c>
      <c r="CM23" s="29">
        <v>0</v>
      </c>
      <c r="CN23" s="34"/>
      <c r="CO23" s="34"/>
      <c r="CP23" s="31" t="s">
        <v>32</v>
      </c>
      <c r="CQ23" s="34" t="s">
        <v>32</v>
      </c>
      <c r="CR23" s="32" t="s">
        <v>32</v>
      </c>
      <c r="CS23" s="32"/>
      <c r="CT23" s="34" t="s">
        <v>32</v>
      </c>
      <c r="CU23" s="28" t="s">
        <v>32</v>
      </c>
      <c r="CV23" s="28" t="s">
        <v>32</v>
      </c>
      <c r="CW23" s="34" t="s">
        <v>32</v>
      </c>
      <c r="CX23" s="34" t="s">
        <v>32</v>
      </c>
      <c r="CY23" s="32"/>
      <c r="CZ23" s="32" t="s">
        <v>32</v>
      </c>
      <c r="DA23" s="29" t="s">
        <v>32</v>
      </c>
      <c r="DB23" s="28" t="s">
        <v>32</v>
      </c>
      <c r="DC23" s="26" t="s">
        <v>32</v>
      </c>
      <c r="DD23" s="34" t="s">
        <v>32</v>
      </c>
      <c r="DE23" s="34" t="s">
        <v>32</v>
      </c>
      <c r="DF23" s="34"/>
      <c r="DG23" s="33">
        <f t="shared" si="27"/>
        <v>0</v>
      </c>
      <c r="DH23" s="24"/>
      <c r="DI23" s="25">
        <v>45890</v>
      </c>
      <c r="DJ23" s="26">
        <v>0</v>
      </c>
      <c r="DK23" s="26">
        <v>0</v>
      </c>
      <c r="DL23" s="28">
        <v>2632</v>
      </c>
      <c r="DM23" s="29">
        <v>360</v>
      </c>
      <c r="DN23" s="29">
        <v>7.5</v>
      </c>
      <c r="DO23" s="27">
        <f t="shared" si="4"/>
        <v>0</v>
      </c>
      <c r="DP23" s="34"/>
      <c r="DQ23" s="34"/>
      <c r="DR23" s="31" t="s">
        <v>32</v>
      </c>
      <c r="DS23" s="34" t="s">
        <v>32</v>
      </c>
      <c r="DT23" s="32" t="s">
        <v>32</v>
      </c>
      <c r="DU23" s="32"/>
      <c r="DV23" s="34" t="s">
        <v>32</v>
      </c>
      <c r="DW23" s="28" t="s">
        <v>32</v>
      </c>
      <c r="DX23" s="28" t="s">
        <v>32</v>
      </c>
      <c r="DY23" s="34" t="s">
        <v>32</v>
      </c>
      <c r="DZ23" s="34" t="s">
        <v>32</v>
      </c>
      <c r="EA23" s="32"/>
      <c r="EB23" s="32" t="s">
        <v>32</v>
      </c>
      <c r="EC23" s="29" t="s">
        <v>32</v>
      </c>
      <c r="ED23" s="28" t="s">
        <v>32</v>
      </c>
      <c r="EE23" s="26" t="s">
        <v>32</v>
      </c>
      <c r="EF23" s="34" t="s">
        <v>32</v>
      </c>
      <c r="EG23" s="34" t="s">
        <v>32</v>
      </c>
      <c r="EH23" s="34"/>
      <c r="EI23" s="33">
        <f t="shared" si="28"/>
        <v>0</v>
      </c>
      <c r="EJ23" s="24"/>
      <c r="EK23" s="25">
        <v>45921</v>
      </c>
      <c r="EL23" s="28">
        <v>0</v>
      </c>
      <c r="EM23" s="28">
        <v>0</v>
      </c>
      <c r="EN23" s="28">
        <v>0</v>
      </c>
      <c r="EO23" s="26">
        <v>0</v>
      </c>
      <c r="EP23" s="26">
        <v>0</v>
      </c>
      <c r="EQ23" s="27">
        <f t="shared" si="5"/>
        <v>0</v>
      </c>
      <c r="ER23" s="34"/>
      <c r="ES23" s="34"/>
      <c r="ET23" s="31" t="s">
        <v>32</v>
      </c>
      <c r="EU23" s="34" t="s">
        <v>32</v>
      </c>
      <c r="EV23" s="30" t="s">
        <v>32</v>
      </c>
      <c r="EW23" s="30"/>
      <c r="EX23" s="34" t="s">
        <v>32</v>
      </c>
      <c r="EY23" s="28" t="s">
        <v>32</v>
      </c>
      <c r="EZ23" s="28" t="s">
        <v>32</v>
      </c>
      <c r="FA23" s="34" t="s">
        <v>32</v>
      </c>
      <c r="FB23" s="34" t="s">
        <v>32</v>
      </c>
      <c r="FC23" s="32"/>
      <c r="FD23" s="32" t="s">
        <v>32</v>
      </c>
      <c r="FE23" s="75" t="s">
        <v>32</v>
      </c>
      <c r="FF23" s="32" t="s">
        <v>32</v>
      </c>
      <c r="FG23" s="26" t="s">
        <v>32</v>
      </c>
      <c r="FH23" s="34" t="s">
        <v>32</v>
      </c>
      <c r="FI23" s="34" t="s">
        <v>32</v>
      </c>
      <c r="FJ23" s="34"/>
      <c r="FK23" s="33">
        <f t="shared" si="29"/>
        <v>0</v>
      </c>
      <c r="FL23" s="24"/>
      <c r="FM23" s="25">
        <v>45951</v>
      </c>
      <c r="FN23" s="28" t="s">
        <v>32</v>
      </c>
      <c r="FO23" s="75" t="s">
        <v>32</v>
      </c>
      <c r="FP23" s="75" t="s">
        <v>32</v>
      </c>
      <c r="FQ23" s="26"/>
      <c r="FR23" s="26"/>
      <c r="FS23" s="32">
        <f t="shared" si="11"/>
        <v>0</v>
      </c>
      <c r="FT23" s="34"/>
      <c r="FU23" s="34"/>
      <c r="FV23" s="26" t="s">
        <v>32</v>
      </c>
      <c r="FW23" s="34" t="s">
        <v>32</v>
      </c>
      <c r="FX23" s="32" t="s">
        <v>32</v>
      </c>
      <c r="FY23" s="32"/>
      <c r="FZ23" s="34" t="s">
        <v>32</v>
      </c>
      <c r="GA23" s="28" t="s">
        <v>32</v>
      </c>
      <c r="GB23" s="28" t="s">
        <v>32</v>
      </c>
      <c r="GC23" s="82" t="s">
        <v>32</v>
      </c>
      <c r="GD23" s="34" t="s">
        <v>32</v>
      </c>
      <c r="GE23" s="32"/>
      <c r="GF23" s="32" t="s">
        <v>32</v>
      </c>
      <c r="GG23" s="29" t="s">
        <v>32</v>
      </c>
      <c r="GH23" s="28" t="s">
        <v>32</v>
      </c>
      <c r="GI23" s="26" t="s">
        <v>32</v>
      </c>
      <c r="GJ23" s="34" t="s">
        <v>32</v>
      </c>
      <c r="GK23" s="32" t="s">
        <v>32</v>
      </c>
      <c r="GL23" s="34"/>
      <c r="GM23" s="33">
        <f t="shared" si="30"/>
        <v>0</v>
      </c>
      <c r="GN23" s="24"/>
      <c r="GO23" s="25">
        <v>45982</v>
      </c>
      <c r="GP23" s="28">
        <v>1913</v>
      </c>
      <c r="GQ23" s="75">
        <v>1591</v>
      </c>
      <c r="GR23" s="75">
        <v>7</v>
      </c>
      <c r="GS23" s="26">
        <v>4694</v>
      </c>
      <c r="GT23" s="26">
        <v>169386</v>
      </c>
      <c r="GU23" s="32">
        <f t="shared" si="6"/>
        <v>58255</v>
      </c>
      <c r="GV23" s="34"/>
      <c r="GW23" s="28"/>
      <c r="GX23" s="26" t="s">
        <v>32</v>
      </c>
      <c r="GY23" s="34" t="s">
        <v>32</v>
      </c>
      <c r="GZ23" s="32">
        <v>4280</v>
      </c>
      <c r="HA23" s="32"/>
      <c r="HB23" s="34">
        <v>50000</v>
      </c>
      <c r="HC23" s="28" t="s">
        <v>32</v>
      </c>
      <c r="HD23" s="28">
        <v>500</v>
      </c>
      <c r="HE23" s="26">
        <v>1275</v>
      </c>
      <c r="HF23" s="34" t="s">
        <v>32</v>
      </c>
      <c r="HG23" s="32"/>
      <c r="HH23" s="32" t="s">
        <v>32</v>
      </c>
      <c r="HI23" s="29" t="s">
        <v>32</v>
      </c>
      <c r="HJ23" s="32" t="s">
        <v>32</v>
      </c>
      <c r="HK23" s="26">
        <v>2200</v>
      </c>
      <c r="HL23" s="26" t="s">
        <v>68</v>
      </c>
      <c r="HM23" s="82" t="s">
        <v>32</v>
      </c>
      <c r="HN23" s="82"/>
      <c r="HO23" s="33">
        <f t="shared" si="31"/>
        <v>58255</v>
      </c>
      <c r="HP23" s="24"/>
      <c r="HQ23" s="25">
        <v>46012</v>
      </c>
      <c r="HR23" s="28">
        <v>1403</v>
      </c>
      <c r="HS23" s="75">
        <v>244</v>
      </c>
      <c r="HT23" s="75">
        <v>3.5</v>
      </c>
      <c r="HU23" s="26">
        <v>9384</v>
      </c>
      <c r="HV23" s="26">
        <v>715601</v>
      </c>
      <c r="HW23" s="32">
        <f t="shared" si="7"/>
        <v>10310</v>
      </c>
      <c r="HX23" s="30"/>
      <c r="HY23" s="28"/>
      <c r="HZ23" s="26" t="s">
        <v>32</v>
      </c>
      <c r="IA23" s="30" t="s">
        <v>32</v>
      </c>
      <c r="IB23" s="32">
        <v>4950</v>
      </c>
      <c r="IC23" s="75"/>
      <c r="ID23" s="30" t="s">
        <v>32</v>
      </c>
      <c r="IE23" s="28">
        <v>2000</v>
      </c>
      <c r="IF23" s="28" t="s">
        <v>32</v>
      </c>
      <c r="IG23" s="26">
        <v>3360</v>
      </c>
      <c r="IH23" s="30" t="s">
        <v>32</v>
      </c>
      <c r="II23" s="28"/>
      <c r="IJ23" s="28" t="s">
        <v>32</v>
      </c>
      <c r="IK23" s="75" t="s">
        <v>32</v>
      </c>
      <c r="IL23" s="32" t="s">
        <v>32</v>
      </c>
      <c r="IM23" s="26" t="s">
        <v>32</v>
      </c>
      <c r="IN23" s="26" t="s">
        <v>32</v>
      </c>
      <c r="IO23" s="82" t="s">
        <v>32</v>
      </c>
      <c r="IP23" s="82"/>
      <c r="IQ23" s="33">
        <f t="shared" si="32"/>
        <v>10310</v>
      </c>
      <c r="IR23" s="24"/>
      <c r="IS23" s="25">
        <v>46043</v>
      </c>
      <c r="IT23" s="28">
        <v>1332</v>
      </c>
      <c r="IU23" s="75">
        <v>3994</v>
      </c>
      <c r="IV23" s="75">
        <v>9.5</v>
      </c>
      <c r="IW23" s="26">
        <v>3728</v>
      </c>
      <c r="IX23" s="26">
        <v>160300</v>
      </c>
      <c r="IY23" s="32">
        <f t="shared" si="8"/>
        <v>90286</v>
      </c>
      <c r="IZ23" s="34"/>
      <c r="JA23" s="34"/>
      <c r="JB23" s="26" t="s">
        <v>32</v>
      </c>
      <c r="JC23" s="34" t="s">
        <v>32</v>
      </c>
      <c r="JD23" s="32">
        <v>950</v>
      </c>
      <c r="JE23" s="32">
        <v>86400</v>
      </c>
      <c r="JF23" s="34" t="s">
        <v>32</v>
      </c>
      <c r="JG23" s="28" t="s">
        <v>32</v>
      </c>
      <c r="JH23" s="28" t="s">
        <v>32</v>
      </c>
      <c r="JI23" s="82">
        <v>2936</v>
      </c>
      <c r="JJ23" s="34" t="s">
        <v>32</v>
      </c>
      <c r="JK23" s="32"/>
      <c r="JL23" s="32" t="s">
        <v>32</v>
      </c>
      <c r="JM23" s="29" t="s">
        <v>32</v>
      </c>
      <c r="JN23" s="28" t="s">
        <v>32</v>
      </c>
      <c r="JO23" s="26" t="s">
        <v>32</v>
      </c>
      <c r="JP23" s="34" t="s">
        <v>32</v>
      </c>
      <c r="JQ23" s="32" t="s">
        <v>32</v>
      </c>
      <c r="JR23" s="34"/>
      <c r="JS23" s="33">
        <f t="shared" si="33"/>
        <v>90286</v>
      </c>
      <c r="JT23" s="24"/>
      <c r="JU23" s="25">
        <v>46074</v>
      </c>
      <c r="JV23" s="28">
        <v>2952</v>
      </c>
      <c r="JW23" s="75">
        <v>3958</v>
      </c>
      <c r="JX23" s="75">
        <v>6</v>
      </c>
      <c r="JY23" s="26">
        <v>1361</v>
      </c>
      <c r="JZ23" s="26">
        <v>83600</v>
      </c>
      <c r="KA23" s="32">
        <f t="shared" si="9"/>
        <v>190120</v>
      </c>
      <c r="KB23" s="34">
        <v>20500</v>
      </c>
      <c r="KC23" s="34">
        <v>15300</v>
      </c>
      <c r="KD23" s="26">
        <v>94200</v>
      </c>
      <c r="KE23" s="34" t="s">
        <v>32</v>
      </c>
      <c r="KF23" s="32">
        <v>5960</v>
      </c>
      <c r="KG23" s="32"/>
      <c r="KH23" s="34">
        <v>50000</v>
      </c>
      <c r="KI23" s="28" t="s">
        <v>32</v>
      </c>
      <c r="KJ23" s="28" t="s">
        <v>32</v>
      </c>
      <c r="KK23" s="82">
        <v>2260</v>
      </c>
      <c r="KL23" s="34">
        <v>900</v>
      </c>
      <c r="KM23" s="32"/>
      <c r="KN23" s="32" t="s">
        <v>32</v>
      </c>
      <c r="KO23" s="29" t="s">
        <v>32</v>
      </c>
      <c r="KP23" s="28" t="s">
        <v>32</v>
      </c>
      <c r="KQ23" s="26">
        <v>1000</v>
      </c>
      <c r="KR23" s="34" t="s">
        <v>40</v>
      </c>
      <c r="KS23" s="32" t="s">
        <v>32</v>
      </c>
      <c r="KT23" s="34"/>
      <c r="KU23" s="33">
        <f t="shared" si="34"/>
        <v>190120</v>
      </c>
      <c r="KV23" s="24"/>
      <c r="KW23" s="25">
        <v>46102</v>
      </c>
      <c r="KX23" s="28">
        <v>4530</v>
      </c>
      <c r="KY23" s="75">
        <v>919</v>
      </c>
      <c r="KZ23" s="75">
        <v>11</v>
      </c>
      <c r="LA23" s="26">
        <v>10331</v>
      </c>
      <c r="LB23" s="26">
        <v>382736</v>
      </c>
      <c r="LC23" s="32">
        <f t="shared" si="10"/>
        <v>74485</v>
      </c>
      <c r="LD23" s="34"/>
      <c r="LE23" s="34"/>
      <c r="LF23" s="26" t="s">
        <v>32</v>
      </c>
      <c r="LG23" s="34" t="s">
        <v>32</v>
      </c>
      <c r="LH23" s="32">
        <v>7700</v>
      </c>
      <c r="LI23" s="32">
        <v>6250</v>
      </c>
      <c r="LJ23" s="34">
        <v>30000</v>
      </c>
      <c r="LK23" s="28" t="s">
        <v>32</v>
      </c>
      <c r="LL23" s="28" t="s">
        <v>32</v>
      </c>
      <c r="LM23" s="82">
        <v>1165</v>
      </c>
      <c r="LN23" s="34" t="s">
        <v>32</v>
      </c>
      <c r="LO23" s="32">
        <v>3700</v>
      </c>
      <c r="LP23" s="32" t="s">
        <v>51</v>
      </c>
      <c r="LQ23" s="29" t="s">
        <v>32</v>
      </c>
      <c r="LR23" s="28" t="s">
        <v>32</v>
      </c>
      <c r="LS23" s="26">
        <v>15670</v>
      </c>
      <c r="LT23" s="34" t="s">
        <v>177</v>
      </c>
      <c r="LU23" s="32">
        <v>10000</v>
      </c>
      <c r="LV23" s="34" t="s">
        <v>178</v>
      </c>
      <c r="LW23" s="33">
        <f t="shared" si="35"/>
        <v>74485</v>
      </c>
      <c r="LX23" s="24"/>
    </row>
    <row r="24" spans="1:336" x14ac:dyDescent="0.3">
      <c r="A24" s="25">
        <v>45769</v>
      </c>
      <c r="B24" s="26">
        <v>0</v>
      </c>
      <c r="C24" s="26">
        <v>0</v>
      </c>
      <c r="D24" s="27">
        <f t="shared" si="0"/>
        <v>0</v>
      </c>
      <c r="E24" s="28">
        <v>0</v>
      </c>
      <c r="F24" s="29">
        <v>0</v>
      </c>
      <c r="G24" s="29">
        <v>1</v>
      </c>
      <c r="H24" s="34" t="s">
        <v>32</v>
      </c>
      <c r="I24" s="34"/>
      <c r="J24" s="31" t="s">
        <v>32</v>
      </c>
      <c r="K24" s="34" t="s">
        <v>32</v>
      </c>
      <c r="L24" s="32" t="s">
        <v>32</v>
      </c>
      <c r="M24" s="32" t="s">
        <v>32</v>
      </c>
      <c r="N24" s="34"/>
      <c r="O24" s="28" t="s">
        <v>32</v>
      </c>
      <c r="P24" s="28" t="s">
        <v>32</v>
      </c>
      <c r="Q24" s="34" t="s">
        <v>32</v>
      </c>
      <c r="R24" s="34" t="s">
        <v>32</v>
      </c>
      <c r="S24" s="32" t="s">
        <v>32</v>
      </c>
      <c r="T24" s="32" t="s">
        <v>32</v>
      </c>
      <c r="U24" s="29" t="s">
        <v>32</v>
      </c>
      <c r="V24" s="28" t="s">
        <v>32</v>
      </c>
      <c r="W24" s="26" t="s">
        <v>32</v>
      </c>
      <c r="X24" s="34" t="s">
        <v>32</v>
      </c>
      <c r="Y24" s="34" t="s">
        <v>32</v>
      </c>
      <c r="Z24" s="34"/>
      <c r="AA24" s="33">
        <f t="shared" si="24"/>
        <v>0</v>
      </c>
      <c r="AB24" s="24"/>
      <c r="AC24" s="25">
        <v>45799</v>
      </c>
      <c r="AD24" s="26">
        <v>0</v>
      </c>
      <c r="AE24" s="26">
        <v>0</v>
      </c>
      <c r="AF24" s="27">
        <f t="shared" si="1"/>
        <v>0</v>
      </c>
      <c r="AG24" s="28">
        <v>3455</v>
      </c>
      <c r="AH24" s="29">
        <v>981</v>
      </c>
      <c r="AI24" s="29">
        <v>8.25</v>
      </c>
      <c r="AJ24" s="34" t="s">
        <v>32</v>
      </c>
      <c r="AK24" s="34"/>
      <c r="AL24" s="31" t="s">
        <v>32</v>
      </c>
      <c r="AM24" s="34" t="s">
        <v>32</v>
      </c>
      <c r="AN24" s="32" t="s">
        <v>32</v>
      </c>
      <c r="AO24" s="32" t="s">
        <v>32</v>
      </c>
      <c r="AP24" s="34"/>
      <c r="AQ24" s="28" t="s">
        <v>32</v>
      </c>
      <c r="AR24" s="28" t="s">
        <v>32</v>
      </c>
      <c r="AS24" s="34" t="s">
        <v>32</v>
      </c>
      <c r="AT24" s="34" t="s">
        <v>32</v>
      </c>
      <c r="AU24" s="32" t="s">
        <v>32</v>
      </c>
      <c r="AV24" s="32" t="s">
        <v>32</v>
      </c>
      <c r="AW24" s="29" t="s">
        <v>32</v>
      </c>
      <c r="AX24" s="28" t="s">
        <v>32</v>
      </c>
      <c r="AY24" s="26" t="s">
        <v>32</v>
      </c>
      <c r="AZ24" s="34" t="s">
        <v>32</v>
      </c>
      <c r="BA24" s="34" t="s">
        <v>32</v>
      </c>
      <c r="BB24" s="34"/>
      <c r="BC24" s="33">
        <f t="shared" si="25"/>
        <v>0</v>
      </c>
      <c r="BD24" s="24"/>
      <c r="BE24" s="25">
        <v>45830</v>
      </c>
      <c r="BF24" s="26">
        <v>0</v>
      </c>
      <c r="BG24" s="26">
        <v>0</v>
      </c>
      <c r="BH24" s="27">
        <f t="shared" si="2"/>
        <v>0</v>
      </c>
      <c r="BI24" s="28">
        <v>3661</v>
      </c>
      <c r="BJ24" s="29">
        <v>2541</v>
      </c>
      <c r="BK24" s="29">
        <v>6.5</v>
      </c>
      <c r="BL24" s="34" t="s">
        <v>32</v>
      </c>
      <c r="BM24" s="34"/>
      <c r="BN24" s="31" t="s">
        <v>32</v>
      </c>
      <c r="BO24" s="34" t="s">
        <v>32</v>
      </c>
      <c r="BP24" s="32" t="s">
        <v>32</v>
      </c>
      <c r="BQ24" s="32" t="s">
        <v>32</v>
      </c>
      <c r="BR24" s="34"/>
      <c r="BS24" s="28" t="s">
        <v>32</v>
      </c>
      <c r="BT24" s="28" t="s">
        <v>32</v>
      </c>
      <c r="BU24" s="34" t="s">
        <v>32</v>
      </c>
      <c r="BV24" s="34" t="s">
        <v>32</v>
      </c>
      <c r="BW24" s="32" t="s">
        <v>32</v>
      </c>
      <c r="BX24" s="32" t="s">
        <v>32</v>
      </c>
      <c r="BY24" s="29" t="s">
        <v>32</v>
      </c>
      <c r="BZ24" s="28" t="s">
        <v>32</v>
      </c>
      <c r="CA24" s="26" t="s">
        <v>32</v>
      </c>
      <c r="CB24" s="34" t="s">
        <v>32</v>
      </c>
      <c r="CC24" s="34" t="s">
        <v>32</v>
      </c>
      <c r="CD24" s="34"/>
      <c r="CE24" s="33">
        <f t="shared" si="26"/>
        <v>0</v>
      </c>
      <c r="CF24" s="24"/>
      <c r="CG24" s="25">
        <v>45860</v>
      </c>
      <c r="CH24" s="26">
        <v>1787</v>
      </c>
      <c r="CI24" s="26">
        <v>75900</v>
      </c>
      <c r="CJ24" s="27">
        <f t="shared" si="3"/>
        <v>628738</v>
      </c>
      <c r="CK24" s="28">
        <v>2708</v>
      </c>
      <c r="CL24" s="29">
        <v>4325</v>
      </c>
      <c r="CM24" s="29">
        <v>6.5</v>
      </c>
      <c r="CN24" s="34">
        <v>38995</v>
      </c>
      <c r="CO24" s="34">
        <v>47005</v>
      </c>
      <c r="CP24" s="31">
        <v>167500</v>
      </c>
      <c r="CQ24" s="34">
        <v>85000</v>
      </c>
      <c r="CR24" s="32">
        <v>1350</v>
      </c>
      <c r="CS24" s="32" t="s">
        <v>32</v>
      </c>
      <c r="CT24" s="34"/>
      <c r="CU24" s="28" t="s">
        <v>32</v>
      </c>
      <c r="CV24" s="28">
        <v>500</v>
      </c>
      <c r="CW24" s="34">
        <v>5965</v>
      </c>
      <c r="CX24" s="34" t="s">
        <v>32</v>
      </c>
      <c r="CY24" s="32">
        <v>282423</v>
      </c>
      <c r="CZ24" s="32" t="s">
        <v>43</v>
      </c>
      <c r="DA24" s="29" t="s">
        <v>32</v>
      </c>
      <c r="DB24" s="28" t="s">
        <v>32</v>
      </c>
      <c r="DC24" s="26" t="s">
        <v>32</v>
      </c>
      <c r="DD24" s="34" t="s">
        <v>32</v>
      </c>
      <c r="DE24" s="34" t="s">
        <v>32</v>
      </c>
      <c r="DF24" s="34"/>
      <c r="DG24" s="33">
        <f t="shared" si="27"/>
        <v>628738</v>
      </c>
      <c r="DH24" s="24"/>
      <c r="DI24" s="25">
        <v>45891</v>
      </c>
      <c r="DJ24" s="26">
        <v>5913</v>
      </c>
      <c r="DK24" s="26">
        <v>373900</v>
      </c>
      <c r="DL24" s="28">
        <v>1704</v>
      </c>
      <c r="DM24" s="29">
        <v>3137</v>
      </c>
      <c r="DN24" s="29">
        <v>4.75</v>
      </c>
      <c r="DO24" s="27">
        <f t="shared" si="4"/>
        <v>163145</v>
      </c>
      <c r="DP24" s="34" t="s">
        <v>32</v>
      </c>
      <c r="DQ24" s="34"/>
      <c r="DR24" s="31">
        <v>109480</v>
      </c>
      <c r="DS24" s="34" t="s">
        <v>32</v>
      </c>
      <c r="DT24" s="32">
        <v>320</v>
      </c>
      <c r="DU24" s="32">
        <v>2100</v>
      </c>
      <c r="DV24" s="34">
        <v>50000</v>
      </c>
      <c r="DW24" s="28" t="s">
        <v>32</v>
      </c>
      <c r="DX24" s="28" t="s">
        <v>32</v>
      </c>
      <c r="DY24" s="34">
        <v>1245</v>
      </c>
      <c r="DZ24" s="34" t="s">
        <v>32</v>
      </c>
      <c r="EA24" s="32" t="s">
        <v>32</v>
      </c>
      <c r="EB24" s="32" t="s">
        <v>32</v>
      </c>
      <c r="EC24" s="29" t="s">
        <v>32</v>
      </c>
      <c r="ED24" s="28" t="s">
        <v>32</v>
      </c>
      <c r="EE24" s="26" t="s">
        <v>32</v>
      </c>
      <c r="EF24" s="34" t="s">
        <v>32</v>
      </c>
      <c r="EG24" s="34" t="s">
        <v>32</v>
      </c>
      <c r="EH24" s="34"/>
      <c r="EI24" s="33">
        <f t="shared" si="28"/>
        <v>163145</v>
      </c>
      <c r="EJ24" s="24"/>
      <c r="EK24" s="25">
        <v>45922</v>
      </c>
      <c r="EL24" s="28">
        <v>0</v>
      </c>
      <c r="EM24" s="28">
        <v>1632</v>
      </c>
      <c r="EN24" s="28">
        <v>4</v>
      </c>
      <c r="EO24" s="26">
        <v>0</v>
      </c>
      <c r="EP24" s="26">
        <v>0</v>
      </c>
      <c r="EQ24" s="27">
        <f t="shared" si="5"/>
        <v>48916</v>
      </c>
      <c r="ER24" s="34" t="s">
        <v>32</v>
      </c>
      <c r="ES24" s="34"/>
      <c r="ET24" s="31" t="s">
        <v>32</v>
      </c>
      <c r="EU24" s="34" t="s">
        <v>32</v>
      </c>
      <c r="EV24" s="30">
        <v>40116</v>
      </c>
      <c r="EW24" s="30" t="s">
        <v>32</v>
      </c>
      <c r="EX24" s="34"/>
      <c r="EY24" s="28" t="s">
        <v>32</v>
      </c>
      <c r="EZ24" s="28">
        <v>500</v>
      </c>
      <c r="FA24" s="34">
        <v>3700</v>
      </c>
      <c r="FB24" s="34" t="s">
        <v>32</v>
      </c>
      <c r="FC24" s="32" t="s">
        <v>32</v>
      </c>
      <c r="FD24" s="32" t="s">
        <v>32</v>
      </c>
      <c r="FE24" s="75" t="s">
        <v>32</v>
      </c>
      <c r="FF24" s="32" t="s">
        <v>32</v>
      </c>
      <c r="FG24" s="26">
        <v>1000</v>
      </c>
      <c r="FH24" s="34" t="s">
        <v>40</v>
      </c>
      <c r="FI24" s="34">
        <v>3600</v>
      </c>
      <c r="FJ24" s="34"/>
      <c r="FK24" s="33">
        <f t="shared" si="29"/>
        <v>48916</v>
      </c>
      <c r="FL24" s="24"/>
      <c r="FM24" s="25">
        <v>45952</v>
      </c>
      <c r="FN24" s="28" t="s">
        <v>32</v>
      </c>
      <c r="FO24" s="75" t="s">
        <v>32</v>
      </c>
      <c r="FP24" s="75" t="s">
        <v>32</v>
      </c>
      <c r="FQ24" s="26"/>
      <c r="FR24" s="26"/>
      <c r="FS24" s="32">
        <f>SUM(FT23:GK23)</f>
        <v>0</v>
      </c>
      <c r="FT24" s="34" t="s">
        <v>32</v>
      </c>
      <c r="FU24" s="34"/>
      <c r="FV24" s="26" t="s">
        <v>32</v>
      </c>
      <c r="FW24" s="34" t="s">
        <v>32</v>
      </c>
      <c r="FX24" s="32" t="s">
        <v>32</v>
      </c>
      <c r="FY24" s="32" t="s">
        <v>32</v>
      </c>
      <c r="FZ24" s="34"/>
      <c r="GA24" s="28" t="s">
        <v>32</v>
      </c>
      <c r="GB24" s="28" t="s">
        <v>32</v>
      </c>
      <c r="GC24" s="82" t="s">
        <v>32</v>
      </c>
      <c r="GD24" s="34" t="s">
        <v>32</v>
      </c>
      <c r="GE24" s="32" t="s">
        <v>32</v>
      </c>
      <c r="GF24" s="32" t="s">
        <v>32</v>
      </c>
      <c r="GG24" s="29" t="s">
        <v>32</v>
      </c>
      <c r="GH24" s="28" t="s">
        <v>32</v>
      </c>
      <c r="GI24" s="26" t="s">
        <v>32</v>
      </c>
      <c r="GJ24" s="34" t="s">
        <v>32</v>
      </c>
      <c r="GK24" s="32" t="s">
        <v>32</v>
      </c>
      <c r="GL24" s="34"/>
      <c r="GM24" s="33">
        <f t="shared" si="30"/>
        <v>0</v>
      </c>
      <c r="GN24" s="24"/>
      <c r="GO24" s="25">
        <v>45983</v>
      </c>
      <c r="GP24" s="28">
        <v>2896</v>
      </c>
      <c r="GQ24" s="75">
        <v>3070</v>
      </c>
      <c r="GR24" s="75">
        <v>7.25</v>
      </c>
      <c r="GS24" s="26">
        <v>0</v>
      </c>
      <c r="GT24" s="26">
        <v>0</v>
      </c>
      <c r="GU24" s="32">
        <f t="shared" si="6"/>
        <v>0</v>
      </c>
      <c r="GV24" s="34" t="s">
        <v>32</v>
      </c>
      <c r="GW24" s="28"/>
      <c r="GX24" s="26" t="s">
        <v>32</v>
      </c>
      <c r="GY24" s="34" t="s">
        <v>32</v>
      </c>
      <c r="GZ24" s="32" t="s">
        <v>32</v>
      </c>
      <c r="HA24" s="32" t="s">
        <v>32</v>
      </c>
      <c r="HB24" s="34"/>
      <c r="HC24" s="28" t="s">
        <v>32</v>
      </c>
      <c r="HD24" s="28" t="s">
        <v>32</v>
      </c>
      <c r="HE24" s="26" t="s">
        <v>32</v>
      </c>
      <c r="HF24" s="34" t="s">
        <v>32</v>
      </c>
      <c r="HG24" s="32" t="s">
        <v>32</v>
      </c>
      <c r="HH24" s="32" t="s">
        <v>32</v>
      </c>
      <c r="HI24" s="29" t="s">
        <v>32</v>
      </c>
      <c r="HJ24" s="32" t="s">
        <v>32</v>
      </c>
      <c r="HK24" s="26" t="s">
        <v>32</v>
      </c>
      <c r="HL24" s="26" t="s">
        <v>32</v>
      </c>
      <c r="HM24" s="82" t="s">
        <v>32</v>
      </c>
      <c r="HN24" s="82"/>
      <c r="HO24" s="33">
        <f t="shared" si="31"/>
        <v>0</v>
      </c>
      <c r="HP24" s="24"/>
      <c r="HQ24" s="25">
        <v>46013</v>
      </c>
      <c r="HR24" s="28">
        <v>2337</v>
      </c>
      <c r="HS24" s="75">
        <v>1331</v>
      </c>
      <c r="HT24" s="75">
        <v>7.5</v>
      </c>
      <c r="HU24" s="26">
        <v>0</v>
      </c>
      <c r="HV24" s="26">
        <v>0</v>
      </c>
      <c r="HW24" s="32">
        <f t="shared" si="7"/>
        <v>0</v>
      </c>
      <c r="HX24" s="30" t="s">
        <v>32</v>
      </c>
      <c r="HY24" s="28"/>
      <c r="HZ24" s="26" t="s">
        <v>32</v>
      </c>
      <c r="IA24" s="30" t="s">
        <v>32</v>
      </c>
      <c r="IB24" s="32" t="s">
        <v>32</v>
      </c>
      <c r="IC24" s="75" t="s">
        <v>32</v>
      </c>
      <c r="ID24" s="30"/>
      <c r="IE24" s="28" t="s">
        <v>32</v>
      </c>
      <c r="IF24" s="28" t="s">
        <v>32</v>
      </c>
      <c r="IG24" s="26" t="s">
        <v>32</v>
      </c>
      <c r="IH24" s="30" t="s">
        <v>32</v>
      </c>
      <c r="II24" s="28" t="s">
        <v>32</v>
      </c>
      <c r="IJ24" s="28" t="s">
        <v>32</v>
      </c>
      <c r="IK24" s="75" t="s">
        <v>32</v>
      </c>
      <c r="IL24" s="32" t="s">
        <v>32</v>
      </c>
      <c r="IM24" s="26" t="s">
        <v>32</v>
      </c>
      <c r="IN24" s="26" t="s">
        <v>32</v>
      </c>
      <c r="IO24" s="82" t="s">
        <v>32</v>
      </c>
      <c r="IP24" s="82"/>
      <c r="IQ24" s="33">
        <f t="shared" si="32"/>
        <v>0</v>
      </c>
      <c r="IR24" s="24"/>
      <c r="IS24" s="25">
        <v>46044</v>
      </c>
      <c r="IT24" s="28">
        <v>2080</v>
      </c>
      <c r="IU24" s="75">
        <v>2198</v>
      </c>
      <c r="IV24" s="75">
        <v>10.5</v>
      </c>
      <c r="IW24" s="26">
        <v>0</v>
      </c>
      <c r="IX24" s="26">
        <v>0</v>
      </c>
      <c r="IY24" s="32">
        <f t="shared" si="8"/>
        <v>0</v>
      </c>
      <c r="IZ24" s="34" t="s">
        <v>32</v>
      </c>
      <c r="JA24" s="34"/>
      <c r="JB24" s="26" t="s">
        <v>32</v>
      </c>
      <c r="JC24" s="34" t="s">
        <v>32</v>
      </c>
      <c r="JD24" s="32" t="s">
        <v>32</v>
      </c>
      <c r="JE24" s="32" t="s">
        <v>32</v>
      </c>
      <c r="JF24" s="34"/>
      <c r="JG24" s="28" t="s">
        <v>32</v>
      </c>
      <c r="JH24" s="28" t="s">
        <v>32</v>
      </c>
      <c r="JI24" s="82" t="s">
        <v>32</v>
      </c>
      <c r="JJ24" s="34" t="s">
        <v>32</v>
      </c>
      <c r="JK24" s="32" t="s">
        <v>32</v>
      </c>
      <c r="JL24" s="32" t="s">
        <v>32</v>
      </c>
      <c r="JM24" s="29" t="s">
        <v>32</v>
      </c>
      <c r="JN24" s="28" t="s">
        <v>32</v>
      </c>
      <c r="JO24" s="26" t="s">
        <v>32</v>
      </c>
      <c r="JP24" s="34" t="s">
        <v>32</v>
      </c>
      <c r="JQ24" s="32" t="s">
        <v>32</v>
      </c>
      <c r="JR24" s="34"/>
      <c r="JS24" s="33">
        <f t="shared" si="33"/>
        <v>0</v>
      </c>
      <c r="JT24" s="24"/>
      <c r="JU24" s="25">
        <v>46075</v>
      </c>
      <c r="JV24" s="28">
        <v>2849</v>
      </c>
      <c r="JW24" s="75">
        <v>1519</v>
      </c>
      <c r="JX24" s="75">
        <v>8.5</v>
      </c>
      <c r="JY24" s="26">
        <v>0</v>
      </c>
      <c r="JZ24" s="26">
        <v>0</v>
      </c>
      <c r="KA24" s="32">
        <f t="shared" si="9"/>
        <v>0</v>
      </c>
      <c r="KB24" s="34" t="s">
        <v>32</v>
      </c>
      <c r="KC24" s="34"/>
      <c r="KD24" s="26" t="s">
        <v>32</v>
      </c>
      <c r="KE24" s="34" t="s">
        <v>32</v>
      </c>
      <c r="KF24" s="32" t="s">
        <v>32</v>
      </c>
      <c r="KG24" s="32" t="s">
        <v>32</v>
      </c>
      <c r="KH24" s="34"/>
      <c r="KI24" s="28" t="s">
        <v>32</v>
      </c>
      <c r="KJ24" s="28" t="s">
        <v>32</v>
      </c>
      <c r="KK24" s="82" t="s">
        <v>32</v>
      </c>
      <c r="KL24" s="34" t="s">
        <v>32</v>
      </c>
      <c r="KM24" s="32" t="s">
        <v>32</v>
      </c>
      <c r="KN24" s="32" t="s">
        <v>32</v>
      </c>
      <c r="KO24" s="29" t="s">
        <v>32</v>
      </c>
      <c r="KP24" s="28" t="s">
        <v>32</v>
      </c>
      <c r="KQ24" s="26" t="s">
        <v>32</v>
      </c>
      <c r="KR24" s="34" t="s">
        <v>32</v>
      </c>
      <c r="KS24" s="32" t="s">
        <v>32</v>
      </c>
      <c r="KT24" s="34"/>
      <c r="KU24" s="33">
        <f t="shared" si="34"/>
        <v>0</v>
      </c>
      <c r="KV24" s="24"/>
      <c r="KW24" s="25">
        <v>46103</v>
      </c>
      <c r="KX24" s="28">
        <v>3681</v>
      </c>
      <c r="KY24" s="75">
        <v>6781</v>
      </c>
      <c r="KZ24" s="75">
        <v>12</v>
      </c>
      <c r="LA24" s="26">
        <v>0</v>
      </c>
      <c r="LB24" s="26">
        <v>0</v>
      </c>
      <c r="LC24" s="32">
        <f t="shared" si="10"/>
        <v>0</v>
      </c>
      <c r="LD24" s="34" t="s">
        <v>32</v>
      </c>
      <c r="LE24" s="34"/>
      <c r="LF24" s="26" t="s">
        <v>32</v>
      </c>
      <c r="LG24" s="34" t="s">
        <v>32</v>
      </c>
      <c r="LH24" s="32" t="s">
        <v>32</v>
      </c>
      <c r="LI24" s="32" t="s">
        <v>32</v>
      </c>
      <c r="LJ24" s="34"/>
      <c r="LK24" s="28" t="s">
        <v>32</v>
      </c>
      <c r="LL24" s="28" t="s">
        <v>32</v>
      </c>
      <c r="LM24" s="82" t="s">
        <v>32</v>
      </c>
      <c r="LN24" s="34" t="s">
        <v>32</v>
      </c>
      <c r="LO24" s="32" t="s">
        <v>32</v>
      </c>
      <c r="LP24" s="32" t="s">
        <v>32</v>
      </c>
      <c r="LQ24" s="29" t="s">
        <v>32</v>
      </c>
      <c r="LR24" s="28" t="s">
        <v>32</v>
      </c>
      <c r="LS24" s="26" t="s">
        <v>32</v>
      </c>
      <c r="LT24" s="34" t="s">
        <v>32</v>
      </c>
      <c r="LU24" s="32" t="s">
        <v>32</v>
      </c>
      <c r="LV24" s="34"/>
      <c r="LW24" s="33">
        <f t="shared" si="35"/>
        <v>0</v>
      </c>
      <c r="LX24" s="24"/>
    </row>
    <row r="25" spans="1:336" x14ac:dyDescent="0.3">
      <c r="A25" s="25">
        <v>45770</v>
      </c>
      <c r="B25" s="26">
        <v>1918</v>
      </c>
      <c r="C25" s="26">
        <v>97500</v>
      </c>
      <c r="D25" s="27">
        <f t="shared" si="0"/>
        <v>614760</v>
      </c>
      <c r="E25" s="28">
        <v>1272</v>
      </c>
      <c r="F25" s="29">
        <v>4494</v>
      </c>
      <c r="G25" s="29">
        <v>10</v>
      </c>
      <c r="H25" s="34">
        <v>48426</v>
      </c>
      <c r="I25" s="34">
        <v>52074</v>
      </c>
      <c r="J25" s="31">
        <v>303500</v>
      </c>
      <c r="K25" s="34">
        <v>100000</v>
      </c>
      <c r="L25" s="32" t="s">
        <v>32</v>
      </c>
      <c r="M25" s="32">
        <v>107700</v>
      </c>
      <c r="N25" s="34"/>
      <c r="O25" s="28"/>
      <c r="P25" s="28">
        <v>200</v>
      </c>
      <c r="Q25" s="34">
        <v>2860</v>
      </c>
      <c r="R25" s="34" t="s">
        <v>32</v>
      </c>
      <c r="S25" s="32"/>
      <c r="T25" s="32" t="s">
        <v>32</v>
      </c>
      <c r="U25" s="29" t="s">
        <v>32</v>
      </c>
      <c r="V25" s="28" t="s">
        <v>32</v>
      </c>
      <c r="W25" s="26" t="s">
        <v>32</v>
      </c>
      <c r="X25" s="34" t="s">
        <v>32</v>
      </c>
      <c r="Y25" s="34" t="s">
        <v>32</v>
      </c>
      <c r="Z25" s="34" t="s">
        <v>32</v>
      </c>
      <c r="AA25" s="33">
        <f t="shared" si="24"/>
        <v>614760</v>
      </c>
      <c r="AB25" s="24"/>
      <c r="AC25" s="25">
        <v>45800</v>
      </c>
      <c r="AD25" s="26">
        <v>9418</v>
      </c>
      <c r="AE25" s="26">
        <v>708682</v>
      </c>
      <c r="AF25" s="27">
        <f t="shared" si="1"/>
        <v>840745</v>
      </c>
      <c r="AG25" s="28">
        <v>3003</v>
      </c>
      <c r="AH25" s="29">
        <v>4624</v>
      </c>
      <c r="AI25" s="29">
        <v>14.5</v>
      </c>
      <c r="AJ25" s="34">
        <v>14710</v>
      </c>
      <c r="AK25" s="34">
        <v>17790</v>
      </c>
      <c r="AL25" s="31">
        <v>60214</v>
      </c>
      <c r="AM25" s="34" t="s">
        <v>32</v>
      </c>
      <c r="AN25" s="32" t="s">
        <v>32</v>
      </c>
      <c r="AO25" s="32"/>
      <c r="AP25" s="34">
        <v>40880</v>
      </c>
      <c r="AQ25" s="28"/>
      <c r="AR25" s="28">
        <v>500</v>
      </c>
      <c r="AS25" s="34">
        <v>3165</v>
      </c>
      <c r="AT25" s="34" t="s">
        <v>32</v>
      </c>
      <c r="AU25" s="32">
        <v>699386</v>
      </c>
      <c r="AV25" s="32" t="s">
        <v>125</v>
      </c>
      <c r="AW25" s="29" t="s">
        <v>32</v>
      </c>
      <c r="AX25" s="28" t="s">
        <v>32</v>
      </c>
      <c r="AY25" s="26" t="s">
        <v>32</v>
      </c>
      <c r="AZ25" s="34" t="s">
        <v>32</v>
      </c>
      <c r="BA25" s="34">
        <v>4100</v>
      </c>
      <c r="BB25" s="34" t="s">
        <v>126</v>
      </c>
      <c r="BC25" s="33">
        <f t="shared" si="25"/>
        <v>840745</v>
      </c>
      <c r="BD25" s="24"/>
      <c r="BE25" s="25">
        <v>45831</v>
      </c>
      <c r="BF25" s="26">
        <v>0</v>
      </c>
      <c r="BG25" s="26">
        <v>0</v>
      </c>
      <c r="BH25" s="27">
        <f t="shared" si="2"/>
        <v>0</v>
      </c>
      <c r="BI25" s="28">
        <v>3045</v>
      </c>
      <c r="BJ25" s="29">
        <v>0</v>
      </c>
      <c r="BK25" s="29">
        <v>5.75</v>
      </c>
      <c r="BL25" s="34" t="s">
        <v>32</v>
      </c>
      <c r="BM25" s="34"/>
      <c r="BN25" s="31" t="s">
        <v>32</v>
      </c>
      <c r="BO25" s="34" t="s">
        <v>32</v>
      </c>
      <c r="BP25" s="32" t="s">
        <v>32</v>
      </c>
      <c r="BQ25" s="32"/>
      <c r="BR25" s="34"/>
      <c r="BS25" s="28"/>
      <c r="BT25" s="28" t="s">
        <v>32</v>
      </c>
      <c r="BU25" s="34" t="s">
        <v>32</v>
      </c>
      <c r="BV25" s="34" t="s">
        <v>32</v>
      </c>
      <c r="BW25" s="32"/>
      <c r="BX25" s="32" t="s">
        <v>32</v>
      </c>
      <c r="BY25" s="29" t="s">
        <v>32</v>
      </c>
      <c r="BZ25" s="28" t="s">
        <v>32</v>
      </c>
      <c r="CA25" s="26" t="s">
        <v>32</v>
      </c>
      <c r="CB25" s="34" t="s">
        <v>32</v>
      </c>
      <c r="CC25" s="34" t="s">
        <v>32</v>
      </c>
      <c r="CD25" s="34" t="s">
        <v>32</v>
      </c>
      <c r="CE25" s="33">
        <f t="shared" si="26"/>
        <v>0</v>
      </c>
      <c r="CF25" s="24"/>
      <c r="CG25" s="25">
        <v>45861</v>
      </c>
      <c r="CH25" s="26">
        <v>6707</v>
      </c>
      <c r="CI25" s="26">
        <v>166782</v>
      </c>
      <c r="CJ25" s="27">
        <f t="shared" si="3"/>
        <v>122325</v>
      </c>
      <c r="CK25" s="28">
        <v>2526</v>
      </c>
      <c r="CL25" s="29">
        <v>1694</v>
      </c>
      <c r="CM25" s="29">
        <v>10</v>
      </c>
      <c r="CN25" s="34" t="s">
        <v>32</v>
      </c>
      <c r="CO25" s="34"/>
      <c r="CP25" s="31">
        <v>40000</v>
      </c>
      <c r="CQ25" s="34">
        <v>37500</v>
      </c>
      <c r="CR25" s="32" t="s">
        <v>32</v>
      </c>
      <c r="CS25" s="32"/>
      <c r="CT25" s="34">
        <v>44000</v>
      </c>
      <c r="CU25" s="28"/>
      <c r="CV25" s="28" t="s">
        <v>32</v>
      </c>
      <c r="CW25" s="34">
        <v>825</v>
      </c>
      <c r="CX25" s="34" t="s">
        <v>32</v>
      </c>
      <c r="CY25" s="32"/>
      <c r="CZ25" s="32" t="s">
        <v>32</v>
      </c>
      <c r="DA25" s="29" t="s">
        <v>32</v>
      </c>
      <c r="DB25" s="28" t="s">
        <v>32</v>
      </c>
      <c r="DC25" s="26" t="s">
        <v>32</v>
      </c>
      <c r="DD25" s="34" t="s">
        <v>32</v>
      </c>
      <c r="DE25" s="34" t="s">
        <v>32</v>
      </c>
      <c r="DF25" s="34" t="s">
        <v>32</v>
      </c>
      <c r="DG25" s="33">
        <f t="shared" si="27"/>
        <v>122325</v>
      </c>
      <c r="DH25" s="24"/>
      <c r="DI25" s="25">
        <v>45892</v>
      </c>
      <c r="DJ25" s="26">
        <v>0</v>
      </c>
      <c r="DK25" s="26">
        <v>0</v>
      </c>
      <c r="DL25" s="28">
        <v>0</v>
      </c>
      <c r="DM25" s="29">
        <v>0</v>
      </c>
      <c r="DN25" s="29">
        <v>0</v>
      </c>
      <c r="DO25" s="27">
        <f t="shared" si="4"/>
        <v>0</v>
      </c>
      <c r="DP25" s="34" t="s">
        <v>32</v>
      </c>
      <c r="DQ25" s="34"/>
      <c r="DR25" s="31" t="s">
        <v>32</v>
      </c>
      <c r="DS25" s="34" t="s">
        <v>32</v>
      </c>
      <c r="DT25" s="32" t="s">
        <v>32</v>
      </c>
      <c r="DU25" s="32"/>
      <c r="DV25" s="34"/>
      <c r="DW25" s="28"/>
      <c r="DX25" s="28" t="s">
        <v>32</v>
      </c>
      <c r="DY25" s="34" t="s">
        <v>32</v>
      </c>
      <c r="DZ25" s="34" t="s">
        <v>32</v>
      </c>
      <c r="EA25" s="32"/>
      <c r="EB25" s="32" t="s">
        <v>32</v>
      </c>
      <c r="EC25" s="29" t="s">
        <v>32</v>
      </c>
      <c r="ED25" s="28" t="s">
        <v>32</v>
      </c>
      <c r="EE25" s="26" t="s">
        <v>32</v>
      </c>
      <c r="EF25" s="34" t="s">
        <v>32</v>
      </c>
      <c r="EG25" s="34" t="s">
        <v>32</v>
      </c>
      <c r="EH25" s="34" t="s">
        <v>32</v>
      </c>
      <c r="EI25" s="33">
        <f t="shared" si="28"/>
        <v>0</v>
      </c>
      <c r="EJ25" s="24"/>
      <c r="EK25" s="25">
        <v>45923</v>
      </c>
      <c r="EL25" s="28">
        <v>0</v>
      </c>
      <c r="EM25" s="28">
        <v>6373</v>
      </c>
      <c r="EN25" s="28">
        <v>9.5</v>
      </c>
      <c r="EO25" s="26">
        <v>0</v>
      </c>
      <c r="EP25" s="26">
        <v>0</v>
      </c>
      <c r="EQ25" s="27">
        <f t="shared" si="5"/>
        <v>0</v>
      </c>
      <c r="ER25" s="34" t="s">
        <v>32</v>
      </c>
      <c r="ES25" s="34"/>
      <c r="ET25" s="31" t="s">
        <v>32</v>
      </c>
      <c r="EU25" s="34" t="s">
        <v>32</v>
      </c>
      <c r="EV25" s="30" t="s">
        <v>32</v>
      </c>
      <c r="EW25" s="30"/>
      <c r="EX25" s="34"/>
      <c r="EY25" s="28"/>
      <c r="EZ25" s="28" t="s">
        <v>32</v>
      </c>
      <c r="FA25" s="34" t="s">
        <v>32</v>
      </c>
      <c r="FB25" s="34" t="s">
        <v>32</v>
      </c>
      <c r="FC25" s="32"/>
      <c r="FD25" s="32" t="s">
        <v>32</v>
      </c>
      <c r="FE25" s="75" t="s">
        <v>32</v>
      </c>
      <c r="FF25" s="32" t="s">
        <v>32</v>
      </c>
      <c r="FG25" s="26" t="s">
        <v>32</v>
      </c>
      <c r="FH25" s="34" t="s">
        <v>32</v>
      </c>
      <c r="FI25" s="34" t="s">
        <v>32</v>
      </c>
      <c r="FJ25" s="34" t="s">
        <v>32</v>
      </c>
      <c r="FK25" s="33">
        <f t="shared" si="29"/>
        <v>0</v>
      </c>
      <c r="FL25" s="24"/>
      <c r="FM25" s="25">
        <v>45953</v>
      </c>
      <c r="FN25" s="28" t="s">
        <v>32</v>
      </c>
      <c r="FO25" s="75" t="s">
        <v>32</v>
      </c>
      <c r="FP25" s="75" t="s">
        <v>32</v>
      </c>
      <c r="FQ25" s="26"/>
      <c r="FR25" s="26"/>
      <c r="FS25" s="32">
        <f>SUM(FT24:GK24)</f>
        <v>0</v>
      </c>
      <c r="FT25" s="34" t="s">
        <v>32</v>
      </c>
      <c r="FU25" s="34"/>
      <c r="FV25" s="26" t="s">
        <v>32</v>
      </c>
      <c r="FW25" s="34" t="s">
        <v>32</v>
      </c>
      <c r="FX25" s="32" t="s">
        <v>32</v>
      </c>
      <c r="FY25" s="32"/>
      <c r="FZ25" s="34"/>
      <c r="GA25" s="28"/>
      <c r="GB25" s="28" t="s">
        <v>32</v>
      </c>
      <c r="GC25" s="82" t="s">
        <v>32</v>
      </c>
      <c r="GD25" s="34" t="s">
        <v>32</v>
      </c>
      <c r="GE25" s="32"/>
      <c r="GF25" s="32" t="s">
        <v>32</v>
      </c>
      <c r="GG25" s="29" t="s">
        <v>32</v>
      </c>
      <c r="GH25" s="28" t="s">
        <v>32</v>
      </c>
      <c r="GI25" s="26" t="s">
        <v>32</v>
      </c>
      <c r="GJ25" s="34" t="s">
        <v>32</v>
      </c>
      <c r="GK25" s="32" t="s">
        <v>32</v>
      </c>
      <c r="GL25" s="34" t="s">
        <v>32</v>
      </c>
      <c r="GM25" s="33">
        <f t="shared" si="30"/>
        <v>0</v>
      </c>
      <c r="GN25" s="24"/>
      <c r="GO25" s="25">
        <v>45984</v>
      </c>
      <c r="GP25" s="28">
        <v>3186</v>
      </c>
      <c r="GQ25" s="75">
        <v>1567</v>
      </c>
      <c r="GR25" s="75">
        <v>10.25</v>
      </c>
      <c r="GS25" s="26">
        <v>18480</v>
      </c>
      <c r="GT25" s="26">
        <v>1072118</v>
      </c>
      <c r="GU25" s="32">
        <f t="shared" si="6"/>
        <v>211420</v>
      </c>
      <c r="GV25" s="34">
        <v>67862</v>
      </c>
      <c r="GW25" s="28">
        <v>51658</v>
      </c>
      <c r="GX25" s="26">
        <v>90280</v>
      </c>
      <c r="GY25" s="34" t="s">
        <v>32</v>
      </c>
      <c r="GZ25" s="32" t="s">
        <v>32</v>
      </c>
      <c r="HA25" s="32"/>
      <c r="HB25" s="34"/>
      <c r="HC25" s="28"/>
      <c r="HD25" s="28" t="s">
        <v>32</v>
      </c>
      <c r="HE25" s="26">
        <v>1620</v>
      </c>
      <c r="HF25" s="34" t="s">
        <v>32</v>
      </c>
      <c r="HG25" s="32"/>
      <c r="HH25" s="32" t="s">
        <v>32</v>
      </c>
      <c r="HI25" s="29" t="s">
        <v>32</v>
      </c>
      <c r="HJ25" s="32" t="s">
        <v>32</v>
      </c>
      <c r="HK25" s="26" t="s">
        <v>32</v>
      </c>
      <c r="HL25" s="26" t="s">
        <v>32</v>
      </c>
      <c r="HM25" s="82" t="s">
        <v>32</v>
      </c>
      <c r="HN25" s="82" t="s">
        <v>32</v>
      </c>
      <c r="HO25" s="33">
        <f t="shared" si="31"/>
        <v>211420</v>
      </c>
      <c r="HP25" s="24"/>
      <c r="HQ25" s="25">
        <v>46014</v>
      </c>
      <c r="HR25" s="28">
        <v>2691</v>
      </c>
      <c r="HS25" s="75">
        <v>0</v>
      </c>
      <c r="HT25" s="75">
        <v>9</v>
      </c>
      <c r="HU25" s="26">
        <v>2087</v>
      </c>
      <c r="HV25" s="26">
        <v>107647</v>
      </c>
      <c r="HW25" s="32">
        <f t="shared" si="7"/>
        <v>350730</v>
      </c>
      <c r="HX25" s="30">
        <v>49850</v>
      </c>
      <c r="HY25" s="28">
        <v>36950</v>
      </c>
      <c r="HZ25" s="26">
        <v>259600</v>
      </c>
      <c r="IA25" s="30" t="s">
        <v>32</v>
      </c>
      <c r="IB25" s="32" t="s">
        <v>32</v>
      </c>
      <c r="IC25" s="75"/>
      <c r="ID25" s="30"/>
      <c r="IE25" s="28"/>
      <c r="IF25" s="28" t="s">
        <v>32</v>
      </c>
      <c r="IG25" s="26">
        <v>2580</v>
      </c>
      <c r="IH25" s="30" t="s">
        <v>32</v>
      </c>
      <c r="II25" s="28">
        <v>250</v>
      </c>
      <c r="IJ25" s="28" t="s">
        <v>51</v>
      </c>
      <c r="IK25" s="75">
        <v>1500</v>
      </c>
      <c r="IL25" s="32" t="s">
        <v>32</v>
      </c>
      <c r="IM25" s="26" t="s">
        <v>32</v>
      </c>
      <c r="IN25" s="26" t="s">
        <v>32</v>
      </c>
      <c r="IO25" s="82" t="s">
        <v>32</v>
      </c>
      <c r="IP25" s="82" t="s">
        <v>32</v>
      </c>
      <c r="IQ25" s="33">
        <f t="shared" si="32"/>
        <v>350730</v>
      </c>
      <c r="IR25" s="24"/>
      <c r="IS25" s="25">
        <v>46045</v>
      </c>
      <c r="IT25" s="28">
        <v>2895</v>
      </c>
      <c r="IU25" s="75">
        <v>0</v>
      </c>
      <c r="IV25" s="75">
        <v>5.5</v>
      </c>
      <c r="IW25" s="26">
        <v>3334</v>
      </c>
      <c r="IX25" s="26">
        <v>178080</v>
      </c>
      <c r="IY25" s="32">
        <f t="shared" si="8"/>
        <v>196058</v>
      </c>
      <c r="IZ25" s="34">
        <v>89193</v>
      </c>
      <c r="JA25" s="34">
        <v>34507</v>
      </c>
      <c r="JB25" s="26">
        <v>71300</v>
      </c>
      <c r="JC25" s="34" t="s">
        <v>32</v>
      </c>
      <c r="JD25" s="32" t="s">
        <v>32</v>
      </c>
      <c r="JE25" s="32"/>
      <c r="JF25" s="34"/>
      <c r="JG25" s="28"/>
      <c r="JH25" s="28" t="s">
        <v>32</v>
      </c>
      <c r="JI25" s="82">
        <v>1058</v>
      </c>
      <c r="JJ25" s="34" t="s">
        <v>32</v>
      </c>
      <c r="JK25" s="32"/>
      <c r="JL25" s="32" t="s">
        <v>32</v>
      </c>
      <c r="JM25" s="29" t="s">
        <v>32</v>
      </c>
      <c r="JN25" s="28" t="s">
        <v>32</v>
      </c>
      <c r="JO25" s="26" t="s">
        <v>32</v>
      </c>
      <c r="JP25" s="34" t="s">
        <v>32</v>
      </c>
      <c r="JQ25" s="32" t="s">
        <v>32</v>
      </c>
      <c r="JR25" s="34" t="s">
        <v>32</v>
      </c>
      <c r="JS25" s="33">
        <f t="shared" si="33"/>
        <v>196058</v>
      </c>
      <c r="JT25" s="24"/>
      <c r="JU25" s="25">
        <v>46076</v>
      </c>
      <c r="JV25" s="28">
        <v>3599</v>
      </c>
      <c r="JW25" s="75">
        <v>0</v>
      </c>
      <c r="JX25" s="75">
        <v>6.5</v>
      </c>
      <c r="JY25" s="26">
        <v>7732</v>
      </c>
      <c r="JZ25" s="26">
        <v>352749</v>
      </c>
      <c r="KA25" s="32">
        <f t="shared" si="9"/>
        <v>243947</v>
      </c>
      <c r="KB25" s="34">
        <v>62736</v>
      </c>
      <c r="KC25" s="34">
        <v>72564</v>
      </c>
      <c r="KD25" s="26" t="s">
        <v>32</v>
      </c>
      <c r="KE25" s="34" t="s">
        <v>32</v>
      </c>
      <c r="KF25" s="32" t="s">
        <v>32</v>
      </c>
      <c r="KG25" s="32"/>
      <c r="KH25" s="34">
        <v>100000</v>
      </c>
      <c r="KI25" s="28"/>
      <c r="KJ25" s="28" t="s">
        <v>32</v>
      </c>
      <c r="KK25" s="82">
        <v>4155</v>
      </c>
      <c r="KL25" s="34" t="s">
        <v>32</v>
      </c>
      <c r="KM25" s="32">
        <v>3342</v>
      </c>
      <c r="KN25" s="32" t="s">
        <v>174</v>
      </c>
      <c r="KO25" s="29" t="s">
        <v>32</v>
      </c>
      <c r="KP25" s="28">
        <v>1150</v>
      </c>
      <c r="KQ25" s="26" t="s">
        <v>32</v>
      </c>
      <c r="KR25" s="34" t="s">
        <v>32</v>
      </c>
      <c r="KS25" s="32" t="s">
        <v>32</v>
      </c>
      <c r="KT25" s="34" t="s">
        <v>32</v>
      </c>
      <c r="KU25" s="33">
        <f t="shared" si="34"/>
        <v>243947</v>
      </c>
      <c r="KV25" s="24"/>
      <c r="KW25" s="25">
        <v>46104</v>
      </c>
      <c r="KX25" s="28">
        <v>3674</v>
      </c>
      <c r="KY25" s="75">
        <v>556</v>
      </c>
      <c r="KZ25" s="75">
        <v>11</v>
      </c>
      <c r="LA25" s="26">
        <v>794</v>
      </c>
      <c r="LB25" s="26">
        <v>41950</v>
      </c>
      <c r="LC25" s="32">
        <f t="shared" si="10"/>
        <v>59500</v>
      </c>
      <c r="LD25" s="34" t="s">
        <v>32</v>
      </c>
      <c r="LE25" s="34"/>
      <c r="LF25" s="26" t="s">
        <v>32</v>
      </c>
      <c r="LG25" s="34">
        <v>50000</v>
      </c>
      <c r="LH25" s="32">
        <v>8400</v>
      </c>
      <c r="LI25" s="32"/>
      <c r="LJ25" s="34"/>
      <c r="LK25" s="28"/>
      <c r="LL25" s="28">
        <v>500</v>
      </c>
      <c r="LM25" s="82">
        <v>600</v>
      </c>
      <c r="LN25" s="34" t="s">
        <v>32</v>
      </c>
      <c r="LO25" s="32"/>
      <c r="LP25" s="32" t="s">
        <v>32</v>
      </c>
      <c r="LQ25" s="29" t="s">
        <v>32</v>
      </c>
      <c r="LR25" s="28" t="s">
        <v>32</v>
      </c>
      <c r="LS25" s="26" t="s">
        <v>32</v>
      </c>
      <c r="LT25" s="34" t="s">
        <v>32</v>
      </c>
      <c r="LU25" s="32" t="s">
        <v>32</v>
      </c>
      <c r="LV25" s="34" t="s">
        <v>32</v>
      </c>
      <c r="LW25" s="33">
        <f t="shared" si="35"/>
        <v>59500</v>
      </c>
      <c r="LX25" s="24"/>
    </row>
    <row r="26" spans="1:336" x14ac:dyDescent="0.3">
      <c r="A26" s="25">
        <v>45771</v>
      </c>
      <c r="B26" s="26">
        <v>0</v>
      </c>
      <c r="C26" s="26">
        <v>0</v>
      </c>
      <c r="D26" s="27">
        <f t="shared" si="0"/>
        <v>0</v>
      </c>
      <c r="E26" s="28">
        <v>2297</v>
      </c>
      <c r="F26" s="29">
        <v>4727</v>
      </c>
      <c r="G26" s="29">
        <v>11.5</v>
      </c>
      <c r="H26" s="34" t="s">
        <v>32</v>
      </c>
      <c r="I26" s="34"/>
      <c r="J26" s="31" t="s">
        <v>32</v>
      </c>
      <c r="K26" s="34" t="s">
        <v>32</v>
      </c>
      <c r="L26" s="32" t="s">
        <v>32</v>
      </c>
      <c r="M26" s="32"/>
      <c r="N26" s="34" t="s">
        <v>32</v>
      </c>
      <c r="O26" s="28"/>
      <c r="P26" s="28" t="s">
        <v>32</v>
      </c>
      <c r="Q26" s="34" t="s">
        <v>32</v>
      </c>
      <c r="R26" s="34" t="s">
        <v>32</v>
      </c>
      <c r="S26" s="32" t="s">
        <v>32</v>
      </c>
      <c r="T26" s="32" t="s">
        <v>32</v>
      </c>
      <c r="U26" s="29" t="s">
        <v>32</v>
      </c>
      <c r="V26" s="28" t="s">
        <v>32</v>
      </c>
      <c r="W26" s="26" t="s">
        <v>32</v>
      </c>
      <c r="X26" s="34" t="s">
        <v>32</v>
      </c>
      <c r="Y26" s="34" t="s">
        <v>32</v>
      </c>
      <c r="Z26" s="34"/>
      <c r="AA26" s="33">
        <f t="shared" si="24"/>
        <v>0</v>
      </c>
      <c r="AB26" s="24"/>
      <c r="AC26" s="25">
        <v>45801</v>
      </c>
      <c r="AD26" s="26">
        <v>16929</v>
      </c>
      <c r="AE26" s="26">
        <v>741690</v>
      </c>
      <c r="AF26" s="27">
        <f t="shared" si="1"/>
        <v>2750</v>
      </c>
      <c r="AG26" s="28">
        <v>3419</v>
      </c>
      <c r="AH26" s="29">
        <v>5077</v>
      </c>
      <c r="AI26" s="29">
        <v>14.25</v>
      </c>
      <c r="AJ26" s="34" t="s">
        <v>32</v>
      </c>
      <c r="AK26" s="34"/>
      <c r="AL26" s="31" t="s">
        <v>32</v>
      </c>
      <c r="AM26" s="34" t="s">
        <v>32</v>
      </c>
      <c r="AN26" s="32">
        <v>2000</v>
      </c>
      <c r="AO26" s="32" t="s">
        <v>32</v>
      </c>
      <c r="AP26" s="34" t="s">
        <v>32</v>
      </c>
      <c r="AQ26" s="28"/>
      <c r="AR26" s="28" t="s">
        <v>32</v>
      </c>
      <c r="AS26" s="34">
        <v>750</v>
      </c>
      <c r="AT26" s="34" t="s">
        <v>32</v>
      </c>
      <c r="AU26" s="32" t="s">
        <v>32</v>
      </c>
      <c r="AV26" s="32" t="s">
        <v>32</v>
      </c>
      <c r="AW26" s="29" t="s">
        <v>32</v>
      </c>
      <c r="AX26" s="28" t="s">
        <v>32</v>
      </c>
      <c r="AY26" s="26" t="s">
        <v>32</v>
      </c>
      <c r="AZ26" s="34" t="s">
        <v>32</v>
      </c>
      <c r="BA26" s="34" t="s">
        <v>32</v>
      </c>
      <c r="BB26" s="34"/>
      <c r="BC26" s="33">
        <f t="shared" si="25"/>
        <v>2750</v>
      </c>
      <c r="BD26" s="24"/>
      <c r="BE26" s="25">
        <v>45832</v>
      </c>
      <c r="BF26" s="26">
        <v>7761</v>
      </c>
      <c r="BG26" s="26">
        <v>364041</v>
      </c>
      <c r="BH26" s="27">
        <f t="shared" si="2"/>
        <v>929270</v>
      </c>
      <c r="BI26" s="28">
        <v>2019</v>
      </c>
      <c r="BJ26" s="29">
        <v>696</v>
      </c>
      <c r="BK26" s="29">
        <v>7.75</v>
      </c>
      <c r="BL26" s="34">
        <v>38623</v>
      </c>
      <c r="BM26" s="34">
        <v>27894</v>
      </c>
      <c r="BN26" s="31">
        <v>51500</v>
      </c>
      <c r="BO26" s="34">
        <v>215000</v>
      </c>
      <c r="BP26" s="32">
        <v>200</v>
      </c>
      <c r="BQ26" s="32">
        <v>50000</v>
      </c>
      <c r="BR26" s="34">
        <v>70000</v>
      </c>
      <c r="BS26" s="28"/>
      <c r="BT26" s="28">
        <v>500</v>
      </c>
      <c r="BU26" s="34">
        <v>1300</v>
      </c>
      <c r="BV26" s="34" t="s">
        <v>32</v>
      </c>
      <c r="BW26" s="32">
        <v>473253</v>
      </c>
      <c r="BX26" s="32" t="s">
        <v>43</v>
      </c>
      <c r="BY26" s="29" t="s">
        <v>32</v>
      </c>
      <c r="BZ26" s="28" t="s">
        <v>32</v>
      </c>
      <c r="CA26" s="26">
        <v>1000</v>
      </c>
      <c r="CB26" s="34" t="s">
        <v>40</v>
      </c>
      <c r="CC26" s="34" t="s">
        <v>32</v>
      </c>
      <c r="CD26" s="34"/>
      <c r="CE26" s="33">
        <f t="shared" si="26"/>
        <v>929270</v>
      </c>
      <c r="CF26" s="24"/>
      <c r="CG26" s="25">
        <v>45862</v>
      </c>
      <c r="CH26" s="26">
        <v>0</v>
      </c>
      <c r="CI26" s="26">
        <v>0</v>
      </c>
      <c r="CJ26" s="27">
        <f t="shared" si="3"/>
        <v>0</v>
      </c>
      <c r="CK26" s="28">
        <v>0</v>
      </c>
      <c r="CL26" s="29">
        <v>0</v>
      </c>
      <c r="CM26" s="29">
        <v>0</v>
      </c>
      <c r="CN26" s="34" t="s">
        <v>32</v>
      </c>
      <c r="CO26" s="34"/>
      <c r="CP26" s="31" t="s">
        <v>32</v>
      </c>
      <c r="CQ26" s="34" t="s">
        <v>32</v>
      </c>
      <c r="CR26" s="32" t="s">
        <v>32</v>
      </c>
      <c r="CS26" s="32"/>
      <c r="CT26" s="34" t="s">
        <v>32</v>
      </c>
      <c r="CU26" s="28"/>
      <c r="CV26" s="28" t="s">
        <v>32</v>
      </c>
      <c r="CW26" s="34" t="s">
        <v>32</v>
      </c>
      <c r="CX26" s="34" t="s">
        <v>32</v>
      </c>
      <c r="CY26" s="32" t="s">
        <v>32</v>
      </c>
      <c r="CZ26" s="32" t="s">
        <v>32</v>
      </c>
      <c r="DA26" s="29" t="s">
        <v>32</v>
      </c>
      <c r="DB26" s="28" t="s">
        <v>32</v>
      </c>
      <c r="DC26" s="26" t="s">
        <v>32</v>
      </c>
      <c r="DD26" s="34" t="s">
        <v>32</v>
      </c>
      <c r="DE26" s="34" t="s">
        <v>32</v>
      </c>
      <c r="DF26" s="34"/>
      <c r="DG26" s="33">
        <f t="shared" si="27"/>
        <v>0</v>
      </c>
      <c r="DH26" s="24"/>
      <c r="DI26" s="25">
        <v>45893</v>
      </c>
      <c r="DJ26" s="26">
        <v>0</v>
      </c>
      <c r="DK26" s="26">
        <v>0</v>
      </c>
      <c r="DL26" s="28">
        <v>0</v>
      </c>
      <c r="DM26" s="29">
        <v>0</v>
      </c>
      <c r="DN26" s="29">
        <v>0</v>
      </c>
      <c r="DO26" s="27">
        <f t="shared" si="4"/>
        <v>0</v>
      </c>
      <c r="DP26" s="34" t="s">
        <v>32</v>
      </c>
      <c r="DQ26" s="34"/>
      <c r="DR26" s="31" t="s">
        <v>32</v>
      </c>
      <c r="DS26" s="34" t="s">
        <v>32</v>
      </c>
      <c r="DT26" s="32" t="s">
        <v>32</v>
      </c>
      <c r="DU26" s="32"/>
      <c r="DV26" s="34" t="s">
        <v>32</v>
      </c>
      <c r="DW26" s="28"/>
      <c r="DX26" s="28" t="s">
        <v>32</v>
      </c>
      <c r="DY26" s="34" t="s">
        <v>32</v>
      </c>
      <c r="DZ26" s="34" t="s">
        <v>32</v>
      </c>
      <c r="EA26" s="32" t="s">
        <v>32</v>
      </c>
      <c r="EB26" s="32" t="s">
        <v>32</v>
      </c>
      <c r="EC26" s="29" t="s">
        <v>32</v>
      </c>
      <c r="ED26" s="28" t="s">
        <v>32</v>
      </c>
      <c r="EE26" s="26" t="s">
        <v>32</v>
      </c>
      <c r="EF26" s="34" t="s">
        <v>32</v>
      </c>
      <c r="EG26" s="34" t="s">
        <v>32</v>
      </c>
      <c r="EH26" s="34"/>
      <c r="EI26" s="33">
        <f t="shared" si="28"/>
        <v>0</v>
      </c>
      <c r="EJ26" s="24"/>
      <c r="EK26" s="25">
        <v>45924</v>
      </c>
      <c r="EL26" s="28">
        <v>2197</v>
      </c>
      <c r="EM26" s="28">
        <v>2535</v>
      </c>
      <c r="EN26" s="28">
        <v>8.3000000000000007</v>
      </c>
      <c r="EO26" s="26">
        <v>6733</v>
      </c>
      <c r="EP26" s="26">
        <v>497790</v>
      </c>
      <c r="EQ26" s="27">
        <f t="shared" si="5"/>
        <v>125858</v>
      </c>
      <c r="ER26" s="34">
        <v>47025</v>
      </c>
      <c r="ES26" s="34">
        <v>16575</v>
      </c>
      <c r="ET26" s="31" t="s">
        <v>32</v>
      </c>
      <c r="EU26" s="34" t="s">
        <v>32</v>
      </c>
      <c r="EV26" s="30">
        <v>14463</v>
      </c>
      <c r="EW26" s="30"/>
      <c r="EX26" s="34">
        <v>45000</v>
      </c>
      <c r="EY26" s="28"/>
      <c r="EZ26" s="28">
        <v>550</v>
      </c>
      <c r="FA26" s="34">
        <v>2245</v>
      </c>
      <c r="FB26" s="34" t="s">
        <v>32</v>
      </c>
      <c r="FC26" s="32" t="s">
        <v>32</v>
      </c>
      <c r="FD26" s="32" t="s">
        <v>32</v>
      </c>
      <c r="FE26" s="75" t="s">
        <v>32</v>
      </c>
      <c r="FF26" s="32" t="s">
        <v>32</v>
      </c>
      <c r="FG26" s="26" t="s">
        <v>32</v>
      </c>
      <c r="FH26" s="34" t="s">
        <v>32</v>
      </c>
      <c r="FI26" s="34" t="s">
        <v>32</v>
      </c>
      <c r="FJ26" s="34"/>
      <c r="FK26" s="33">
        <f t="shared" si="29"/>
        <v>125858</v>
      </c>
      <c r="FL26" s="24"/>
      <c r="FM26" s="25">
        <v>45954</v>
      </c>
      <c r="FN26" s="28" t="s">
        <v>32</v>
      </c>
      <c r="FO26" s="75" t="s">
        <v>32</v>
      </c>
      <c r="FP26" s="75" t="s">
        <v>32</v>
      </c>
      <c r="FQ26" s="26"/>
      <c r="FR26" s="26"/>
      <c r="FS26" s="32">
        <f>SUM(FT25:GK25)</f>
        <v>0</v>
      </c>
      <c r="FT26" s="34" t="s">
        <v>32</v>
      </c>
      <c r="FU26" s="34"/>
      <c r="FV26" s="26" t="s">
        <v>32</v>
      </c>
      <c r="FW26" s="34" t="s">
        <v>32</v>
      </c>
      <c r="FX26" s="32" t="s">
        <v>32</v>
      </c>
      <c r="FY26" s="32"/>
      <c r="FZ26" s="34" t="s">
        <v>32</v>
      </c>
      <c r="GA26" s="28"/>
      <c r="GB26" s="28" t="s">
        <v>32</v>
      </c>
      <c r="GC26" s="82" t="s">
        <v>32</v>
      </c>
      <c r="GD26" s="34" t="s">
        <v>32</v>
      </c>
      <c r="GE26" s="32" t="s">
        <v>32</v>
      </c>
      <c r="GF26" s="32" t="s">
        <v>32</v>
      </c>
      <c r="GG26" s="29" t="s">
        <v>32</v>
      </c>
      <c r="GH26" s="28" t="s">
        <v>32</v>
      </c>
      <c r="GI26" s="26" t="s">
        <v>32</v>
      </c>
      <c r="GJ26" s="34" t="s">
        <v>32</v>
      </c>
      <c r="GK26" s="32" t="s">
        <v>32</v>
      </c>
      <c r="GL26" s="34"/>
      <c r="GM26" s="33">
        <f t="shared" si="30"/>
        <v>0</v>
      </c>
      <c r="GN26" s="24"/>
      <c r="GO26" s="25">
        <v>45985</v>
      </c>
      <c r="GP26" s="28">
        <v>3337</v>
      </c>
      <c r="GQ26" s="75">
        <v>467</v>
      </c>
      <c r="GR26" s="75">
        <v>4.5</v>
      </c>
      <c r="GS26" s="26">
        <v>0</v>
      </c>
      <c r="GT26" s="26">
        <v>0</v>
      </c>
      <c r="GU26" s="32">
        <f t="shared" si="6"/>
        <v>0</v>
      </c>
      <c r="GV26" s="34" t="s">
        <v>32</v>
      </c>
      <c r="GW26" s="28"/>
      <c r="GX26" s="26" t="s">
        <v>32</v>
      </c>
      <c r="GY26" s="34" t="s">
        <v>32</v>
      </c>
      <c r="GZ26" s="32" t="s">
        <v>32</v>
      </c>
      <c r="HA26" s="32"/>
      <c r="HB26" s="34" t="s">
        <v>32</v>
      </c>
      <c r="HC26" s="28"/>
      <c r="HD26" s="28" t="s">
        <v>32</v>
      </c>
      <c r="HE26" s="26" t="s">
        <v>32</v>
      </c>
      <c r="HF26" s="34" t="s">
        <v>32</v>
      </c>
      <c r="HG26" s="32" t="s">
        <v>32</v>
      </c>
      <c r="HH26" s="32" t="s">
        <v>32</v>
      </c>
      <c r="HI26" s="29" t="s">
        <v>32</v>
      </c>
      <c r="HJ26" s="32" t="s">
        <v>32</v>
      </c>
      <c r="HK26" s="26" t="s">
        <v>32</v>
      </c>
      <c r="HL26" s="26" t="s">
        <v>32</v>
      </c>
      <c r="HM26" s="82" t="s">
        <v>32</v>
      </c>
      <c r="HN26" s="82"/>
      <c r="HO26" s="33">
        <f t="shared" si="31"/>
        <v>0</v>
      </c>
      <c r="HP26" s="24"/>
      <c r="HQ26" s="25">
        <v>46015</v>
      </c>
      <c r="HR26" s="28">
        <v>2795</v>
      </c>
      <c r="HS26" s="75">
        <v>4659</v>
      </c>
      <c r="HT26" s="75">
        <v>7</v>
      </c>
      <c r="HU26" s="26">
        <v>0</v>
      </c>
      <c r="HV26" s="26">
        <v>0</v>
      </c>
      <c r="HW26" s="32">
        <f t="shared" si="7"/>
        <v>0</v>
      </c>
      <c r="HX26" s="30" t="s">
        <v>32</v>
      </c>
      <c r="HY26" s="28"/>
      <c r="HZ26" s="26" t="s">
        <v>32</v>
      </c>
      <c r="IA26" s="30" t="s">
        <v>32</v>
      </c>
      <c r="IB26" s="32" t="s">
        <v>32</v>
      </c>
      <c r="IC26" s="75"/>
      <c r="ID26" s="30" t="s">
        <v>32</v>
      </c>
      <c r="IE26" s="28"/>
      <c r="IF26" s="28" t="s">
        <v>32</v>
      </c>
      <c r="IG26" s="26" t="s">
        <v>32</v>
      </c>
      <c r="IH26" s="30" t="s">
        <v>32</v>
      </c>
      <c r="II26" s="28" t="s">
        <v>32</v>
      </c>
      <c r="IJ26" s="28" t="s">
        <v>32</v>
      </c>
      <c r="IK26" s="75" t="s">
        <v>32</v>
      </c>
      <c r="IL26" s="32" t="s">
        <v>32</v>
      </c>
      <c r="IM26" s="26" t="s">
        <v>32</v>
      </c>
      <c r="IN26" s="26" t="s">
        <v>32</v>
      </c>
      <c r="IO26" s="82" t="s">
        <v>32</v>
      </c>
      <c r="IP26" s="82"/>
      <c r="IQ26" s="33">
        <f t="shared" si="32"/>
        <v>0</v>
      </c>
      <c r="IR26" s="24"/>
      <c r="IS26" s="25">
        <v>46046</v>
      </c>
      <c r="IT26" s="28">
        <v>2628</v>
      </c>
      <c r="IU26" s="75">
        <v>0</v>
      </c>
      <c r="IV26" s="75">
        <v>5</v>
      </c>
      <c r="IW26" s="26">
        <v>0</v>
      </c>
      <c r="IX26" s="26">
        <v>0</v>
      </c>
      <c r="IY26" s="32">
        <f t="shared" si="8"/>
        <v>0</v>
      </c>
      <c r="IZ26" s="34" t="s">
        <v>32</v>
      </c>
      <c r="JA26" s="34"/>
      <c r="JB26" s="26" t="s">
        <v>32</v>
      </c>
      <c r="JC26" s="34" t="s">
        <v>32</v>
      </c>
      <c r="JD26" s="32" t="s">
        <v>32</v>
      </c>
      <c r="JE26" s="32"/>
      <c r="JF26" s="34" t="s">
        <v>32</v>
      </c>
      <c r="JG26" s="28"/>
      <c r="JH26" s="28" t="s">
        <v>32</v>
      </c>
      <c r="JI26" s="82" t="s">
        <v>32</v>
      </c>
      <c r="JJ26" s="34" t="s">
        <v>32</v>
      </c>
      <c r="JK26" s="32" t="s">
        <v>32</v>
      </c>
      <c r="JL26" s="32" t="s">
        <v>32</v>
      </c>
      <c r="JM26" s="29" t="s">
        <v>32</v>
      </c>
      <c r="JN26" s="28" t="s">
        <v>32</v>
      </c>
      <c r="JO26" s="26" t="s">
        <v>32</v>
      </c>
      <c r="JP26" s="34" t="s">
        <v>32</v>
      </c>
      <c r="JQ26" s="32" t="s">
        <v>32</v>
      </c>
      <c r="JR26" s="34"/>
      <c r="JS26" s="33">
        <f t="shared" si="33"/>
        <v>0</v>
      </c>
      <c r="JT26" s="24"/>
      <c r="JU26" s="25">
        <v>46077</v>
      </c>
      <c r="JV26" s="28">
        <v>3667</v>
      </c>
      <c r="JW26" s="75">
        <v>3675</v>
      </c>
      <c r="JX26" s="75">
        <v>7</v>
      </c>
      <c r="JY26" s="26">
        <v>1597</v>
      </c>
      <c r="JZ26" s="26">
        <v>86221</v>
      </c>
      <c r="KA26" s="32">
        <f t="shared" si="9"/>
        <v>175511</v>
      </c>
      <c r="KB26" s="34">
        <v>35300</v>
      </c>
      <c r="KC26" s="34">
        <v>12500</v>
      </c>
      <c r="KD26" s="26">
        <v>41436</v>
      </c>
      <c r="KE26" s="34">
        <v>45000</v>
      </c>
      <c r="KF26" s="32" t="s">
        <v>32</v>
      </c>
      <c r="KG26" s="32"/>
      <c r="KH26" s="34">
        <v>40000</v>
      </c>
      <c r="KI26" s="28"/>
      <c r="KJ26" s="28" t="s">
        <v>32</v>
      </c>
      <c r="KK26" s="82">
        <v>1275</v>
      </c>
      <c r="KL26" s="34" t="s">
        <v>32</v>
      </c>
      <c r="KM26" s="32" t="s">
        <v>32</v>
      </c>
      <c r="KN26" s="32" t="s">
        <v>32</v>
      </c>
      <c r="KO26" s="29" t="s">
        <v>32</v>
      </c>
      <c r="KP26" s="28" t="s">
        <v>32</v>
      </c>
      <c r="KQ26" s="26" t="s">
        <v>32</v>
      </c>
      <c r="KR26" s="34" t="s">
        <v>32</v>
      </c>
      <c r="KS26" s="32" t="s">
        <v>32</v>
      </c>
      <c r="KT26" s="34"/>
      <c r="KU26" s="33">
        <f t="shared" si="34"/>
        <v>175511</v>
      </c>
      <c r="KV26" s="24"/>
      <c r="KW26" s="25">
        <v>46105</v>
      </c>
      <c r="KX26" s="28">
        <v>3672</v>
      </c>
      <c r="KY26" s="75">
        <v>0</v>
      </c>
      <c r="KZ26" s="75">
        <v>8</v>
      </c>
      <c r="LA26" s="26">
        <v>0</v>
      </c>
      <c r="LB26" s="26">
        <v>0</v>
      </c>
      <c r="LC26" s="32">
        <f t="shared" si="10"/>
        <v>0</v>
      </c>
      <c r="LD26" s="34" t="s">
        <v>32</v>
      </c>
      <c r="LE26" s="34"/>
      <c r="LF26" s="26" t="s">
        <v>32</v>
      </c>
      <c r="LG26" s="34" t="s">
        <v>32</v>
      </c>
      <c r="LH26" s="32" t="s">
        <v>32</v>
      </c>
      <c r="LI26" s="32"/>
      <c r="LJ26" s="34" t="s">
        <v>32</v>
      </c>
      <c r="LK26" s="28"/>
      <c r="LL26" s="28" t="s">
        <v>32</v>
      </c>
      <c r="LM26" s="82" t="s">
        <v>32</v>
      </c>
      <c r="LN26" s="34" t="s">
        <v>32</v>
      </c>
      <c r="LO26" s="32" t="s">
        <v>32</v>
      </c>
      <c r="LP26" s="32" t="s">
        <v>32</v>
      </c>
      <c r="LQ26" s="29" t="s">
        <v>32</v>
      </c>
      <c r="LR26" s="28" t="s">
        <v>32</v>
      </c>
      <c r="LS26" s="26" t="s">
        <v>32</v>
      </c>
      <c r="LT26" s="34" t="s">
        <v>32</v>
      </c>
      <c r="LU26" s="32" t="s">
        <v>32</v>
      </c>
      <c r="LV26" s="34"/>
      <c r="LW26" s="33">
        <f t="shared" si="35"/>
        <v>0</v>
      </c>
      <c r="LX26" s="24"/>
    </row>
    <row r="27" spans="1:336" x14ac:dyDescent="0.3">
      <c r="A27" s="25">
        <v>45772</v>
      </c>
      <c r="B27" s="26">
        <v>122</v>
      </c>
      <c r="C27" s="26">
        <v>8400</v>
      </c>
      <c r="D27" s="27">
        <f t="shared" si="0"/>
        <v>49995</v>
      </c>
      <c r="E27" s="28">
        <v>3465</v>
      </c>
      <c r="F27" s="29">
        <v>2095</v>
      </c>
      <c r="G27" s="29">
        <v>9.75</v>
      </c>
      <c r="H27" s="34">
        <v>11200</v>
      </c>
      <c r="I27" s="34">
        <v>13500</v>
      </c>
      <c r="J27" s="31" t="s">
        <v>32</v>
      </c>
      <c r="K27" s="34" t="s">
        <v>32</v>
      </c>
      <c r="L27" s="32" t="s">
        <v>32</v>
      </c>
      <c r="M27" s="32">
        <v>7900</v>
      </c>
      <c r="N27" s="34" t="s">
        <v>32</v>
      </c>
      <c r="O27" s="28"/>
      <c r="P27" s="28" t="s">
        <v>32</v>
      </c>
      <c r="Q27" s="34">
        <v>2645</v>
      </c>
      <c r="R27" s="34" t="s">
        <v>32</v>
      </c>
      <c r="S27" s="32"/>
      <c r="T27" s="32" t="s">
        <v>32</v>
      </c>
      <c r="U27" s="29">
        <v>14250</v>
      </c>
      <c r="V27" s="28" t="s">
        <v>32</v>
      </c>
      <c r="W27" s="26">
        <v>500</v>
      </c>
      <c r="X27" s="34" t="s">
        <v>40</v>
      </c>
      <c r="Y27" s="34" t="s">
        <v>32</v>
      </c>
      <c r="Z27" s="34"/>
      <c r="AA27" s="33">
        <f t="shared" si="24"/>
        <v>49995</v>
      </c>
      <c r="AB27" s="24"/>
      <c r="AC27" s="25">
        <v>45802</v>
      </c>
      <c r="AD27" s="26">
        <v>0</v>
      </c>
      <c r="AE27" s="26">
        <v>0</v>
      </c>
      <c r="AF27" s="27">
        <f t="shared" si="1"/>
        <v>0</v>
      </c>
      <c r="AG27" s="28">
        <v>2603</v>
      </c>
      <c r="AH27" s="29">
        <v>4611</v>
      </c>
      <c r="AI27" s="29">
        <v>11</v>
      </c>
      <c r="AJ27" s="34" t="s">
        <v>32</v>
      </c>
      <c r="AK27" s="34"/>
      <c r="AL27" s="31" t="s">
        <v>32</v>
      </c>
      <c r="AM27" s="34" t="s">
        <v>32</v>
      </c>
      <c r="AN27" s="32" t="s">
        <v>32</v>
      </c>
      <c r="AO27" s="32"/>
      <c r="AP27" s="34" t="s">
        <v>32</v>
      </c>
      <c r="AQ27" s="28"/>
      <c r="AR27" s="28" t="s">
        <v>32</v>
      </c>
      <c r="AS27" s="34" t="s">
        <v>32</v>
      </c>
      <c r="AT27" s="34" t="s">
        <v>32</v>
      </c>
      <c r="AU27" s="32"/>
      <c r="AV27" s="32" t="s">
        <v>32</v>
      </c>
      <c r="AW27" s="29"/>
      <c r="AX27" s="28" t="s">
        <v>32</v>
      </c>
      <c r="AY27" s="26" t="s">
        <v>32</v>
      </c>
      <c r="AZ27" s="34" t="s">
        <v>32</v>
      </c>
      <c r="BA27" s="34" t="s">
        <v>32</v>
      </c>
      <c r="BB27" s="34"/>
      <c r="BC27" s="33">
        <f t="shared" si="25"/>
        <v>0</v>
      </c>
      <c r="BD27" s="24"/>
      <c r="BE27" s="25">
        <v>45833</v>
      </c>
      <c r="BF27" s="26">
        <v>0</v>
      </c>
      <c r="BG27" s="26">
        <v>0</v>
      </c>
      <c r="BH27" s="27">
        <f t="shared" si="2"/>
        <v>0</v>
      </c>
      <c r="BI27" s="28">
        <v>0</v>
      </c>
      <c r="BJ27" s="29">
        <v>0</v>
      </c>
      <c r="BK27" s="29">
        <v>0</v>
      </c>
      <c r="BL27" s="34" t="s">
        <v>32</v>
      </c>
      <c r="BM27" s="34"/>
      <c r="BN27" s="31" t="s">
        <v>32</v>
      </c>
      <c r="BO27" s="34" t="s">
        <v>32</v>
      </c>
      <c r="BP27" s="32" t="s">
        <v>32</v>
      </c>
      <c r="BQ27" s="32"/>
      <c r="BR27" s="34" t="s">
        <v>32</v>
      </c>
      <c r="BS27" s="28"/>
      <c r="BT27" s="28" t="s">
        <v>32</v>
      </c>
      <c r="BU27" s="34" t="s">
        <v>32</v>
      </c>
      <c r="BV27" s="34" t="s">
        <v>32</v>
      </c>
      <c r="BW27" s="32"/>
      <c r="BX27" s="32" t="s">
        <v>32</v>
      </c>
      <c r="BY27" s="29"/>
      <c r="BZ27" s="28" t="s">
        <v>32</v>
      </c>
      <c r="CA27" s="26" t="s">
        <v>32</v>
      </c>
      <c r="CB27" s="34" t="s">
        <v>32</v>
      </c>
      <c r="CC27" s="34" t="s">
        <v>32</v>
      </c>
      <c r="CD27" s="34"/>
      <c r="CE27" s="33">
        <f t="shared" si="26"/>
        <v>0</v>
      </c>
      <c r="CF27" s="24"/>
      <c r="CG27" s="25">
        <v>45863</v>
      </c>
      <c r="CH27" s="26">
        <v>5587</v>
      </c>
      <c r="CI27" s="26">
        <v>446249</v>
      </c>
      <c r="CJ27" s="27">
        <f t="shared" si="3"/>
        <v>2648</v>
      </c>
      <c r="CK27" s="28">
        <v>2370</v>
      </c>
      <c r="CL27" s="29">
        <v>2109</v>
      </c>
      <c r="CM27" s="29">
        <v>7</v>
      </c>
      <c r="CN27" s="34" t="s">
        <v>32</v>
      </c>
      <c r="CO27" s="34"/>
      <c r="CP27" s="31" t="s">
        <v>32</v>
      </c>
      <c r="CQ27" s="34" t="s">
        <v>32</v>
      </c>
      <c r="CR27" s="32" t="s">
        <v>32</v>
      </c>
      <c r="CS27" s="32"/>
      <c r="CT27" s="34" t="s">
        <v>32</v>
      </c>
      <c r="CU27" s="28"/>
      <c r="CV27" s="28" t="s">
        <v>32</v>
      </c>
      <c r="CW27" s="34">
        <v>1048</v>
      </c>
      <c r="CX27" s="34" t="s">
        <v>32</v>
      </c>
      <c r="CY27" s="32">
        <v>600</v>
      </c>
      <c r="CZ27" s="32" t="s">
        <v>51</v>
      </c>
      <c r="DA27" s="29">
        <v>1000</v>
      </c>
      <c r="DB27" s="28" t="s">
        <v>32</v>
      </c>
      <c r="DC27" s="26" t="s">
        <v>32</v>
      </c>
      <c r="DD27" s="34" t="s">
        <v>32</v>
      </c>
      <c r="DE27" s="34" t="s">
        <v>32</v>
      </c>
      <c r="DF27" s="34"/>
      <c r="DG27" s="33">
        <f t="shared" si="27"/>
        <v>2648</v>
      </c>
      <c r="DH27" s="24"/>
      <c r="DI27" s="25">
        <v>45894</v>
      </c>
      <c r="DJ27" s="26">
        <v>627</v>
      </c>
      <c r="DK27" s="26">
        <v>30200</v>
      </c>
      <c r="DL27" s="28">
        <v>0</v>
      </c>
      <c r="DM27" s="29">
        <v>0</v>
      </c>
      <c r="DN27" s="29">
        <v>0</v>
      </c>
      <c r="DO27" s="27">
        <f t="shared" si="4"/>
        <v>43453</v>
      </c>
      <c r="DP27" s="34" t="s">
        <v>32</v>
      </c>
      <c r="DQ27" s="34"/>
      <c r="DR27" s="31" t="s">
        <v>32</v>
      </c>
      <c r="DS27" s="34" t="s">
        <v>32</v>
      </c>
      <c r="DT27" s="32">
        <v>35000</v>
      </c>
      <c r="DU27" s="32"/>
      <c r="DV27" s="34">
        <v>5000</v>
      </c>
      <c r="DW27" s="28"/>
      <c r="DX27" s="28">
        <v>500</v>
      </c>
      <c r="DY27" s="34">
        <v>1953</v>
      </c>
      <c r="DZ27" s="34" t="s">
        <v>32</v>
      </c>
      <c r="EA27" s="32"/>
      <c r="EB27" s="32" t="s">
        <v>32</v>
      </c>
      <c r="EC27" s="29"/>
      <c r="ED27" s="28" t="s">
        <v>32</v>
      </c>
      <c r="EE27" s="26">
        <v>1000</v>
      </c>
      <c r="EF27" s="34" t="s">
        <v>40</v>
      </c>
      <c r="EG27" s="34" t="s">
        <v>32</v>
      </c>
      <c r="EH27" s="34"/>
      <c r="EI27" s="33">
        <f t="shared" si="28"/>
        <v>43453</v>
      </c>
      <c r="EJ27" s="24"/>
      <c r="EK27" s="25">
        <v>45925</v>
      </c>
      <c r="EL27" s="28">
        <v>1719</v>
      </c>
      <c r="EM27" s="28">
        <v>2808</v>
      </c>
      <c r="EN27" s="28">
        <v>5.25</v>
      </c>
      <c r="EO27" s="26">
        <v>0</v>
      </c>
      <c r="EP27" s="26">
        <v>0</v>
      </c>
      <c r="EQ27" s="27">
        <f t="shared" si="5"/>
        <v>0</v>
      </c>
      <c r="ER27" s="34" t="s">
        <v>32</v>
      </c>
      <c r="ES27" s="34"/>
      <c r="ET27" s="31" t="s">
        <v>32</v>
      </c>
      <c r="EU27" s="34" t="s">
        <v>32</v>
      </c>
      <c r="EV27" s="30" t="s">
        <v>32</v>
      </c>
      <c r="EW27" s="30"/>
      <c r="EX27" s="34" t="s">
        <v>32</v>
      </c>
      <c r="EY27" s="28"/>
      <c r="EZ27" s="28" t="s">
        <v>32</v>
      </c>
      <c r="FA27" s="34" t="s">
        <v>32</v>
      </c>
      <c r="FB27" s="34" t="s">
        <v>32</v>
      </c>
      <c r="FC27" s="32"/>
      <c r="FD27" s="32" t="s">
        <v>32</v>
      </c>
      <c r="FE27" s="75"/>
      <c r="FF27" s="32" t="s">
        <v>32</v>
      </c>
      <c r="FG27" s="26" t="s">
        <v>32</v>
      </c>
      <c r="FH27" s="34" t="s">
        <v>32</v>
      </c>
      <c r="FI27" s="34" t="s">
        <v>32</v>
      </c>
      <c r="FJ27" s="34"/>
      <c r="FK27" s="33">
        <f t="shared" si="29"/>
        <v>0</v>
      </c>
      <c r="FL27" s="24"/>
      <c r="FM27" s="25">
        <v>45955</v>
      </c>
      <c r="FN27" s="28">
        <v>0</v>
      </c>
      <c r="FO27" s="75">
        <v>0</v>
      </c>
      <c r="FP27" s="75">
        <v>0</v>
      </c>
      <c r="FQ27" s="26">
        <v>22266</v>
      </c>
      <c r="FR27" s="26">
        <v>1251880</v>
      </c>
      <c r="FS27" s="32">
        <f t="shared" ref="FS27:FS33" si="36">SUM(FT27:GK27)</f>
        <v>104975</v>
      </c>
      <c r="FT27" s="34" t="s">
        <v>32</v>
      </c>
      <c r="FU27" s="34"/>
      <c r="FV27" s="26" t="s">
        <v>32</v>
      </c>
      <c r="FW27" s="34" t="s">
        <v>32</v>
      </c>
      <c r="FX27" s="32">
        <v>2960</v>
      </c>
      <c r="FY27" s="32"/>
      <c r="FZ27" s="34">
        <v>55000</v>
      </c>
      <c r="GA27" s="28"/>
      <c r="GB27" s="28">
        <v>500</v>
      </c>
      <c r="GC27" s="82">
        <v>12515</v>
      </c>
      <c r="GD27" s="34" t="s">
        <v>32</v>
      </c>
      <c r="GE27" s="32"/>
      <c r="GF27" s="32" t="s">
        <v>32</v>
      </c>
      <c r="GG27" s="29"/>
      <c r="GH27" s="28" t="s">
        <v>32</v>
      </c>
      <c r="GI27" s="26">
        <v>34000</v>
      </c>
      <c r="GJ27" s="34" t="s">
        <v>68</v>
      </c>
      <c r="GK27" s="32" t="s">
        <v>32</v>
      </c>
      <c r="GL27" s="34"/>
      <c r="GM27" s="33">
        <f t="shared" si="30"/>
        <v>104975</v>
      </c>
      <c r="GN27" s="24"/>
      <c r="GO27" s="25">
        <v>45986</v>
      </c>
      <c r="GP27" s="28">
        <v>3080</v>
      </c>
      <c r="GQ27" s="75">
        <v>4919</v>
      </c>
      <c r="GR27" s="75">
        <v>7.5</v>
      </c>
      <c r="GS27" s="26">
        <v>2277</v>
      </c>
      <c r="GT27" s="26">
        <v>82790</v>
      </c>
      <c r="GU27" s="32">
        <f t="shared" si="6"/>
        <v>175497</v>
      </c>
      <c r="GV27" s="34" t="s">
        <v>32</v>
      </c>
      <c r="GW27" s="28"/>
      <c r="GX27" s="26" t="s">
        <v>32</v>
      </c>
      <c r="GY27" s="34" t="s">
        <v>32</v>
      </c>
      <c r="GZ27" s="32">
        <v>5400</v>
      </c>
      <c r="HA27" s="32">
        <v>10700</v>
      </c>
      <c r="HB27" s="34" t="s">
        <v>32</v>
      </c>
      <c r="HC27" s="28"/>
      <c r="HD27" s="28" t="s">
        <v>32</v>
      </c>
      <c r="HE27" s="26">
        <v>1902</v>
      </c>
      <c r="HF27" s="34" t="s">
        <v>32</v>
      </c>
      <c r="HG27" s="32">
        <v>157495</v>
      </c>
      <c r="HH27" s="32" t="s">
        <v>43</v>
      </c>
      <c r="HI27" s="29"/>
      <c r="HJ27" s="32" t="s">
        <v>32</v>
      </c>
      <c r="HK27" s="26" t="s">
        <v>32</v>
      </c>
      <c r="HL27" s="26" t="s">
        <v>32</v>
      </c>
      <c r="HM27" s="82" t="s">
        <v>32</v>
      </c>
      <c r="HN27" s="82"/>
      <c r="HO27" s="33">
        <f t="shared" si="31"/>
        <v>175497</v>
      </c>
      <c r="HP27" s="24"/>
      <c r="HQ27" s="25">
        <v>46016</v>
      </c>
      <c r="HR27" s="28">
        <v>3088</v>
      </c>
      <c r="HS27" s="75">
        <v>5911</v>
      </c>
      <c r="HT27" s="75">
        <v>9</v>
      </c>
      <c r="HU27" s="26">
        <v>0</v>
      </c>
      <c r="HV27" s="26">
        <v>0</v>
      </c>
      <c r="HW27" s="32">
        <f t="shared" si="7"/>
        <v>0</v>
      </c>
      <c r="HX27" s="30" t="s">
        <v>32</v>
      </c>
      <c r="HY27" s="28"/>
      <c r="HZ27" s="26" t="s">
        <v>32</v>
      </c>
      <c r="IA27" s="30" t="s">
        <v>32</v>
      </c>
      <c r="IB27" s="32" t="s">
        <v>32</v>
      </c>
      <c r="IC27" s="75"/>
      <c r="ID27" s="30" t="s">
        <v>32</v>
      </c>
      <c r="IE27" s="28"/>
      <c r="IF27" s="28" t="s">
        <v>32</v>
      </c>
      <c r="IG27" s="26" t="s">
        <v>32</v>
      </c>
      <c r="IH27" s="30" t="s">
        <v>32</v>
      </c>
      <c r="II27" s="28"/>
      <c r="IJ27" s="28" t="s">
        <v>32</v>
      </c>
      <c r="IK27" s="75"/>
      <c r="IL27" s="32" t="s">
        <v>32</v>
      </c>
      <c r="IM27" s="26" t="s">
        <v>32</v>
      </c>
      <c r="IN27" s="26" t="s">
        <v>32</v>
      </c>
      <c r="IO27" s="82" t="s">
        <v>32</v>
      </c>
      <c r="IP27" s="82"/>
      <c r="IQ27" s="33">
        <f t="shared" si="32"/>
        <v>0</v>
      </c>
      <c r="IR27" s="24"/>
      <c r="IS27" s="25">
        <v>46047</v>
      </c>
      <c r="IT27" s="28">
        <v>2643</v>
      </c>
      <c r="IU27" s="75">
        <v>3174</v>
      </c>
      <c r="IV27" s="75">
        <v>7</v>
      </c>
      <c r="IW27" s="26">
        <v>711</v>
      </c>
      <c r="IX27" s="26">
        <v>49800</v>
      </c>
      <c r="IY27" s="32">
        <f t="shared" si="8"/>
        <v>72081</v>
      </c>
      <c r="IZ27" s="34">
        <v>10840</v>
      </c>
      <c r="JA27" s="34">
        <v>13490</v>
      </c>
      <c r="JB27" s="26">
        <v>46000</v>
      </c>
      <c r="JC27" s="34" t="s">
        <v>32</v>
      </c>
      <c r="JD27" s="32">
        <v>350</v>
      </c>
      <c r="JE27" s="32"/>
      <c r="JF27" s="34" t="s">
        <v>32</v>
      </c>
      <c r="JG27" s="28"/>
      <c r="JH27" s="28" t="s">
        <v>32</v>
      </c>
      <c r="JI27" s="82">
        <v>1401</v>
      </c>
      <c r="JJ27" s="34" t="s">
        <v>32</v>
      </c>
      <c r="JK27" s="32"/>
      <c r="JL27" s="32" t="s">
        <v>32</v>
      </c>
      <c r="JM27" s="29"/>
      <c r="JN27" s="28" t="s">
        <v>32</v>
      </c>
      <c r="JO27" s="26" t="s">
        <v>32</v>
      </c>
      <c r="JP27" s="34" t="s">
        <v>32</v>
      </c>
      <c r="JQ27" s="32" t="s">
        <v>32</v>
      </c>
      <c r="JR27" s="34"/>
      <c r="JS27" s="33">
        <f t="shared" si="33"/>
        <v>72081</v>
      </c>
      <c r="JT27" s="24"/>
      <c r="JU27" s="25">
        <v>46078</v>
      </c>
      <c r="JV27" s="28">
        <v>3340</v>
      </c>
      <c r="JW27" s="75">
        <v>5085</v>
      </c>
      <c r="JX27" s="75">
        <v>7</v>
      </c>
      <c r="JY27" s="26">
        <v>8106</v>
      </c>
      <c r="JZ27" s="26">
        <v>566540</v>
      </c>
      <c r="KA27" s="32">
        <f t="shared" si="9"/>
        <v>515902</v>
      </c>
      <c r="KB27" s="34" t="s">
        <v>32</v>
      </c>
      <c r="KC27" s="34"/>
      <c r="KD27" s="26" t="s">
        <v>32</v>
      </c>
      <c r="KE27" s="34" t="s">
        <v>32</v>
      </c>
      <c r="KF27" s="32" t="s">
        <v>32</v>
      </c>
      <c r="KG27" s="32">
        <v>2650</v>
      </c>
      <c r="KH27" s="34">
        <v>40000</v>
      </c>
      <c r="KI27" s="28"/>
      <c r="KJ27" s="28" t="s">
        <v>32</v>
      </c>
      <c r="KK27" s="82">
        <v>685</v>
      </c>
      <c r="KL27" s="34" t="s">
        <v>32</v>
      </c>
      <c r="KM27" s="32">
        <v>420467</v>
      </c>
      <c r="KN27" s="32" t="s">
        <v>43</v>
      </c>
      <c r="KO27" s="29"/>
      <c r="KP27" s="28" t="s">
        <v>32</v>
      </c>
      <c r="KQ27" s="26">
        <v>50000</v>
      </c>
      <c r="KR27" s="34" t="s">
        <v>93</v>
      </c>
      <c r="KS27" s="32">
        <v>2100</v>
      </c>
      <c r="KT27" s="34" t="s">
        <v>175</v>
      </c>
      <c r="KU27" s="33">
        <f t="shared" si="34"/>
        <v>515902</v>
      </c>
      <c r="KV27" s="24"/>
      <c r="KW27" s="25">
        <v>46106</v>
      </c>
      <c r="KX27" s="28">
        <v>3542</v>
      </c>
      <c r="KY27" s="75">
        <v>3928</v>
      </c>
      <c r="KZ27" s="75">
        <v>7.25</v>
      </c>
      <c r="LA27" s="26">
        <v>4840</v>
      </c>
      <c r="LB27" s="26">
        <v>222064</v>
      </c>
      <c r="LC27" s="32">
        <f t="shared" si="10"/>
        <v>152396</v>
      </c>
      <c r="LD27" s="34">
        <v>21185</v>
      </c>
      <c r="LE27" s="34">
        <v>25015</v>
      </c>
      <c r="LF27" s="26">
        <v>90821</v>
      </c>
      <c r="LG27" s="34" t="s">
        <v>32</v>
      </c>
      <c r="LH27" s="32">
        <v>400</v>
      </c>
      <c r="LI27" s="32"/>
      <c r="LJ27" s="34">
        <v>12330</v>
      </c>
      <c r="LK27" s="28"/>
      <c r="LL27" s="28" t="s">
        <v>32</v>
      </c>
      <c r="LM27" s="82">
        <v>2645</v>
      </c>
      <c r="LN27" s="34" t="s">
        <v>32</v>
      </c>
      <c r="LO27" s="32"/>
      <c r="LP27" s="32" t="s">
        <v>32</v>
      </c>
      <c r="LQ27" s="29"/>
      <c r="LR27" s="28" t="s">
        <v>32</v>
      </c>
      <c r="LS27" s="26" t="s">
        <v>32</v>
      </c>
      <c r="LT27" s="34" t="s">
        <v>32</v>
      </c>
      <c r="LU27" s="32" t="s">
        <v>32</v>
      </c>
      <c r="LV27" s="34"/>
      <c r="LW27" s="33">
        <f t="shared" si="35"/>
        <v>152396</v>
      </c>
      <c r="LX27" s="24"/>
    </row>
    <row r="28" spans="1:336" x14ac:dyDescent="0.3">
      <c r="A28" s="25">
        <v>45773</v>
      </c>
      <c r="B28" s="26">
        <v>8525</v>
      </c>
      <c r="C28" s="26">
        <v>616242</v>
      </c>
      <c r="D28" s="27">
        <f t="shared" si="0"/>
        <v>352800</v>
      </c>
      <c r="E28" s="28">
        <v>2668</v>
      </c>
      <c r="F28" s="29">
        <v>4678</v>
      </c>
      <c r="G28" s="29">
        <v>13.25</v>
      </c>
      <c r="H28" s="34">
        <v>85900</v>
      </c>
      <c r="I28" s="34">
        <v>11550</v>
      </c>
      <c r="J28" s="31">
        <v>153550</v>
      </c>
      <c r="K28" s="34">
        <v>50000</v>
      </c>
      <c r="L28" s="32" t="s">
        <v>32</v>
      </c>
      <c r="M28" s="32">
        <v>51300</v>
      </c>
      <c r="N28" s="34"/>
      <c r="O28" s="28"/>
      <c r="P28" s="28" t="s">
        <v>32</v>
      </c>
      <c r="Q28" s="34">
        <v>500</v>
      </c>
      <c r="R28" s="34" t="s">
        <v>32</v>
      </c>
      <c r="S28" s="32" t="s">
        <v>32</v>
      </c>
      <c r="T28" s="32" t="s">
        <v>32</v>
      </c>
      <c r="U28" s="29" t="s">
        <v>32</v>
      </c>
      <c r="V28" s="28" t="s">
        <v>32</v>
      </c>
      <c r="W28" s="26" t="s">
        <v>32</v>
      </c>
      <c r="X28" s="34" t="s">
        <v>32</v>
      </c>
      <c r="Y28" s="34" t="s">
        <v>32</v>
      </c>
      <c r="Z28" s="34"/>
      <c r="AA28" s="33">
        <f t="shared" si="24"/>
        <v>352800</v>
      </c>
      <c r="AB28" s="24"/>
      <c r="AC28" s="25">
        <v>45803</v>
      </c>
      <c r="AD28" s="26">
        <v>4756</v>
      </c>
      <c r="AE28" s="26">
        <v>218471</v>
      </c>
      <c r="AF28" s="27">
        <f t="shared" si="1"/>
        <v>148105</v>
      </c>
      <c r="AG28" s="28">
        <v>2828</v>
      </c>
      <c r="AH28" s="29">
        <v>2963</v>
      </c>
      <c r="AI28" s="29">
        <v>10.25</v>
      </c>
      <c r="AJ28" s="34">
        <v>38270</v>
      </c>
      <c r="AK28" s="34">
        <v>46190</v>
      </c>
      <c r="AL28" s="31">
        <v>57100</v>
      </c>
      <c r="AM28" s="34">
        <v>1500</v>
      </c>
      <c r="AN28" s="32">
        <v>1960</v>
      </c>
      <c r="AO28" s="32"/>
      <c r="AP28" s="34"/>
      <c r="AQ28" s="28"/>
      <c r="AR28" s="28" t="s">
        <v>32</v>
      </c>
      <c r="AS28" s="34">
        <v>3085</v>
      </c>
      <c r="AT28" s="34" t="s">
        <v>32</v>
      </c>
      <c r="AU28" s="32" t="s">
        <v>32</v>
      </c>
      <c r="AV28" s="32" t="s">
        <v>32</v>
      </c>
      <c r="AW28" s="29" t="s">
        <v>32</v>
      </c>
      <c r="AX28" s="28" t="s">
        <v>32</v>
      </c>
      <c r="AY28" s="26" t="s">
        <v>32</v>
      </c>
      <c r="AZ28" s="34" t="s">
        <v>32</v>
      </c>
      <c r="BA28" s="34" t="s">
        <v>32</v>
      </c>
      <c r="BB28" s="34"/>
      <c r="BC28" s="33">
        <f t="shared" si="25"/>
        <v>148105</v>
      </c>
      <c r="BD28" s="24"/>
      <c r="BE28" s="25">
        <v>45834</v>
      </c>
      <c r="BF28" s="26">
        <v>6097</v>
      </c>
      <c r="BG28" s="26">
        <v>307101</v>
      </c>
      <c r="BH28" s="27">
        <f t="shared" si="2"/>
        <v>44171</v>
      </c>
      <c r="BI28" s="28">
        <v>270</v>
      </c>
      <c r="BJ28" s="29">
        <v>0</v>
      </c>
      <c r="BK28" s="29">
        <v>275</v>
      </c>
      <c r="BL28" s="34" t="s">
        <v>32</v>
      </c>
      <c r="BM28" s="34"/>
      <c r="BN28" s="31">
        <v>35000</v>
      </c>
      <c r="BO28" s="34" t="s">
        <v>32</v>
      </c>
      <c r="BP28" s="32" t="s">
        <v>32</v>
      </c>
      <c r="BQ28" s="32"/>
      <c r="BR28" s="34">
        <v>5000</v>
      </c>
      <c r="BS28" s="28">
        <v>1000</v>
      </c>
      <c r="BT28" s="28" t="s">
        <v>32</v>
      </c>
      <c r="BU28" s="34">
        <v>2171</v>
      </c>
      <c r="BV28" s="34" t="s">
        <v>32</v>
      </c>
      <c r="BW28" s="32" t="s">
        <v>32</v>
      </c>
      <c r="BX28" s="32" t="s">
        <v>32</v>
      </c>
      <c r="BY28" s="29" t="s">
        <v>32</v>
      </c>
      <c r="BZ28" s="28" t="s">
        <v>32</v>
      </c>
      <c r="CA28" s="26">
        <v>1000</v>
      </c>
      <c r="CB28" s="34" t="s">
        <v>40</v>
      </c>
      <c r="CC28" s="34" t="s">
        <v>32</v>
      </c>
      <c r="CD28" s="34"/>
      <c r="CE28" s="33">
        <f t="shared" si="26"/>
        <v>44171</v>
      </c>
      <c r="CF28" s="24"/>
      <c r="CG28" s="25">
        <v>45864</v>
      </c>
      <c r="CH28" s="26">
        <v>0</v>
      </c>
      <c r="CI28" s="26">
        <v>0</v>
      </c>
      <c r="CJ28" s="27">
        <f t="shared" si="3"/>
        <v>0</v>
      </c>
      <c r="CK28" s="28">
        <v>3506</v>
      </c>
      <c r="CL28" s="29">
        <v>2113</v>
      </c>
      <c r="CM28" s="29">
        <v>7</v>
      </c>
      <c r="CN28" s="34" t="s">
        <v>32</v>
      </c>
      <c r="CO28" s="34"/>
      <c r="CP28" s="31" t="s">
        <v>32</v>
      </c>
      <c r="CQ28" s="34" t="s">
        <v>32</v>
      </c>
      <c r="CR28" s="32" t="s">
        <v>32</v>
      </c>
      <c r="CS28" s="32"/>
      <c r="CT28" s="34"/>
      <c r="CU28" s="28"/>
      <c r="CV28" s="28" t="s">
        <v>32</v>
      </c>
      <c r="CW28" s="34" t="s">
        <v>32</v>
      </c>
      <c r="CX28" s="34" t="s">
        <v>32</v>
      </c>
      <c r="CY28" s="32" t="s">
        <v>32</v>
      </c>
      <c r="CZ28" s="32" t="s">
        <v>32</v>
      </c>
      <c r="DA28" s="29" t="s">
        <v>32</v>
      </c>
      <c r="DB28" s="28" t="s">
        <v>32</v>
      </c>
      <c r="DC28" s="26" t="s">
        <v>32</v>
      </c>
      <c r="DD28" s="34" t="s">
        <v>32</v>
      </c>
      <c r="DE28" s="34" t="s">
        <v>32</v>
      </c>
      <c r="DF28" s="34"/>
      <c r="DG28" s="33">
        <f t="shared" si="27"/>
        <v>0</v>
      </c>
      <c r="DH28" s="24"/>
      <c r="DI28" s="25">
        <v>45895</v>
      </c>
      <c r="DJ28" s="26">
        <v>0</v>
      </c>
      <c r="DK28" s="26">
        <v>0</v>
      </c>
      <c r="DL28" s="28">
        <v>3252</v>
      </c>
      <c r="DM28" s="29">
        <v>1804</v>
      </c>
      <c r="DN28" s="29">
        <v>7</v>
      </c>
      <c r="DO28" s="27">
        <f t="shared" si="4"/>
        <v>0</v>
      </c>
      <c r="DP28" s="34" t="s">
        <v>32</v>
      </c>
      <c r="DQ28" s="34"/>
      <c r="DR28" s="31" t="s">
        <v>32</v>
      </c>
      <c r="DS28" s="34" t="s">
        <v>32</v>
      </c>
      <c r="DT28" s="32" t="s">
        <v>32</v>
      </c>
      <c r="DU28" s="32"/>
      <c r="DV28" s="34"/>
      <c r="DW28" s="28"/>
      <c r="DX28" s="28" t="s">
        <v>32</v>
      </c>
      <c r="DY28" s="34" t="s">
        <v>32</v>
      </c>
      <c r="DZ28" s="34" t="s">
        <v>32</v>
      </c>
      <c r="EA28" s="32" t="s">
        <v>32</v>
      </c>
      <c r="EB28" s="32" t="s">
        <v>32</v>
      </c>
      <c r="EC28" s="29" t="s">
        <v>32</v>
      </c>
      <c r="ED28" s="28" t="s">
        <v>32</v>
      </c>
      <c r="EE28" s="26" t="s">
        <v>32</v>
      </c>
      <c r="EF28" s="34" t="s">
        <v>32</v>
      </c>
      <c r="EG28" s="34" t="s">
        <v>32</v>
      </c>
      <c r="EH28" s="34"/>
      <c r="EI28" s="33">
        <f t="shared" si="28"/>
        <v>0</v>
      </c>
      <c r="EJ28" s="24"/>
      <c r="EK28" s="25">
        <v>45926</v>
      </c>
      <c r="EL28" s="28">
        <v>2007</v>
      </c>
      <c r="EM28" s="28">
        <v>1620</v>
      </c>
      <c r="EN28" s="28">
        <v>6</v>
      </c>
      <c r="EO28" s="26">
        <v>0</v>
      </c>
      <c r="EP28" s="26">
        <v>0</v>
      </c>
      <c r="EQ28" s="27">
        <f t="shared" si="5"/>
        <v>0</v>
      </c>
      <c r="ER28" s="34" t="s">
        <v>32</v>
      </c>
      <c r="ES28" s="34"/>
      <c r="ET28" s="31" t="s">
        <v>32</v>
      </c>
      <c r="EU28" s="34" t="s">
        <v>32</v>
      </c>
      <c r="EV28" s="30" t="s">
        <v>32</v>
      </c>
      <c r="EW28" s="30"/>
      <c r="EX28" s="34"/>
      <c r="EY28" s="28"/>
      <c r="EZ28" s="28" t="s">
        <v>32</v>
      </c>
      <c r="FA28" s="34" t="s">
        <v>32</v>
      </c>
      <c r="FB28" s="34" t="s">
        <v>32</v>
      </c>
      <c r="FC28" s="32" t="s">
        <v>32</v>
      </c>
      <c r="FD28" s="32" t="s">
        <v>32</v>
      </c>
      <c r="FE28" s="75" t="s">
        <v>32</v>
      </c>
      <c r="FF28" s="32" t="s">
        <v>32</v>
      </c>
      <c r="FG28" s="26" t="s">
        <v>32</v>
      </c>
      <c r="FH28" s="34" t="s">
        <v>32</v>
      </c>
      <c r="FI28" s="34" t="s">
        <v>32</v>
      </c>
      <c r="FJ28" s="34"/>
      <c r="FK28" s="33">
        <f t="shared" si="29"/>
        <v>0</v>
      </c>
      <c r="FL28" s="24"/>
      <c r="FM28" s="25">
        <v>45956</v>
      </c>
      <c r="FN28" s="28">
        <v>1423</v>
      </c>
      <c r="FO28" s="75">
        <v>0</v>
      </c>
      <c r="FP28" s="75">
        <v>0</v>
      </c>
      <c r="FQ28" s="26">
        <v>0</v>
      </c>
      <c r="FR28" s="26">
        <v>0</v>
      </c>
      <c r="FS28" s="32">
        <f t="shared" si="36"/>
        <v>0</v>
      </c>
      <c r="FT28" s="34" t="s">
        <v>32</v>
      </c>
      <c r="FU28" s="34"/>
      <c r="FV28" s="26" t="s">
        <v>32</v>
      </c>
      <c r="FW28" s="34" t="s">
        <v>32</v>
      </c>
      <c r="FX28" s="32" t="s">
        <v>32</v>
      </c>
      <c r="FY28" s="32"/>
      <c r="FZ28" s="34"/>
      <c r="GA28" s="28"/>
      <c r="GB28" s="28" t="s">
        <v>32</v>
      </c>
      <c r="GC28" s="82" t="s">
        <v>32</v>
      </c>
      <c r="GD28" s="34" t="s">
        <v>32</v>
      </c>
      <c r="GE28" s="32" t="s">
        <v>32</v>
      </c>
      <c r="GF28" s="32" t="s">
        <v>32</v>
      </c>
      <c r="GG28" s="29" t="s">
        <v>32</v>
      </c>
      <c r="GH28" s="28" t="s">
        <v>32</v>
      </c>
      <c r="GI28" s="26" t="s">
        <v>32</v>
      </c>
      <c r="GJ28" s="34" t="s">
        <v>32</v>
      </c>
      <c r="GK28" s="32" t="s">
        <v>32</v>
      </c>
      <c r="GL28" s="34"/>
      <c r="GM28" s="33">
        <f t="shared" si="30"/>
        <v>0</v>
      </c>
      <c r="GN28" s="24"/>
      <c r="GO28" s="25">
        <v>45987</v>
      </c>
      <c r="GP28" s="28">
        <v>3678</v>
      </c>
      <c r="GQ28" s="75">
        <v>1761</v>
      </c>
      <c r="GR28" s="75">
        <v>9.5</v>
      </c>
      <c r="GS28" s="26">
        <v>0</v>
      </c>
      <c r="GT28" s="26">
        <v>0</v>
      </c>
      <c r="GU28" s="32">
        <f t="shared" si="6"/>
        <v>0</v>
      </c>
      <c r="GV28" s="34" t="s">
        <v>32</v>
      </c>
      <c r="GW28" s="28"/>
      <c r="GX28" s="26" t="s">
        <v>32</v>
      </c>
      <c r="GY28" s="34" t="s">
        <v>32</v>
      </c>
      <c r="GZ28" s="32" t="s">
        <v>32</v>
      </c>
      <c r="HA28" s="32"/>
      <c r="HB28" s="34"/>
      <c r="HC28" s="28"/>
      <c r="HD28" s="28" t="s">
        <v>32</v>
      </c>
      <c r="HE28" s="26" t="s">
        <v>32</v>
      </c>
      <c r="HF28" s="34" t="s">
        <v>32</v>
      </c>
      <c r="HG28" s="32" t="s">
        <v>32</v>
      </c>
      <c r="HH28" s="32" t="s">
        <v>32</v>
      </c>
      <c r="HI28" s="29" t="s">
        <v>32</v>
      </c>
      <c r="HJ28" s="32" t="s">
        <v>32</v>
      </c>
      <c r="HK28" s="26" t="s">
        <v>32</v>
      </c>
      <c r="HL28" s="26" t="s">
        <v>32</v>
      </c>
      <c r="HM28" s="82" t="s">
        <v>32</v>
      </c>
      <c r="HN28" s="82"/>
      <c r="HO28" s="33">
        <f t="shared" si="31"/>
        <v>0</v>
      </c>
      <c r="HP28" s="24"/>
      <c r="HQ28" s="25">
        <v>46017</v>
      </c>
      <c r="HR28" s="28">
        <v>3072</v>
      </c>
      <c r="HS28" s="75">
        <v>831</v>
      </c>
      <c r="HT28" s="75">
        <v>7.5</v>
      </c>
      <c r="HU28" s="26">
        <v>1252</v>
      </c>
      <c r="HV28" s="26">
        <v>67160</v>
      </c>
      <c r="HW28" s="32">
        <f t="shared" si="7"/>
        <v>117260</v>
      </c>
      <c r="HX28" s="30" t="s">
        <v>32</v>
      </c>
      <c r="HY28" s="28"/>
      <c r="HZ28" s="26">
        <v>62000</v>
      </c>
      <c r="IA28" s="30" t="s">
        <v>32</v>
      </c>
      <c r="IB28" s="32">
        <v>550</v>
      </c>
      <c r="IC28" s="75"/>
      <c r="ID28" s="30"/>
      <c r="IE28" s="28">
        <v>2000</v>
      </c>
      <c r="IF28" s="28" t="s">
        <v>32</v>
      </c>
      <c r="IG28" s="26">
        <v>2710</v>
      </c>
      <c r="IH28" s="30" t="s">
        <v>32</v>
      </c>
      <c r="II28" s="28" t="s">
        <v>32</v>
      </c>
      <c r="IJ28" s="28" t="s">
        <v>32</v>
      </c>
      <c r="IK28" s="75">
        <v>25000</v>
      </c>
      <c r="IL28" s="32" t="s">
        <v>32</v>
      </c>
      <c r="IM28" s="26">
        <v>25000</v>
      </c>
      <c r="IN28" s="26" t="s">
        <v>40</v>
      </c>
      <c r="IO28" s="82" t="s">
        <v>32</v>
      </c>
      <c r="IP28" s="82"/>
      <c r="IQ28" s="33">
        <f t="shared" si="32"/>
        <v>117260</v>
      </c>
      <c r="IR28" s="24"/>
      <c r="IS28" s="25">
        <v>46048</v>
      </c>
      <c r="IT28" s="28">
        <v>3829</v>
      </c>
      <c r="IU28" s="75">
        <v>3895</v>
      </c>
      <c r="IV28" s="75">
        <v>9</v>
      </c>
      <c r="IW28" s="26">
        <v>0</v>
      </c>
      <c r="IX28" s="26">
        <v>0</v>
      </c>
      <c r="IY28" s="32">
        <f t="shared" si="8"/>
        <v>0</v>
      </c>
      <c r="IZ28" s="34" t="s">
        <v>32</v>
      </c>
      <c r="JA28" s="34"/>
      <c r="JB28" s="26" t="s">
        <v>32</v>
      </c>
      <c r="JC28" s="34" t="s">
        <v>32</v>
      </c>
      <c r="JD28" s="32" t="s">
        <v>32</v>
      </c>
      <c r="JE28" s="32"/>
      <c r="JF28" s="34"/>
      <c r="JG28" s="28"/>
      <c r="JH28" s="28" t="s">
        <v>32</v>
      </c>
      <c r="JI28" s="82" t="s">
        <v>32</v>
      </c>
      <c r="JJ28" s="34" t="s">
        <v>32</v>
      </c>
      <c r="JK28" s="32" t="s">
        <v>32</v>
      </c>
      <c r="JL28" s="32" t="s">
        <v>32</v>
      </c>
      <c r="JM28" s="29" t="s">
        <v>32</v>
      </c>
      <c r="JN28" s="28" t="s">
        <v>32</v>
      </c>
      <c r="JO28" s="26" t="s">
        <v>32</v>
      </c>
      <c r="JP28" s="34" t="s">
        <v>32</v>
      </c>
      <c r="JQ28" s="32" t="s">
        <v>32</v>
      </c>
      <c r="JR28" s="34"/>
      <c r="JS28" s="33">
        <f t="shared" si="33"/>
        <v>0</v>
      </c>
      <c r="JT28" s="24"/>
      <c r="JU28" s="25">
        <v>46079</v>
      </c>
      <c r="JV28" s="28">
        <v>2901</v>
      </c>
      <c r="JW28" s="75">
        <v>2580</v>
      </c>
      <c r="JX28" s="75">
        <v>8</v>
      </c>
      <c r="JY28" s="26">
        <v>0</v>
      </c>
      <c r="JZ28" s="26">
        <v>0</v>
      </c>
      <c r="KA28" s="32">
        <f t="shared" si="9"/>
        <v>0</v>
      </c>
      <c r="KB28" s="34" t="s">
        <v>32</v>
      </c>
      <c r="KC28" s="34"/>
      <c r="KD28" s="26" t="s">
        <v>32</v>
      </c>
      <c r="KE28" s="34" t="s">
        <v>32</v>
      </c>
      <c r="KF28" s="32" t="s">
        <v>32</v>
      </c>
      <c r="KG28" s="32"/>
      <c r="KH28" s="34"/>
      <c r="KI28" s="28"/>
      <c r="KJ28" s="28" t="s">
        <v>32</v>
      </c>
      <c r="KK28" s="82" t="s">
        <v>32</v>
      </c>
      <c r="KL28" s="34" t="s">
        <v>32</v>
      </c>
      <c r="KM28" s="32" t="s">
        <v>32</v>
      </c>
      <c r="KN28" s="32" t="s">
        <v>32</v>
      </c>
      <c r="KO28" s="29" t="s">
        <v>32</v>
      </c>
      <c r="KP28" s="28" t="s">
        <v>32</v>
      </c>
      <c r="KQ28" s="26" t="s">
        <v>32</v>
      </c>
      <c r="KR28" s="34" t="s">
        <v>32</v>
      </c>
      <c r="KS28" s="32" t="s">
        <v>32</v>
      </c>
      <c r="KT28" s="34"/>
      <c r="KU28" s="33">
        <f t="shared" si="34"/>
        <v>0</v>
      </c>
      <c r="KV28" s="24"/>
      <c r="KW28" s="25">
        <v>46107</v>
      </c>
      <c r="KX28" s="28">
        <v>2753</v>
      </c>
      <c r="KY28" s="75">
        <v>0</v>
      </c>
      <c r="KZ28" s="75">
        <v>8</v>
      </c>
      <c r="LA28" s="26">
        <v>0</v>
      </c>
      <c r="LB28" s="26">
        <v>0</v>
      </c>
      <c r="LC28" s="32">
        <f t="shared" si="10"/>
        <v>0</v>
      </c>
      <c r="LD28" s="34" t="s">
        <v>32</v>
      </c>
      <c r="LE28" s="34"/>
      <c r="LF28" s="26" t="s">
        <v>32</v>
      </c>
      <c r="LG28" s="34" t="s">
        <v>32</v>
      </c>
      <c r="LH28" s="32" t="s">
        <v>32</v>
      </c>
      <c r="LI28" s="32"/>
      <c r="LJ28" s="34"/>
      <c r="LK28" s="28"/>
      <c r="LL28" s="28" t="s">
        <v>32</v>
      </c>
      <c r="LM28" s="82" t="s">
        <v>32</v>
      </c>
      <c r="LN28" s="34" t="s">
        <v>32</v>
      </c>
      <c r="LO28" s="32" t="s">
        <v>32</v>
      </c>
      <c r="LP28" s="32" t="s">
        <v>32</v>
      </c>
      <c r="LQ28" s="29" t="s">
        <v>32</v>
      </c>
      <c r="LR28" s="28" t="s">
        <v>32</v>
      </c>
      <c r="LS28" s="26" t="s">
        <v>32</v>
      </c>
      <c r="LT28" s="34" t="s">
        <v>32</v>
      </c>
      <c r="LU28" s="32" t="s">
        <v>32</v>
      </c>
      <c r="LV28" s="34"/>
      <c r="LW28" s="33">
        <f t="shared" si="35"/>
        <v>0</v>
      </c>
      <c r="LX28" s="24"/>
    </row>
    <row r="29" spans="1:336" x14ac:dyDescent="0.3">
      <c r="A29" s="25">
        <v>45774</v>
      </c>
      <c r="B29" s="26">
        <v>0</v>
      </c>
      <c r="C29" s="26">
        <v>0</v>
      </c>
      <c r="D29" s="27">
        <f t="shared" si="0"/>
        <v>0</v>
      </c>
      <c r="E29" s="28">
        <v>0</v>
      </c>
      <c r="F29" s="29">
        <v>0</v>
      </c>
      <c r="G29" s="29">
        <v>0</v>
      </c>
      <c r="H29" s="34" t="s">
        <v>32</v>
      </c>
      <c r="I29" s="34"/>
      <c r="J29" s="31" t="s">
        <v>32</v>
      </c>
      <c r="K29" s="34" t="s">
        <v>32</v>
      </c>
      <c r="L29" s="32" t="s">
        <v>32</v>
      </c>
      <c r="M29" s="32"/>
      <c r="N29" s="34"/>
      <c r="O29" s="28" t="s">
        <v>32</v>
      </c>
      <c r="P29" s="28" t="s">
        <v>32</v>
      </c>
      <c r="Q29" s="34" t="s">
        <v>32</v>
      </c>
      <c r="R29" s="34" t="s">
        <v>32</v>
      </c>
      <c r="S29" s="32" t="s">
        <v>32</v>
      </c>
      <c r="T29" s="32" t="s">
        <v>32</v>
      </c>
      <c r="U29" s="29" t="s">
        <v>32</v>
      </c>
      <c r="V29" s="28" t="s">
        <v>32</v>
      </c>
      <c r="W29" s="26" t="s">
        <v>32</v>
      </c>
      <c r="X29" s="34" t="s">
        <v>32</v>
      </c>
      <c r="Y29" s="34" t="s">
        <v>32</v>
      </c>
      <c r="Z29" s="34"/>
      <c r="AA29" s="33">
        <f t="shared" si="24"/>
        <v>0</v>
      </c>
      <c r="AB29" s="24"/>
      <c r="AC29" s="25">
        <v>45804</v>
      </c>
      <c r="AD29" s="26">
        <v>6666</v>
      </c>
      <c r="AE29" s="26">
        <v>199363</v>
      </c>
      <c r="AF29" s="27">
        <f t="shared" si="1"/>
        <v>79695</v>
      </c>
      <c r="AG29" s="28">
        <v>0</v>
      </c>
      <c r="AH29" s="29">
        <v>0</v>
      </c>
      <c r="AI29" s="29">
        <v>0</v>
      </c>
      <c r="AJ29" s="34" t="s">
        <v>32</v>
      </c>
      <c r="AK29" s="34"/>
      <c r="AL29" s="31" t="s">
        <v>32</v>
      </c>
      <c r="AM29" s="34" t="s">
        <v>32</v>
      </c>
      <c r="AN29" s="32" t="s">
        <v>32</v>
      </c>
      <c r="AO29" s="32">
        <v>36400</v>
      </c>
      <c r="AP29" s="34"/>
      <c r="AQ29" s="28" t="s">
        <v>32</v>
      </c>
      <c r="AR29" s="28" t="s">
        <v>32</v>
      </c>
      <c r="AS29" s="34">
        <v>4595</v>
      </c>
      <c r="AT29" s="34" t="s">
        <v>32</v>
      </c>
      <c r="AU29" s="32" t="s">
        <v>32</v>
      </c>
      <c r="AV29" s="32" t="s">
        <v>32</v>
      </c>
      <c r="AW29" s="29">
        <v>1500</v>
      </c>
      <c r="AX29" s="28" t="s">
        <v>32</v>
      </c>
      <c r="AY29" s="26">
        <v>37200</v>
      </c>
      <c r="AZ29" s="34" t="s">
        <v>127</v>
      </c>
      <c r="BA29" s="34" t="s">
        <v>32</v>
      </c>
      <c r="BB29" s="34"/>
      <c r="BC29" s="33">
        <f t="shared" si="25"/>
        <v>79695</v>
      </c>
      <c r="BD29" s="24"/>
      <c r="BE29" s="25">
        <v>45835</v>
      </c>
      <c r="BF29" s="26">
        <v>0</v>
      </c>
      <c r="BG29" s="26">
        <v>0</v>
      </c>
      <c r="BH29" s="27">
        <f t="shared" si="2"/>
        <v>0</v>
      </c>
      <c r="BI29" s="28">
        <v>2689</v>
      </c>
      <c r="BJ29" s="29">
        <v>4086</v>
      </c>
      <c r="BK29" s="29">
        <v>6.75</v>
      </c>
      <c r="BL29" s="34" t="s">
        <v>32</v>
      </c>
      <c r="BM29" s="34"/>
      <c r="BN29" s="31" t="s">
        <v>32</v>
      </c>
      <c r="BO29" s="34" t="s">
        <v>32</v>
      </c>
      <c r="BP29" s="32" t="s">
        <v>32</v>
      </c>
      <c r="BQ29" s="32"/>
      <c r="BR29" s="34"/>
      <c r="BS29" s="28" t="s">
        <v>32</v>
      </c>
      <c r="BT29" s="28" t="s">
        <v>32</v>
      </c>
      <c r="BU29" s="34" t="s">
        <v>32</v>
      </c>
      <c r="BV29" s="34" t="s">
        <v>32</v>
      </c>
      <c r="BW29" s="32" t="s">
        <v>32</v>
      </c>
      <c r="BX29" s="32" t="s">
        <v>32</v>
      </c>
      <c r="BY29" s="29" t="s">
        <v>32</v>
      </c>
      <c r="BZ29" s="28" t="s">
        <v>32</v>
      </c>
      <c r="CA29" s="26" t="s">
        <v>32</v>
      </c>
      <c r="CB29" s="34" t="s">
        <v>32</v>
      </c>
      <c r="CC29" s="34" t="s">
        <v>32</v>
      </c>
      <c r="CD29" s="34"/>
      <c r="CE29" s="33">
        <f t="shared" si="26"/>
        <v>0</v>
      </c>
      <c r="CF29" s="24"/>
      <c r="CG29" s="25">
        <v>45865</v>
      </c>
      <c r="CH29" s="26">
        <v>87</v>
      </c>
      <c r="CI29" s="26">
        <v>4200</v>
      </c>
      <c r="CJ29" s="27">
        <f t="shared" si="3"/>
        <v>135470</v>
      </c>
      <c r="CK29" s="28">
        <v>3814</v>
      </c>
      <c r="CL29" s="29">
        <v>2376</v>
      </c>
      <c r="CM29" s="29">
        <v>6</v>
      </c>
      <c r="CN29" s="34" t="s">
        <v>32</v>
      </c>
      <c r="CO29" s="34"/>
      <c r="CP29" s="31">
        <v>76000</v>
      </c>
      <c r="CQ29" s="34">
        <v>52300</v>
      </c>
      <c r="CR29" s="32">
        <v>2350</v>
      </c>
      <c r="CS29" s="32"/>
      <c r="CT29" s="34"/>
      <c r="CU29" s="28" t="s">
        <v>32</v>
      </c>
      <c r="CV29" s="28" t="s">
        <v>32</v>
      </c>
      <c r="CW29" s="34">
        <v>3120</v>
      </c>
      <c r="CX29" s="34" t="s">
        <v>32</v>
      </c>
      <c r="CY29" s="32" t="s">
        <v>32</v>
      </c>
      <c r="CZ29" s="32" t="s">
        <v>32</v>
      </c>
      <c r="DA29" s="29" t="s">
        <v>32</v>
      </c>
      <c r="DB29" s="28" t="s">
        <v>32</v>
      </c>
      <c r="DC29" s="26">
        <v>1700</v>
      </c>
      <c r="DD29" s="34" t="s">
        <v>40</v>
      </c>
      <c r="DE29" s="34" t="s">
        <v>32</v>
      </c>
      <c r="DF29" s="34"/>
      <c r="DG29" s="33">
        <f t="shared" si="27"/>
        <v>135470</v>
      </c>
      <c r="DH29" s="24"/>
      <c r="DI29" s="25">
        <v>45896</v>
      </c>
      <c r="DJ29" s="26">
        <v>1174</v>
      </c>
      <c r="DK29" s="26">
        <v>66829</v>
      </c>
      <c r="DL29" s="28">
        <v>4309</v>
      </c>
      <c r="DM29" s="29">
        <v>1672</v>
      </c>
      <c r="DN29" s="29">
        <v>11</v>
      </c>
      <c r="DO29" s="27">
        <f t="shared" si="4"/>
        <v>25220</v>
      </c>
      <c r="DP29" s="34" t="s">
        <v>32</v>
      </c>
      <c r="DQ29" s="34"/>
      <c r="DR29" s="31" t="s">
        <v>32</v>
      </c>
      <c r="DS29" s="34" t="s">
        <v>32</v>
      </c>
      <c r="DT29" s="32" t="s">
        <v>32</v>
      </c>
      <c r="DU29" s="32"/>
      <c r="DV29" s="34"/>
      <c r="DW29" s="28" t="s">
        <v>32</v>
      </c>
      <c r="DX29" s="28" t="s">
        <v>32</v>
      </c>
      <c r="DY29" s="34">
        <v>3420</v>
      </c>
      <c r="DZ29" s="34" t="s">
        <v>32</v>
      </c>
      <c r="EA29" s="32" t="s">
        <v>32</v>
      </c>
      <c r="EB29" s="32" t="s">
        <v>32</v>
      </c>
      <c r="EC29" s="29" t="s">
        <v>32</v>
      </c>
      <c r="ED29" s="28" t="s">
        <v>32</v>
      </c>
      <c r="EE29" s="26">
        <v>10000</v>
      </c>
      <c r="EF29" s="34" t="s">
        <v>47</v>
      </c>
      <c r="EG29" s="34">
        <v>11800</v>
      </c>
      <c r="EH29" s="34" t="s">
        <v>138</v>
      </c>
      <c r="EI29" s="33">
        <f t="shared" si="28"/>
        <v>25220</v>
      </c>
      <c r="EJ29" s="24"/>
      <c r="EK29" s="25">
        <v>45927</v>
      </c>
      <c r="EL29" s="28">
        <v>2755</v>
      </c>
      <c r="EM29" s="28">
        <v>720</v>
      </c>
      <c r="EN29" s="28">
        <v>8.25</v>
      </c>
      <c r="EO29" s="26">
        <v>18690</v>
      </c>
      <c r="EP29" s="26">
        <v>714117</v>
      </c>
      <c r="EQ29" s="27">
        <f t="shared" si="5"/>
        <v>46950</v>
      </c>
      <c r="ER29" s="34" t="s">
        <v>32</v>
      </c>
      <c r="ES29" s="34"/>
      <c r="ET29" s="31">
        <v>24400</v>
      </c>
      <c r="EU29" s="34" t="s">
        <v>32</v>
      </c>
      <c r="EV29" s="30" t="s">
        <v>32</v>
      </c>
      <c r="EW29" s="30"/>
      <c r="EX29" s="34">
        <v>20000</v>
      </c>
      <c r="EY29" s="28" t="s">
        <v>32</v>
      </c>
      <c r="EZ29" s="28" t="s">
        <v>32</v>
      </c>
      <c r="FA29" s="34">
        <v>2550</v>
      </c>
      <c r="FB29" s="34" t="s">
        <v>32</v>
      </c>
      <c r="FC29" s="32" t="s">
        <v>32</v>
      </c>
      <c r="FD29" s="32" t="s">
        <v>32</v>
      </c>
      <c r="FE29" s="75" t="s">
        <v>32</v>
      </c>
      <c r="FF29" s="32" t="s">
        <v>32</v>
      </c>
      <c r="FG29" s="26" t="s">
        <v>32</v>
      </c>
      <c r="FH29" s="34" t="s">
        <v>32</v>
      </c>
      <c r="FI29" s="34" t="s">
        <v>32</v>
      </c>
      <c r="FJ29" s="34"/>
      <c r="FK29" s="33">
        <f t="shared" si="29"/>
        <v>46950</v>
      </c>
      <c r="FL29" s="24"/>
      <c r="FM29" s="25">
        <v>45957</v>
      </c>
      <c r="FN29" s="28">
        <v>0</v>
      </c>
      <c r="FO29" s="75">
        <v>0</v>
      </c>
      <c r="FP29" s="75">
        <v>0</v>
      </c>
      <c r="FQ29" s="26">
        <v>0</v>
      </c>
      <c r="FR29" s="26">
        <v>0</v>
      </c>
      <c r="FS29" s="32">
        <f t="shared" si="36"/>
        <v>0</v>
      </c>
      <c r="FT29" s="34" t="s">
        <v>32</v>
      </c>
      <c r="FU29" s="34"/>
      <c r="FV29" s="26" t="s">
        <v>32</v>
      </c>
      <c r="FW29" s="34" t="s">
        <v>32</v>
      </c>
      <c r="FX29" s="32" t="s">
        <v>32</v>
      </c>
      <c r="FY29" s="32"/>
      <c r="FZ29" s="34"/>
      <c r="GA29" s="28" t="s">
        <v>32</v>
      </c>
      <c r="GB29" s="28" t="s">
        <v>32</v>
      </c>
      <c r="GC29" s="82" t="s">
        <v>32</v>
      </c>
      <c r="GD29" s="34" t="s">
        <v>32</v>
      </c>
      <c r="GE29" s="32" t="s">
        <v>32</v>
      </c>
      <c r="GF29" s="32" t="s">
        <v>32</v>
      </c>
      <c r="GG29" s="29" t="s">
        <v>32</v>
      </c>
      <c r="GH29" s="28" t="s">
        <v>32</v>
      </c>
      <c r="GI29" s="26" t="s">
        <v>32</v>
      </c>
      <c r="GJ29" s="34" t="s">
        <v>32</v>
      </c>
      <c r="GK29" s="32" t="s">
        <v>32</v>
      </c>
      <c r="GL29" s="34"/>
      <c r="GM29" s="33">
        <f t="shared" si="30"/>
        <v>0</v>
      </c>
      <c r="GN29" s="24"/>
      <c r="GO29" s="25">
        <v>45988</v>
      </c>
      <c r="GP29" s="28">
        <v>3402</v>
      </c>
      <c r="GQ29" s="75">
        <v>2168</v>
      </c>
      <c r="GR29" s="75">
        <v>7.5</v>
      </c>
      <c r="GS29" s="26">
        <v>2175</v>
      </c>
      <c r="GT29" s="26">
        <v>113436</v>
      </c>
      <c r="GU29" s="32">
        <f t="shared" si="6"/>
        <v>63750</v>
      </c>
      <c r="GV29" s="34" t="s">
        <v>32</v>
      </c>
      <c r="GW29" s="28"/>
      <c r="GX29" s="26">
        <v>50000</v>
      </c>
      <c r="GY29" s="34" t="s">
        <v>32</v>
      </c>
      <c r="GZ29" s="32" t="s">
        <v>32</v>
      </c>
      <c r="HA29" s="32"/>
      <c r="HB29" s="34"/>
      <c r="HC29" s="28" t="s">
        <v>32</v>
      </c>
      <c r="HD29" s="28" t="s">
        <v>32</v>
      </c>
      <c r="HE29" s="26">
        <v>1750</v>
      </c>
      <c r="HF29" s="34" t="s">
        <v>32</v>
      </c>
      <c r="HG29" s="32" t="s">
        <v>32</v>
      </c>
      <c r="HH29" s="32" t="s">
        <v>32</v>
      </c>
      <c r="HI29" s="29">
        <v>12000</v>
      </c>
      <c r="HJ29" s="32" t="s">
        <v>32</v>
      </c>
      <c r="HK29" s="26" t="s">
        <v>32</v>
      </c>
      <c r="HL29" s="26" t="s">
        <v>32</v>
      </c>
      <c r="HM29" s="82" t="s">
        <v>32</v>
      </c>
      <c r="HN29" s="82"/>
      <c r="HO29" s="33">
        <f t="shared" si="31"/>
        <v>63750</v>
      </c>
      <c r="HP29" s="24"/>
      <c r="HQ29" s="25">
        <v>46018</v>
      </c>
      <c r="HR29" s="28">
        <v>2155</v>
      </c>
      <c r="HS29" s="75">
        <v>0</v>
      </c>
      <c r="HT29" s="75">
        <v>8</v>
      </c>
      <c r="HU29" s="26">
        <v>0</v>
      </c>
      <c r="HV29" s="26">
        <v>0</v>
      </c>
      <c r="HW29" s="32">
        <f t="shared" si="7"/>
        <v>0</v>
      </c>
      <c r="HX29" s="30" t="s">
        <v>32</v>
      </c>
      <c r="HY29" s="28"/>
      <c r="HZ29" s="26" t="s">
        <v>32</v>
      </c>
      <c r="IA29" s="30" t="s">
        <v>32</v>
      </c>
      <c r="IB29" s="32" t="s">
        <v>32</v>
      </c>
      <c r="IC29" s="75"/>
      <c r="ID29" s="30"/>
      <c r="IE29" s="28" t="s">
        <v>32</v>
      </c>
      <c r="IF29" s="28" t="s">
        <v>32</v>
      </c>
      <c r="IG29" s="26" t="s">
        <v>32</v>
      </c>
      <c r="IH29" s="30" t="s">
        <v>32</v>
      </c>
      <c r="II29" s="28" t="s">
        <v>32</v>
      </c>
      <c r="IJ29" s="28" t="s">
        <v>32</v>
      </c>
      <c r="IK29" s="75" t="s">
        <v>32</v>
      </c>
      <c r="IL29" s="32" t="s">
        <v>32</v>
      </c>
      <c r="IM29" s="26" t="s">
        <v>32</v>
      </c>
      <c r="IN29" s="26" t="s">
        <v>32</v>
      </c>
      <c r="IO29" s="82" t="s">
        <v>32</v>
      </c>
      <c r="IP29" s="82"/>
      <c r="IQ29" s="33">
        <f t="shared" si="32"/>
        <v>0</v>
      </c>
      <c r="IR29" s="24"/>
      <c r="IS29" s="25">
        <v>46049</v>
      </c>
      <c r="IT29" s="28">
        <v>3134</v>
      </c>
      <c r="IU29" s="75">
        <v>4257</v>
      </c>
      <c r="IV29" s="75">
        <v>9.5</v>
      </c>
      <c r="IW29" s="26">
        <v>4282</v>
      </c>
      <c r="IX29" s="26">
        <v>142015</v>
      </c>
      <c r="IY29" s="32">
        <f t="shared" si="8"/>
        <v>100588</v>
      </c>
      <c r="IZ29" s="34">
        <v>13980</v>
      </c>
      <c r="JA29" s="34">
        <v>17380</v>
      </c>
      <c r="JB29" s="26">
        <v>64000</v>
      </c>
      <c r="JC29" s="34" t="s">
        <v>32</v>
      </c>
      <c r="JD29" s="32">
        <v>4500</v>
      </c>
      <c r="JE29" s="32"/>
      <c r="JF29" s="34"/>
      <c r="JG29" s="28" t="s">
        <v>32</v>
      </c>
      <c r="JH29" s="28" t="s">
        <v>32</v>
      </c>
      <c r="JI29" s="82">
        <v>728</v>
      </c>
      <c r="JJ29" s="34" t="s">
        <v>32</v>
      </c>
      <c r="JK29" s="32" t="s">
        <v>32</v>
      </c>
      <c r="JL29" s="32" t="s">
        <v>32</v>
      </c>
      <c r="JM29" s="29" t="s">
        <v>32</v>
      </c>
      <c r="JN29" s="28" t="s">
        <v>32</v>
      </c>
      <c r="JO29" s="26" t="s">
        <v>32</v>
      </c>
      <c r="JP29" s="34" t="s">
        <v>32</v>
      </c>
      <c r="JQ29" s="32" t="s">
        <v>32</v>
      </c>
      <c r="JR29" s="34"/>
      <c r="JS29" s="33">
        <f t="shared" si="33"/>
        <v>100588</v>
      </c>
      <c r="JT29" s="24"/>
      <c r="JU29" s="25">
        <v>46080</v>
      </c>
      <c r="JV29" s="28">
        <v>3615</v>
      </c>
      <c r="JW29" s="75">
        <v>0</v>
      </c>
      <c r="JX29" s="75">
        <v>12</v>
      </c>
      <c r="JY29" s="26">
        <v>2001</v>
      </c>
      <c r="JZ29" s="26">
        <v>125487</v>
      </c>
      <c r="KA29" s="32">
        <f t="shared" si="9"/>
        <v>309806</v>
      </c>
      <c r="KB29" s="34" t="s">
        <v>32</v>
      </c>
      <c r="KC29" s="34"/>
      <c r="KD29" s="26">
        <v>80000</v>
      </c>
      <c r="KE29" s="34">
        <v>50000</v>
      </c>
      <c r="KF29" s="32">
        <v>29900</v>
      </c>
      <c r="KG29" s="32">
        <v>37600</v>
      </c>
      <c r="KH29" s="34">
        <v>100000</v>
      </c>
      <c r="KI29" s="28" t="s">
        <v>32</v>
      </c>
      <c r="KJ29" s="28" t="s">
        <v>32</v>
      </c>
      <c r="KK29" s="82">
        <v>3520</v>
      </c>
      <c r="KL29" s="34" t="s">
        <v>32</v>
      </c>
      <c r="KM29" s="32" t="s">
        <v>32</v>
      </c>
      <c r="KN29" s="32" t="s">
        <v>32</v>
      </c>
      <c r="KO29" s="29">
        <v>8786</v>
      </c>
      <c r="KP29" s="28" t="s">
        <v>32</v>
      </c>
      <c r="KQ29" s="26" t="s">
        <v>32</v>
      </c>
      <c r="KR29" s="34" t="s">
        <v>32</v>
      </c>
      <c r="KS29" s="32" t="s">
        <v>32</v>
      </c>
      <c r="KT29" s="34"/>
      <c r="KU29" s="33">
        <f t="shared" si="34"/>
        <v>309806</v>
      </c>
      <c r="KV29" s="24"/>
      <c r="KW29" s="25">
        <v>46108</v>
      </c>
      <c r="KX29" s="28">
        <v>2168</v>
      </c>
      <c r="KY29" s="75">
        <v>0</v>
      </c>
      <c r="KZ29" s="75">
        <v>7.75</v>
      </c>
      <c r="LA29" s="26">
        <v>8265</v>
      </c>
      <c r="LB29" s="26">
        <v>342313</v>
      </c>
      <c r="LC29" s="32">
        <f t="shared" si="10"/>
        <v>200590</v>
      </c>
      <c r="LD29" s="34">
        <v>17100</v>
      </c>
      <c r="LE29" s="34">
        <v>12800</v>
      </c>
      <c r="LF29" s="26">
        <v>89000</v>
      </c>
      <c r="LG29" s="34">
        <v>80000</v>
      </c>
      <c r="LH29" s="32" t="s">
        <v>32</v>
      </c>
      <c r="LI29" s="32"/>
      <c r="LJ29" s="34"/>
      <c r="LK29" s="28" t="s">
        <v>32</v>
      </c>
      <c r="LL29" s="28" t="s">
        <v>32</v>
      </c>
      <c r="LM29" s="82">
        <v>1490</v>
      </c>
      <c r="LN29" s="34" t="s">
        <v>32</v>
      </c>
      <c r="LO29" s="32" t="s">
        <v>32</v>
      </c>
      <c r="LP29" s="32" t="s">
        <v>32</v>
      </c>
      <c r="LQ29" s="29" t="s">
        <v>32</v>
      </c>
      <c r="LR29" s="28" t="s">
        <v>32</v>
      </c>
      <c r="LS29" s="26">
        <v>200</v>
      </c>
      <c r="LT29" s="34" t="s">
        <v>40</v>
      </c>
      <c r="LU29" s="32" t="s">
        <v>32</v>
      </c>
      <c r="LV29" s="34"/>
      <c r="LW29" s="33">
        <f t="shared" si="35"/>
        <v>200590</v>
      </c>
      <c r="LX29" s="24"/>
    </row>
    <row r="30" spans="1:336" x14ac:dyDescent="0.3">
      <c r="A30" s="25">
        <v>45775</v>
      </c>
      <c r="B30" s="26">
        <v>0</v>
      </c>
      <c r="C30" s="26">
        <v>0</v>
      </c>
      <c r="D30" s="27">
        <f t="shared" si="0"/>
        <v>42250</v>
      </c>
      <c r="E30" s="28">
        <v>2952</v>
      </c>
      <c r="F30" s="29">
        <v>0</v>
      </c>
      <c r="G30" s="29">
        <v>6.25</v>
      </c>
      <c r="H30" s="34" t="s">
        <v>32</v>
      </c>
      <c r="I30" s="34"/>
      <c r="J30" s="31" t="s">
        <v>32</v>
      </c>
      <c r="K30" s="34" t="s">
        <v>32</v>
      </c>
      <c r="L30" s="32">
        <v>470</v>
      </c>
      <c r="M30" s="32">
        <v>5020</v>
      </c>
      <c r="N30" s="34">
        <v>30000</v>
      </c>
      <c r="O30" s="28" t="s">
        <v>32</v>
      </c>
      <c r="P30" s="28" t="s">
        <v>32</v>
      </c>
      <c r="Q30" s="34">
        <v>1760</v>
      </c>
      <c r="R30" s="34" t="s">
        <v>32</v>
      </c>
      <c r="S30" s="32" t="s">
        <v>32</v>
      </c>
      <c r="T30" s="32" t="s">
        <v>32</v>
      </c>
      <c r="U30" s="29" t="s">
        <v>32</v>
      </c>
      <c r="V30" s="28" t="s">
        <v>32</v>
      </c>
      <c r="W30" s="26">
        <v>5000</v>
      </c>
      <c r="X30" s="34" t="s">
        <v>40</v>
      </c>
      <c r="Y30" s="34" t="s">
        <v>32</v>
      </c>
      <c r="Z30" s="34"/>
      <c r="AA30" s="33">
        <f t="shared" si="24"/>
        <v>42250</v>
      </c>
      <c r="AB30" s="24"/>
      <c r="AC30" s="25">
        <v>45805</v>
      </c>
      <c r="AD30" s="26">
        <v>0</v>
      </c>
      <c r="AE30" s="26">
        <v>0</v>
      </c>
      <c r="AF30" s="27">
        <f t="shared" si="1"/>
        <v>0</v>
      </c>
      <c r="AG30" s="28">
        <v>1593</v>
      </c>
      <c r="AH30" s="29">
        <v>3184</v>
      </c>
      <c r="AI30" s="29">
        <v>7</v>
      </c>
      <c r="AJ30" s="34" t="s">
        <v>32</v>
      </c>
      <c r="AK30" s="34"/>
      <c r="AL30" s="31" t="s">
        <v>32</v>
      </c>
      <c r="AM30" s="34" t="s">
        <v>32</v>
      </c>
      <c r="AN30" s="32" t="s">
        <v>32</v>
      </c>
      <c r="AO30" s="32"/>
      <c r="AP30" s="34" t="s">
        <v>32</v>
      </c>
      <c r="AQ30" s="28" t="s">
        <v>32</v>
      </c>
      <c r="AR30" s="28" t="s">
        <v>32</v>
      </c>
      <c r="AS30" s="34" t="s">
        <v>32</v>
      </c>
      <c r="AT30" s="34" t="s">
        <v>32</v>
      </c>
      <c r="AU30" s="32" t="s">
        <v>32</v>
      </c>
      <c r="AV30" s="32" t="s">
        <v>32</v>
      </c>
      <c r="AW30" s="29" t="s">
        <v>32</v>
      </c>
      <c r="AX30" s="28" t="s">
        <v>32</v>
      </c>
      <c r="AY30" s="26" t="s">
        <v>32</v>
      </c>
      <c r="AZ30" s="34" t="s">
        <v>32</v>
      </c>
      <c r="BA30" s="34" t="s">
        <v>32</v>
      </c>
      <c r="BB30" s="34"/>
      <c r="BC30" s="33">
        <f t="shared" si="25"/>
        <v>0</v>
      </c>
      <c r="BD30" s="24"/>
      <c r="BE30" s="25">
        <v>45836</v>
      </c>
      <c r="BF30" s="26">
        <v>9568</v>
      </c>
      <c r="BG30" s="26">
        <v>643357</v>
      </c>
      <c r="BH30" s="27">
        <f t="shared" si="2"/>
        <v>278496</v>
      </c>
      <c r="BI30" s="28">
        <v>2849</v>
      </c>
      <c r="BJ30" s="29">
        <v>4052</v>
      </c>
      <c r="BK30" s="29">
        <v>6.75</v>
      </c>
      <c r="BL30" s="34" t="s">
        <v>32</v>
      </c>
      <c r="BM30" s="34"/>
      <c r="BN30" s="31">
        <v>69900</v>
      </c>
      <c r="BO30" s="34">
        <v>160000</v>
      </c>
      <c r="BP30" s="32">
        <v>150</v>
      </c>
      <c r="BQ30" s="32"/>
      <c r="BR30" s="34">
        <v>46100</v>
      </c>
      <c r="BS30" s="28" t="s">
        <v>32</v>
      </c>
      <c r="BT30" s="28" t="s">
        <v>32</v>
      </c>
      <c r="BU30" s="34">
        <v>2346</v>
      </c>
      <c r="BV30" s="34" t="s">
        <v>32</v>
      </c>
      <c r="BW30" s="32" t="s">
        <v>32</v>
      </c>
      <c r="BX30" s="32" t="s">
        <v>32</v>
      </c>
      <c r="BY30" s="29" t="s">
        <v>32</v>
      </c>
      <c r="BZ30" s="28" t="s">
        <v>32</v>
      </c>
      <c r="CA30" s="26" t="s">
        <v>32</v>
      </c>
      <c r="CB30" s="34" t="s">
        <v>32</v>
      </c>
      <c r="CC30" s="34" t="s">
        <v>32</v>
      </c>
      <c r="CD30" s="34"/>
      <c r="CE30" s="33">
        <f t="shared" si="26"/>
        <v>278496</v>
      </c>
      <c r="CF30" s="24"/>
      <c r="CG30" s="25">
        <v>45866</v>
      </c>
      <c r="CH30" s="26">
        <v>0</v>
      </c>
      <c r="CI30" s="26">
        <v>0</v>
      </c>
      <c r="CJ30" s="27">
        <f t="shared" si="3"/>
        <v>0</v>
      </c>
      <c r="CK30" s="28">
        <v>3630</v>
      </c>
      <c r="CL30" s="29">
        <v>0</v>
      </c>
      <c r="CM30" s="29">
        <v>4.5</v>
      </c>
      <c r="CN30" s="34" t="s">
        <v>32</v>
      </c>
      <c r="CO30" s="34"/>
      <c r="CP30" s="31" t="s">
        <v>32</v>
      </c>
      <c r="CQ30" s="34" t="s">
        <v>32</v>
      </c>
      <c r="CR30" s="32" t="s">
        <v>32</v>
      </c>
      <c r="CS30" s="32"/>
      <c r="CT30" s="34" t="s">
        <v>32</v>
      </c>
      <c r="CU30" s="28" t="s">
        <v>32</v>
      </c>
      <c r="CV30" s="28" t="s">
        <v>32</v>
      </c>
      <c r="CW30" s="34" t="s">
        <v>32</v>
      </c>
      <c r="CX30" s="34" t="s">
        <v>32</v>
      </c>
      <c r="CY30" s="32" t="s">
        <v>32</v>
      </c>
      <c r="CZ30" s="32" t="s">
        <v>32</v>
      </c>
      <c r="DA30" s="29" t="s">
        <v>32</v>
      </c>
      <c r="DB30" s="28" t="s">
        <v>32</v>
      </c>
      <c r="DC30" s="26" t="s">
        <v>32</v>
      </c>
      <c r="DD30" s="34" t="s">
        <v>32</v>
      </c>
      <c r="DE30" s="34" t="s">
        <v>32</v>
      </c>
      <c r="DF30" s="34"/>
      <c r="DG30" s="33">
        <f t="shared" si="27"/>
        <v>0</v>
      </c>
      <c r="DH30" s="24"/>
      <c r="DI30" s="25">
        <v>45897</v>
      </c>
      <c r="DJ30" s="26">
        <v>0</v>
      </c>
      <c r="DK30" s="26">
        <v>0</v>
      </c>
      <c r="DL30" s="28">
        <v>3478</v>
      </c>
      <c r="DM30" s="29">
        <v>2775</v>
      </c>
      <c r="DN30" s="29">
        <v>8.5</v>
      </c>
      <c r="DO30" s="27">
        <f t="shared" si="4"/>
        <v>0</v>
      </c>
      <c r="DP30" s="34" t="s">
        <v>32</v>
      </c>
      <c r="DQ30" s="34"/>
      <c r="DR30" s="31" t="s">
        <v>32</v>
      </c>
      <c r="DS30" s="34" t="s">
        <v>32</v>
      </c>
      <c r="DT30" s="32" t="s">
        <v>32</v>
      </c>
      <c r="DU30" s="32"/>
      <c r="DV30" s="34" t="s">
        <v>32</v>
      </c>
      <c r="DW30" s="28" t="s">
        <v>32</v>
      </c>
      <c r="DX30" s="28" t="s">
        <v>32</v>
      </c>
      <c r="DY30" s="34" t="s">
        <v>32</v>
      </c>
      <c r="DZ30" s="34" t="s">
        <v>32</v>
      </c>
      <c r="EA30" s="32" t="s">
        <v>32</v>
      </c>
      <c r="EB30" s="32" t="s">
        <v>32</v>
      </c>
      <c r="EC30" s="29" t="s">
        <v>32</v>
      </c>
      <c r="ED30" s="28" t="s">
        <v>32</v>
      </c>
      <c r="EE30" s="26" t="s">
        <v>32</v>
      </c>
      <c r="EF30" s="34" t="s">
        <v>32</v>
      </c>
      <c r="EG30" s="34" t="s">
        <v>32</v>
      </c>
      <c r="EH30" s="34"/>
      <c r="EI30" s="33">
        <f t="shared" si="28"/>
        <v>0</v>
      </c>
      <c r="EJ30" s="24"/>
      <c r="EK30" s="25">
        <v>45928</v>
      </c>
      <c r="EL30" s="28">
        <v>2721</v>
      </c>
      <c r="EM30" s="28">
        <v>2604</v>
      </c>
      <c r="EN30" s="28">
        <v>8.25</v>
      </c>
      <c r="EO30" s="26">
        <v>0</v>
      </c>
      <c r="EP30" s="26">
        <v>0</v>
      </c>
      <c r="EQ30" s="27">
        <f t="shared" si="5"/>
        <v>0</v>
      </c>
      <c r="ER30" s="34" t="s">
        <v>32</v>
      </c>
      <c r="ES30" s="34"/>
      <c r="ET30" s="31" t="s">
        <v>32</v>
      </c>
      <c r="EU30" s="34" t="s">
        <v>32</v>
      </c>
      <c r="EV30" s="30" t="s">
        <v>32</v>
      </c>
      <c r="EW30" s="30"/>
      <c r="EX30" s="34" t="s">
        <v>32</v>
      </c>
      <c r="EY30" s="28" t="s">
        <v>32</v>
      </c>
      <c r="EZ30" s="28" t="s">
        <v>32</v>
      </c>
      <c r="FA30" s="34" t="s">
        <v>32</v>
      </c>
      <c r="FB30" s="34" t="s">
        <v>32</v>
      </c>
      <c r="FC30" s="32" t="s">
        <v>32</v>
      </c>
      <c r="FD30" s="32" t="s">
        <v>32</v>
      </c>
      <c r="FE30" s="75" t="s">
        <v>32</v>
      </c>
      <c r="FF30" s="32" t="s">
        <v>32</v>
      </c>
      <c r="FG30" s="26" t="s">
        <v>32</v>
      </c>
      <c r="FH30" s="34" t="s">
        <v>32</v>
      </c>
      <c r="FI30" s="34" t="s">
        <v>32</v>
      </c>
      <c r="FJ30" s="34"/>
      <c r="FK30" s="33">
        <f t="shared" si="29"/>
        <v>0</v>
      </c>
      <c r="FL30" s="24"/>
      <c r="FM30" s="25">
        <v>45958</v>
      </c>
      <c r="FN30" s="28">
        <v>2269</v>
      </c>
      <c r="FO30" s="75">
        <v>0</v>
      </c>
      <c r="FP30" s="75">
        <v>0</v>
      </c>
      <c r="FQ30" s="26">
        <v>1195</v>
      </c>
      <c r="FR30" s="26">
        <v>56000</v>
      </c>
      <c r="FS30" s="32">
        <f t="shared" si="36"/>
        <v>506296</v>
      </c>
      <c r="FT30" s="34" t="s">
        <v>32</v>
      </c>
      <c r="FU30" s="34"/>
      <c r="FV30" s="26" t="s">
        <v>32</v>
      </c>
      <c r="FW30" s="34" t="s">
        <v>32</v>
      </c>
      <c r="FX30" s="32">
        <v>4000</v>
      </c>
      <c r="FY30" s="32"/>
      <c r="FZ30" s="34" t="s">
        <v>32</v>
      </c>
      <c r="GA30" s="28" t="s">
        <v>32</v>
      </c>
      <c r="GB30" s="28">
        <v>550</v>
      </c>
      <c r="GC30" s="82">
        <v>1746</v>
      </c>
      <c r="GD30" s="34" t="s">
        <v>32</v>
      </c>
      <c r="GE30" s="32" t="s">
        <v>32</v>
      </c>
      <c r="GF30" s="32" t="s">
        <v>32</v>
      </c>
      <c r="GG30" s="29" t="s">
        <v>32</v>
      </c>
      <c r="GH30" s="28" t="s">
        <v>32</v>
      </c>
      <c r="GI30" s="26">
        <v>500000</v>
      </c>
      <c r="GJ30" s="34" t="s">
        <v>149</v>
      </c>
      <c r="GK30" s="32" t="s">
        <v>32</v>
      </c>
      <c r="GL30" s="34"/>
      <c r="GM30" s="33">
        <f t="shared" si="30"/>
        <v>506296</v>
      </c>
      <c r="GN30" s="24"/>
      <c r="GO30" s="25">
        <v>45989</v>
      </c>
      <c r="GP30" s="28">
        <v>3208</v>
      </c>
      <c r="GQ30" s="75">
        <v>0</v>
      </c>
      <c r="GR30" s="75">
        <v>10</v>
      </c>
      <c r="GS30" s="26">
        <v>0</v>
      </c>
      <c r="GT30" s="26">
        <v>0</v>
      </c>
      <c r="GU30" s="32">
        <f t="shared" si="6"/>
        <v>0</v>
      </c>
      <c r="GV30" s="34" t="s">
        <v>32</v>
      </c>
      <c r="GW30" s="28"/>
      <c r="GX30" s="26" t="s">
        <v>32</v>
      </c>
      <c r="GY30" s="34" t="s">
        <v>32</v>
      </c>
      <c r="GZ30" s="32" t="s">
        <v>32</v>
      </c>
      <c r="HA30" s="32"/>
      <c r="HB30" s="34" t="s">
        <v>32</v>
      </c>
      <c r="HC30" s="28" t="s">
        <v>32</v>
      </c>
      <c r="HD30" s="28" t="s">
        <v>32</v>
      </c>
      <c r="HE30" s="26" t="s">
        <v>32</v>
      </c>
      <c r="HF30" s="34" t="s">
        <v>32</v>
      </c>
      <c r="HG30" s="32" t="s">
        <v>32</v>
      </c>
      <c r="HH30" s="32" t="s">
        <v>32</v>
      </c>
      <c r="HI30" s="29" t="s">
        <v>32</v>
      </c>
      <c r="HJ30" s="32" t="s">
        <v>32</v>
      </c>
      <c r="HK30" s="26" t="s">
        <v>32</v>
      </c>
      <c r="HL30" s="26" t="s">
        <v>32</v>
      </c>
      <c r="HM30" s="82" t="s">
        <v>32</v>
      </c>
      <c r="HN30" s="82"/>
      <c r="HO30" s="33">
        <f t="shared" si="31"/>
        <v>0</v>
      </c>
      <c r="HP30" s="24"/>
      <c r="HQ30" s="25">
        <v>46019</v>
      </c>
      <c r="HR30" s="28">
        <v>3934</v>
      </c>
      <c r="HS30" s="75">
        <v>2227</v>
      </c>
      <c r="HT30" s="75">
        <v>7</v>
      </c>
      <c r="HU30" s="26">
        <v>3672</v>
      </c>
      <c r="HV30" s="26">
        <v>190067</v>
      </c>
      <c r="HW30" s="32">
        <f t="shared" si="7"/>
        <v>90810</v>
      </c>
      <c r="HX30" s="30">
        <v>41000</v>
      </c>
      <c r="HY30" s="28">
        <v>13700</v>
      </c>
      <c r="HZ30" s="26" t="s">
        <v>32</v>
      </c>
      <c r="IA30" s="30" t="s">
        <v>32</v>
      </c>
      <c r="IB30" s="32">
        <v>4400</v>
      </c>
      <c r="IC30" s="75">
        <v>10000</v>
      </c>
      <c r="ID30" s="30" t="s">
        <v>32</v>
      </c>
      <c r="IE30" s="28" t="s">
        <v>32</v>
      </c>
      <c r="IF30" s="28" t="s">
        <v>32</v>
      </c>
      <c r="IG30" s="26">
        <v>710</v>
      </c>
      <c r="IH30" s="30" t="s">
        <v>32</v>
      </c>
      <c r="II30" s="28" t="s">
        <v>32</v>
      </c>
      <c r="IJ30" s="28" t="s">
        <v>32</v>
      </c>
      <c r="IK30" s="75">
        <v>21000</v>
      </c>
      <c r="IL30" s="32" t="s">
        <v>32</v>
      </c>
      <c r="IM30" s="26" t="s">
        <v>32</v>
      </c>
      <c r="IN30" s="26" t="s">
        <v>32</v>
      </c>
      <c r="IO30" s="82" t="s">
        <v>32</v>
      </c>
      <c r="IP30" s="82"/>
      <c r="IQ30" s="33">
        <f t="shared" si="32"/>
        <v>90810</v>
      </c>
      <c r="IR30" s="24"/>
      <c r="IS30" s="25">
        <v>46050</v>
      </c>
      <c r="IT30" s="28">
        <v>3093</v>
      </c>
      <c r="IU30" s="75">
        <v>0</v>
      </c>
      <c r="IV30" s="75">
        <v>9</v>
      </c>
      <c r="IW30" s="26">
        <v>0</v>
      </c>
      <c r="IX30" s="26">
        <v>0</v>
      </c>
      <c r="IY30" s="32">
        <f t="shared" si="8"/>
        <v>0</v>
      </c>
      <c r="IZ30" s="34" t="s">
        <v>32</v>
      </c>
      <c r="JA30" s="34"/>
      <c r="JB30" s="26" t="s">
        <v>32</v>
      </c>
      <c r="JC30" s="34" t="s">
        <v>32</v>
      </c>
      <c r="JD30" s="32" t="s">
        <v>32</v>
      </c>
      <c r="JE30" s="32"/>
      <c r="JF30" s="34" t="s">
        <v>32</v>
      </c>
      <c r="JG30" s="28" t="s">
        <v>32</v>
      </c>
      <c r="JH30" s="28" t="s">
        <v>32</v>
      </c>
      <c r="JI30" s="82" t="s">
        <v>32</v>
      </c>
      <c r="JJ30" s="34" t="s">
        <v>32</v>
      </c>
      <c r="JK30" s="32" t="s">
        <v>32</v>
      </c>
      <c r="JL30" s="32" t="s">
        <v>32</v>
      </c>
      <c r="JM30" s="29" t="s">
        <v>32</v>
      </c>
      <c r="JN30" s="28" t="s">
        <v>32</v>
      </c>
      <c r="JO30" s="26" t="s">
        <v>32</v>
      </c>
      <c r="JP30" s="34" t="s">
        <v>32</v>
      </c>
      <c r="JQ30" s="32" t="s">
        <v>32</v>
      </c>
      <c r="JR30" s="34"/>
      <c r="JS30" s="33">
        <f t="shared" si="33"/>
        <v>0</v>
      </c>
      <c r="JT30" s="24"/>
      <c r="JU30" s="25">
        <v>46081</v>
      </c>
      <c r="JV30" s="28">
        <v>2662</v>
      </c>
      <c r="JW30" s="75">
        <v>4912</v>
      </c>
      <c r="JX30" s="75">
        <v>8</v>
      </c>
      <c r="JY30" s="26">
        <v>474</v>
      </c>
      <c r="JZ30" s="26">
        <v>19870</v>
      </c>
      <c r="KA30" s="32">
        <f t="shared" si="9"/>
        <v>1385159</v>
      </c>
      <c r="KB30" s="34">
        <v>4500</v>
      </c>
      <c r="KC30" s="34"/>
      <c r="KD30" s="26">
        <v>607280</v>
      </c>
      <c r="KE30" s="34">
        <v>225000</v>
      </c>
      <c r="KF30" s="32">
        <v>10500</v>
      </c>
      <c r="KG30" s="32">
        <v>2500</v>
      </c>
      <c r="KH30" s="34">
        <v>77900</v>
      </c>
      <c r="KI30" s="28">
        <v>750</v>
      </c>
      <c r="KJ30" s="28" t="s">
        <v>32</v>
      </c>
      <c r="KK30" s="82">
        <v>800</v>
      </c>
      <c r="KL30" s="34" t="s">
        <v>32</v>
      </c>
      <c r="KM30" s="32">
        <v>405929</v>
      </c>
      <c r="KN30" s="32" t="s">
        <v>176</v>
      </c>
      <c r="KO30" s="29" t="s">
        <v>32</v>
      </c>
      <c r="KP30" s="28" t="s">
        <v>32</v>
      </c>
      <c r="KQ30" s="26">
        <v>50000</v>
      </c>
      <c r="KR30" s="34" t="s">
        <v>57</v>
      </c>
      <c r="KS30" s="32" t="s">
        <v>32</v>
      </c>
      <c r="KT30" s="34"/>
      <c r="KU30" s="33">
        <f t="shared" si="34"/>
        <v>1385159</v>
      </c>
      <c r="KV30" s="24"/>
      <c r="KW30" s="25">
        <v>46109</v>
      </c>
      <c r="KX30" s="28">
        <v>1433</v>
      </c>
      <c r="KY30" s="75">
        <v>5902</v>
      </c>
      <c r="KZ30" s="75">
        <v>13</v>
      </c>
      <c r="LA30" s="26">
        <v>0</v>
      </c>
      <c r="LB30" s="26">
        <v>0</v>
      </c>
      <c r="LC30" s="32">
        <f t="shared" si="10"/>
        <v>211946</v>
      </c>
      <c r="LD30" s="34">
        <v>18050</v>
      </c>
      <c r="LE30" s="34">
        <v>13500</v>
      </c>
      <c r="LF30" s="26">
        <v>117000</v>
      </c>
      <c r="LG30" s="34" t="s">
        <v>32</v>
      </c>
      <c r="LH30" s="32" t="s">
        <v>32</v>
      </c>
      <c r="LI30" s="32">
        <v>5000</v>
      </c>
      <c r="LJ30" s="34">
        <v>25500</v>
      </c>
      <c r="LK30" s="28" t="s">
        <v>32</v>
      </c>
      <c r="LL30" s="28" t="s">
        <v>32</v>
      </c>
      <c r="LM30" s="82">
        <v>196</v>
      </c>
      <c r="LN30" s="34" t="s">
        <v>32</v>
      </c>
      <c r="LO30" s="32" t="s">
        <v>32</v>
      </c>
      <c r="LP30" s="32" t="s">
        <v>32</v>
      </c>
      <c r="LQ30" s="29" t="s">
        <v>32</v>
      </c>
      <c r="LR30" s="28" t="s">
        <v>32</v>
      </c>
      <c r="LS30" s="26" t="s">
        <v>32</v>
      </c>
      <c r="LT30" s="34" t="s">
        <v>32</v>
      </c>
      <c r="LU30" s="32">
        <v>32700</v>
      </c>
      <c r="LV30" s="34" t="s">
        <v>179</v>
      </c>
      <c r="LW30" s="33">
        <f t="shared" si="35"/>
        <v>211946</v>
      </c>
      <c r="LX30" s="24"/>
    </row>
    <row r="31" spans="1:336" x14ac:dyDescent="0.3">
      <c r="A31" s="25">
        <v>45776</v>
      </c>
      <c r="B31" s="26">
        <v>0</v>
      </c>
      <c r="C31" s="26">
        <v>0</v>
      </c>
      <c r="D31" s="27">
        <f t="shared" si="0"/>
        <v>0</v>
      </c>
      <c r="E31" s="28">
        <v>3089</v>
      </c>
      <c r="F31" s="29">
        <v>3060</v>
      </c>
      <c r="G31" s="29">
        <v>6.25</v>
      </c>
      <c r="H31" s="34" t="s">
        <v>32</v>
      </c>
      <c r="I31" s="34"/>
      <c r="J31" s="31" t="s">
        <v>32</v>
      </c>
      <c r="K31" s="34" t="s">
        <v>32</v>
      </c>
      <c r="L31" s="32" t="s">
        <v>32</v>
      </c>
      <c r="M31" s="32"/>
      <c r="N31" s="34"/>
      <c r="O31" s="28"/>
      <c r="P31" s="28" t="s">
        <v>32</v>
      </c>
      <c r="Q31" s="34" t="s">
        <v>32</v>
      </c>
      <c r="R31" s="34" t="s">
        <v>32</v>
      </c>
      <c r="S31" s="32" t="s">
        <v>32</v>
      </c>
      <c r="T31" s="32" t="s">
        <v>32</v>
      </c>
      <c r="U31" s="29" t="s">
        <v>32</v>
      </c>
      <c r="V31" s="28" t="s">
        <v>33</v>
      </c>
      <c r="W31" s="26" t="s">
        <v>32</v>
      </c>
      <c r="X31" s="34" t="s">
        <v>32</v>
      </c>
      <c r="Y31" s="34" t="s">
        <v>32</v>
      </c>
      <c r="Z31" s="34" t="s">
        <v>32</v>
      </c>
      <c r="AA31" s="33">
        <f t="shared" si="24"/>
        <v>0</v>
      </c>
      <c r="AB31" s="24"/>
      <c r="AC31" s="25">
        <v>45806</v>
      </c>
      <c r="AD31" s="26">
        <v>8890</v>
      </c>
      <c r="AE31" s="26">
        <v>655432</v>
      </c>
      <c r="AF31" s="27">
        <f t="shared" si="1"/>
        <v>21670</v>
      </c>
      <c r="AG31" s="28">
        <v>2466</v>
      </c>
      <c r="AH31" s="29">
        <v>0</v>
      </c>
      <c r="AI31" s="29">
        <v>9.5</v>
      </c>
      <c r="AJ31" s="34" t="s">
        <v>32</v>
      </c>
      <c r="AK31" s="34" t="s">
        <v>32</v>
      </c>
      <c r="AL31" s="31" t="s">
        <v>32</v>
      </c>
      <c r="AM31" s="34" t="s">
        <v>32</v>
      </c>
      <c r="AN31" s="32" t="s">
        <v>32</v>
      </c>
      <c r="AO31" s="32">
        <v>20500</v>
      </c>
      <c r="AP31" s="34" t="s">
        <v>32</v>
      </c>
      <c r="AQ31" s="28" t="s">
        <v>32</v>
      </c>
      <c r="AR31" s="28" t="s">
        <v>32</v>
      </c>
      <c r="AS31" s="34">
        <v>1170</v>
      </c>
      <c r="AT31" s="34" t="s">
        <v>32</v>
      </c>
      <c r="AU31" s="32" t="s">
        <v>32</v>
      </c>
      <c r="AV31" s="32" t="s">
        <v>32</v>
      </c>
      <c r="AW31" s="29" t="s">
        <v>32</v>
      </c>
      <c r="AX31" s="28" t="s">
        <v>32</v>
      </c>
      <c r="AY31" s="26" t="s">
        <v>32</v>
      </c>
      <c r="AZ31" s="34" t="s">
        <v>32</v>
      </c>
      <c r="BA31" s="34" t="s">
        <v>32</v>
      </c>
      <c r="BB31" s="34" t="s">
        <v>32</v>
      </c>
      <c r="BC31" s="33">
        <f t="shared" si="25"/>
        <v>21670</v>
      </c>
      <c r="BD31" s="24"/>
      <c r="BE31" s="25">
        <v>45837</v>
      </c>
      <c r="BF31" s="26">
        <v>7104</v>
      </c>
      <c r="BG31" s="26">
        <v>458157</v>
      </c>
      <c r="BH31" s="27">
        <f t="shared" si="2"/>
        <v>2800</v>
      </c>
      <c r="BI31" s="28">
        <v>2229</v>
      </c>
      <c r="BJ31" s="29">
        <v>0</v>
      </c>
      <c r="BK31" s="29">
        <v>5</v>
      </c>
      <c r="BL31" s="34" t="s">
        <v>32</v>
      </c>
      <c r="BM31" s="34" t="s">
        <v>32</v>
      </c>
      <c r="BN31" s="31" t="s">
        <v>32</v>
      </c>
      <c r="BO31" s="34" t="s">
        <v>32</v>
      </c>
      <c r="BP31" s="32" t="s">
        <v>32</v>
      </c>
      <c r="BQ31" s="32" t="s">
        <v>32</v>
      </c>
      <c r="BR31" s="34" t="s">
        <v>32</v>
      </c>
      <c r="BS31" s="28" t="s">
        <v>32</v>
      </c>
      <c r="BT31" s="28" t="s">
        <v>32</v>
      </c>
      <c r="BU31" s="34">
        <v>2800</v>
      </c>
      <c r="BV31" s="34" t="s">
        <v>32</v>
      </c>
      <c r="BW31" s="32" t="s">
        <v>32</v>
      </c>
      <c r="BX31" s="32" t="s">
        <v>32</v>
      </c>
      <c r="BY31" s="29" t="s">
        <v>32</v>
      </c>
      <c r="BZ31" s="28" t="s">
        <v>32</v>
      </c>
      <c r="CA31" s="26" t="s">
        <v>32</v>
      </c>
      <c r="CB31" s="34" t="s">
        <v>32</v>
      </c>
      <c r="CC31" s="34" t="s">
        <v>32</v>
      </c>
      <c r="CD31" s="34" t="s">
        <v>32</v>
      </c>
      <c r="CE31" s="33">
        <f t="shared" si="26"/>
        <v>2800</v>
      </c>
      <c r="CF31" s="24"/>
      <c r="CG31" s="25">
        <v>45867</v>
      </c>
      <c r="CH31" s="26">
        <v>9604</v>
      </c>
      <c r="CI31" s="26">
        <v>617951</v>
      </c>
      <c r="CJ31" s="27">
        <f t="shared" si="3"/>
        <v>1310</v>
      </c>
      <c r="CK31" s="28">
        <v>2997</v>
      </c>
      <c r="CL31" s="29">
        <v>311</v>
      </c>
      <c r="CM31" s="29">
        <v>2</v>
      </c>
      <c r="CN31" s="34" t="s">
        <v>32</v>
      </c>
      <c r="CO31" s="34" t="s">
        <v>32</v>
      </c>
      <c r="CP31" s="31" t="s">
        <v>32</v>
      </c>
      <c r="CQ31" s="34" t="s">
        <v>32</v>
      </c>
      <c r="CR31" s="32" t="s">
        <v>32</v>
      </c>
      <c r="CS31" s="32" t="s">
        <v>32</v>
      </c>
      <c r="CT31" s="34" t="s">
        <v>32</v>
      </c>
      <c r="CU31" s="28" t="s">
        <v>32</v>
      </c>
      <c r="CV31" s="28" t="s">
        <v>32</v>
      </c>
      <c r="CW31" s="34">
        <v>1310</v>
      </c>
      <c r="CX31" s="34" t="s">
        <v>32</v>
      </c>
      <c r="CY31" s="32" t="s">
        <v>32</v>
      </c>
      <c r="CZ31" s="32" t="s">
        <v>32</v>
      </c>
      <c r="DA31" s="29" t="s">
        <v>32</v>
      </c>
      <c r="DB31" s="28" t="s">
        <v>32</v>
      </c>
      <c r="DC31" s="26" t="s">
        <v>32</v>
      </c>
      <c r="DD31" s="34" t="s">
        <v>32</v>
      </c>
      <c r="DE31" s="34" t="s">
        <v>32</v>
      </c>
      <c r="DF31" s="34" t="s">
        <v>32</v>
      </c>
      <c r="DG31" s="33">
        <f t="shared" si="27"/>
        <v>1310</v>
      </c>
      <c r="DH31" s="24"/>
      <c r="DI31" s="25">
        <v>45898</v>
      </c>
      <c r="DJ31" s="26">
        <v>375</v>
      </c>
      <c r="DK31" s="26">
        <v>21250</v>
      </c>
      <c r="DL31" s="28">
        <v>3229</v>
      </c>
      <c r="DM31" s="29">
        <v>0</v>
      </c>
      <c r="DN31" s="29">
        <v>7.75</v>
      </c>
      <c r="DO31" s="27">
        <f t="shared" si="4"/>
        <v>67990</v>
      </c>
      <c r="DP31" s="34">
        <v>41200</v>
      </c>
      <c r="DQ31" s="34">
        <v>15100</v>
      </c>
      <c r="DR31" s="31" t="s">
        <v>32</v>
      </c>
      <c r="DS31" s="34" t="s">
        <v>32</v>
      </c>
      <c r="DT31" s="32">
        <v>10600</v>
      </c>
      <c r="DU31" s="32" t="s">
        <v>32</v>
      </c>
      <c r="DV31" s="34" t="s">
        <v>32</v>
      </c>
      <c r="DW31" s="28" t="s">
        <v>32</v>
      </c>
      <c r="DX31" s="28" t="s">
        <v>32</v>
      </c>
      <c r="DY31" s="34">
        <v>1090</v>
      </c>
      <c r="DZ31" s="34" t="s">
        <v>32</v>
      </c>
      <c r="EA31" s="32" t="s">
        <v>32</v>
      </c>
      <c r="EB31" s="32" t="s">
        <v>32</v>
      </c>
      <c r="EC31" s="29" t="s">
        <v>32</v>
      </c>
      <c r="ED31" s="28" t="s">
        <v>32</v>
      </c>
      <c r="EE31" s="26" t="s">
        <v>32</v>
      </c>
      <c r="EF31" s="34" t="s">
        <v>32</v>
      </c>
      <c r="EG31" s="34" t="s">
        <v>32</v>
      </c>
      <c r="EH31" s="34" t="s">
        <v>32</v>
      </c>
      <c r="EI31" s="33">
        <f t="shared" si="28"/>
        <v>67990</v>
      </c>
      <c r="EJ31" s="24"/>
      <c r="EK31" s="25">
        <v>45929</v>
      </c>
      <c r="EL31" s="28">
        <v>4211</v>
      </c>
      <c r="EM31" s="28">
        <v>4677</v>
      </c>
      <c r="EN31" s="28">
        <v>9.25</v>
      </c>
      <c r="EO31" s="26">
        <v>1424</v>
      </c>
      <c r="EP31" s="26">
        <v>82001</v>
      </c>
      <c r="EQ31" s="27">
        <f t="shared" si="5"/>
        <v>23761</v>
      </c>
      <c r="ER31" s="34" t="s">
        <v>32</v>
      </c>
      <c r="ES31" s="34" t="s">
        <v>32</v>
      </c>
      <c r="ET31" s="31" t="s">
        <v>32</v>
      </c>
      <c r="EU31" s="34" t="s">
        <v>32</v>
      </c>
      <c r="EV31" s="30" t="s">
        <v>32</v>
      </c>
      <c r="EW31" s="30" t="s">
        <v>32</v>
      </c>
      <c r="EX31" s="34">
        <v>16850</v>
      </c>
      <c r="EY31" s="28" t="s">
        <v>32</v>
      </c>
      <c r="EZ31" s="28">
        <v>500</v>
      </c>
      <c r="FA31" s="34">
        <v>3730</v>
      </c>
      <c r="FB31" s="34">
        <v>1881</v>
      </c>
      <c r="FC31" s="32" t="s">
        <v>32</v>
      </c>
      <c r="FD31" s="32" t="s">
        <v>32</v>
      </c>
      <c r="FE31" s="75" t="s">
        <v>32</v>
      </c>
      <c r="FF31" s="32" t="s">
        <v>32</v>
      </c>
      <c r="FG31" s="26" t="s">
        <v>32</v>
      </c>
      <c r="FH31" s="34" t="s">
        <v>32</v>
      </c>
      <c r="FI31" s="34">
        <v>800</v>
      </c>
      <c r="FJ31" s="34" t="s">
        <v>142</v>
      </c>
      <c r="FK31" s="33">
        <f t="shared" si="29"/>
        <v>23761</v>
      </c>
      <c r="FL31" s="24"/>
      <c r="FM31" s="25">
        <v>45959</v>
      </c>
      <c r="FN31" s="28">
        <v>2251</v>
      </c>
      <c r="FO31" s="75">
        <v>0</v>
      </c>
      <c r="FP31" s="75">
        <v>0</v>
      </c>
      <c r="FQ31" s="26">
        <v>0</v>
      </c>
      <c r="FR31" s="26">
        <v>0</v>
      </c>
      <c r="FS31" s="32">
        <f t="shared" si="36"/>
        <v>0</v>
      </c>
      <c r="FT31" s="34" t="s">
        <v>32</v>
      </c>
      <c r="FU31" s="34" t="s">
        <v>32</v>
      </c>
      <c r="FV31" s="26" t="s">
        <v>32</v>
      </c>
      <c r="FW31" s="34" t="s">
        <v>32</v>
      </c>
      <c r="FX31" s="32" t="s">
        <v>32</v>
      </c>
      <c r="FY31" s="32" t="s">
        <v>32</v>
      </c>
      <c r="FZ31" s="34" t="s">
        <v>32</v>
      </c>
      <c r="GA31" s="28" t="s">
        <v>32</v>
      </c>
      <c r="GB31" s="28" t="s">
        <v>32</v>
      </c>
      <c r="GC31" s="82" t="s">
        <v>32</v>
      </c>
      <c r="GD31" s="34" t="s">
        <v>32</v>
      </c>
      <c r="GE31" s="32" t="s">
        <v>32</v>
      </c>
      <c r="GF31" s="32" t="s">
        <v>32</v>
      </c>
      <c r="GG31" s="29" t="s">
        <v>32</v>
      </c>
      <c r="GH31" s="28" t="s">
        <v>32</v>
      </c>
      <c r="GI31" s="26" t="s">
        <v>32</v>
      </c>
      <c r="GJ31" s="34" t="s">
        <v>32</v>
      </c>
      <c r="GK31" s="32" t="s">
        <v>32</v>
      </c>
      <c r="GL31" s="34" t="s">
        <v>32</v>
      </c>
      <c r="GM31" s="33">
        <f t="shared" si="30"/>
        <v>0</v>
      </c>
      <c r="GN31" s="24"/>
      <c r="GO31" s="25">
        <v>45990</v>
      </c>
      <c r="GP31" s="28">
        <v>3260</v>
      </c>
      <c r="GQ31" s="75">
        <v>4023</v>
      </c>
      <c r="GR31" s="75">
        <v>9</v>
      </c>
      <c r="GS31" s="26">
        <v>1878</v>
      </c>
      <c r="GT31" s="26">
        <v>87445</v>
      </c>
      <c r="GU31" s="32">
        <f t="shared" si="6"/>
        <v>546519</v>
      </c>
      <c r="GV31" s="34">
        <v>19570</v>
      </c>
      <c r="GW31" s="28">
        <v>14615</v>
      </c>
      <c r="GX31" s="26">
        <v>44960</v>
      </c>
      <c r="GY31" s="34" t="s">
        <v>32</v>
      </c>
      <c r="GZ31" s="32" t="s">
        <v>32</v>
      </c>
      <c r="HA31" s="32" t="s">
        <v>32</v>
      </c>
      <c r="HB31" s="34">
        <v>43000</v>
      </c>
      <c r="HC31" s="28" t="s">
        <v>32</v>
      </c>
      <c r="HD31" s="28" t="s">
        <v>32</v>
      </c>
      <c r="HE31" s="26">
        <v>1620</v>
      </c>
      <c r="HF31" s="34" t="s">
        <v>32</v>
      </c>
      <c r="HG31" s="32">
        <v>422754</v>
      </c>
      <c r="HH31" s="32" t="s">
        <v>165</v>
      </c>
      <c r="HI31" s="29" t="s">
        <v>32</v>
      </c>
      <c r="HJ31" s="32" t="s">
        <v>32</v>
      </c>
      <c r="HK31" s="26" t="s">
        <v>32</v>
      </c>
      <c r="HL31" s="26" t="s">
        <v>32</v>
      </c>
      <c r="HM31" s="82" t="s">
        <v>32</v>
      </c>
      <c r="HN31" s="82" t="s">
        <v>32</v>
      </c>
      <c r="HO31" s="33">
        <f t="shared" si="31"/>
        <v>546519</v>
      </c>
      <c r="HP31" s="24"/>
      <c r="HQ31" s="25">
        <v>46020</v>
      </c>
      <c r="HR31" s="28">
        <v>4239</v>
      </c>
      <c r="HS31" s="75">
        <v>7044</v>
      </c>
      <c r="HT31" s="75">
        <v>10</v>
      </c>
      <c r="HU31" s="26">
        <v>0</v>
      </c>
      <c r="HV31" s="26">
        <v>0</v>
      </c>
      <c r="HW31" s="32">
        <f t="shared" si="7"/>
        <v>0</v>
      </c>
      <c r="HX31" s="30" t="s">
        <v>32</v>
      </c>
      <c r="HY31" s="28" t="s">
        <v>32</v>
      </c>
      <c r="HZ31" s="26" t="s">
        <v>32</v>
      </c>
      <c r="IA31" s="30" t="s">
        <v>32</v>
      </c>
      <c r="IB31" s="32" t="s">
        <v>32</v>
      </c>
      <c r="IC31" s="75" t="s">
        <v>32</v>
      </c>
      <c r="ID31" s="30" t="s">
        <v>32</v>
      </c>
      <c r="IE31" s="28" t="s">
        <v>32</v>
      </c>
      <c r="IF31" s="28" t="s">
        <v>32</v>
      </c>
      <c r="IG31" s="26" t="s">
        <v>32</v>
      </c>
      <c r="IH31" s="30" t="s">
        <v>32</v>
      </c>
      <c r="II31" s="28" t="s">
        <v>32</v>
      </c>
      <c r="IJ31" s="28" t="s">
        <v>32</v>
      </c>
      <c r="IK31" s="75" t="s">
        <v>32</v>
      </c>
      <c r="IL31" s="32" t="s">
        <v>32</v>
      </c>
      <c r="IM31" s="26" t="s">
        <v>32</v>
      </c>
      <c r="IN31" s="26" t="s">
        <v>32</v>
      </c>
      <c r="IO31" s="82" t="s">
        <v>32</v>
      </c>
      <c r="IP31" s="82" t="s">
        <v>32</v>
      </c>
      <c r="IQ31" s="33">
        <f t="shared" si="32"/>
        <v>0</v>
      </c>
      <c r="IR31" s="24"/>
      <c r="IS31" s="25">
        <v>46051</v>
      </c>
      <c r="IT31" s="28">
        <v>3418</v>
      </c>
      <c r="IU31" s="75">
        <v>4851</v>
      </c>
      <c r="IV31" s="75">
        <v>7.5</v>
      </c>
      <c r="IW31" s="26">
        <v>4234</v>
      </c>
      <c r="IX31" s="26">
        <v>218414</v>
      </c>
      <c r="IY31" s="32">
        <f t="shared" si="8"/>
        <v>5700</v>
      </c>
      <c r="IZ31" s="34" t="s">
        <v>32</v>
      </c>
      <c r="JA31" s="34" t="s">
        <v>32</v>
      </c>
      <c r="JB31" s="26" t="s">
        <v>32</v>
      </c>
      <c r="JC31" s="34" t="s">
        <v>32</v>
      </c>
      <c r="JD31" s="32" t="s">
        <v>32</v>
      </c>
      <c r="JE31" s="32" t="s">
        <v>32</v>
      </c>
      <c r="JF31" s="34" t="s">
        <v>32</v>
      </c>
      <c r="JG31" s="28" t="s">
        <v>32</v>
      </c>
      <c r="JH31" s="28" t="s">
        <v>32</v>
      </c>
      <c r="JI31" s="82">
        <v>4700</v>
      </c>
      <c r="JJ31" s="34" t="s">
        <v>32</v>
      </c>
      <c r="JK31" s="32" t="s">
        <v>32</v>
      </c>
      <c r="JL31" s="32" t="s">
        <v>32</v>
      </c>
      <c r="JM31" s="29">
        <v>1000</v>
      </c>
      <c r="JN31" s="28" t="s">
        <v>32</v>
      </c>
      <c r="JO31" s="26" t="s">
        <v>32</v>
      </c>
      <c r="JP31" s="34" t="s">
        <v>32</v>
      </c>
      <c r="JQ31" s="32" t="s">
        <v>32</v>
      </c>
      <c r="JR31" s="34" t="s">
        <v>32</v>
      </c>
      <c r="JS31" s="33">
        <f t="shared" si="33"/>
        <v>5700</v>
      </c>
      <c r="JT31" s="24"/>
      <c r="JU31" s="25" t="s">
        <v>32</v>
      </c>
      <c r="JV31" s="28" t="s">
        <v>32</v>
      </c>
      <c r="JW31" s="75" t="s">
        <v>32</v>
      </c>
      <c r="JX31" s="75" t="s">
        <v>32</v>
      </c>
      <c r="JY31" s="26"/>
      <c r="JZ31" s="26"/>
      <c r="KA31" s="32">
        <f t="shared" si="9"/>
        <v>0</v>
      </c>
      <c r="KB31" s="34" t="s">
        <v>32</v>
      </c>
      <c r="KC31" s="34" t="s">
        <v>32</v>
      </c>
      <c r="KD31" s="26" t="s">
        <v>32</v>
      </c>
      <c r="KE31" s="34" t="s">
        <v>32</v>
      </c>
      <c r="KF31" s="32" t="s">
        <v>32</v>
      </c>
      <c r="KG31" s="32" t="s">
        <v>32</v>
      </c>
      <c r="KH31" s="34" t="s">
        <v>32</v>
      </c>
      <c r="KI31" s="28" t="s">
        <v>32</v>
      </c>
      <c r="KJ31" s="28" t="s">
        <v>32</v>
      </c>
      <c r="KK31" s="82" t="s">
        <v>32</v>
      </c>
      <c r="KL31" s="34" t="s">
        <v>32</v>
      </c>
      <c r="KM31" s="32" t="s">
        <v>32</v>
      </c>
      <c r="KN31" s="32" t="s">
        <v>32</v>
      </c>
      <c r="KO31" s="29" t="s">
        <v>32</v>
      </c>
      <c r="KP31" s="28" t="s">
        <v>32</v>
      </c>
      <c r="KQ31" s="26" t="s">
        <v>32</v>
      </c>
      <c r="KR31" s="34" t="s">
        <v>32</v>
      </c>
      <c r="KS31" s="32" t="s">
        <v>32</v>
      </c>
      <c r="KT31" s="34" t="s">
        <v>32</v>
      </c>
      <c r="KU31" s="33">
        <f t="shared" si="34"/>
        <v>0</v>
      </c>
      <c r="KV31" s="24"/>
      <c r="KW31" s="25">
        <v>46110</v>
      </c>
      <c r="KX31" s="28">
        <v>1917</v>
      </c>
      <c r="KY31" s="75">
        <v>0</v>
      </c>
      <c r="KZ31" s="75">
        <v>4</v>
      </c>
      <c r="LA31" s="26">
        <v>0</v>
      </c>
      <c r="LB31" s="26">
        <v>0</v>
      </c>
      <c r="LC31" s="32">
        <f t="shared" si="10"/>
        <v>0</v>
      </c>
      <c r="LD31" s="34" t="s">
        <v>32</v>
      </c>
      <c r="LE31" s="34" t="s">
        <v>32</v>
      </c>
      <c r="LF31" s="26" t="s">
        <v>32</v>
      </c>
      <c r="LG31" s="34" t="s">
        <v>32</v>
      </c>
      <c r="LH31" s="32" t="s">
        <v>32</v>
      </c>
      <c r="LI31" s="32" t="s">
        <v>32</v>
      </c>
      <c r="LJ31" s="34" t="s">
        <v>32</v>
      </c>
      <c r="LK31" s="28" t="s">
        <v>32</v>
      </c>
      <c r="LL31" s="28" t="s">
        <v>32</v>
      </c>
      <c r="LM31" s="82" t="s">
        <v>32</v>
      </c>
      <c r="LN31" s="34" t="s">
        <v>32</v>
      </c>
      <c r="LO31" s="32" t="s">
        <v>32</v>
      </c>
      <c r="LP31" s="32" t="s">
        <v>32</v>
      </c>
      <c r="LQ31" s="29" t="s">
        <v>32</v>
      </c>
      <c r="LR31" s="28" t="s">
        <v>32</v>
      </c>
      <c r="LS31" s="26" t="s">
        <v>32</v>
      </c>
      <c r="LT31" s="34" t="s">
        <v>32</v>
      </c>
      <c r="LU31" s="32" t="s">
        <v>32</v>
      </c>
      <c r="LV31" s="34" t="s">
        <v>32</v>
      </c>
      <c r="LW31" s="33">
        <f t="shared" si="35"/>
        <v>0</v>
      </c>
      <c r="LX31" s="24"/>
    </row>
    <row r="32" spans="1:336" x14ac:dyDescent="0.3">
      <c r="A32" s="25">
        <v>45777</v>
      </c>
      <c r="B32" s="26">
        <v>18529</v>
      </c>
      <c r="C32" s="26">
        <v>1028577</v>
      </c>
      <c r="D32" s="27">
        <f t="shared" si="0"/>
        <v>1306720</v>
      </c>
      <c r="E32" s="28">
        <v>1173</v>
      </c>
      <c r="F32" s="29">
        <v>3161</v>
      </c>
      <c r="G32" s="29">
        <v>9.5</v>
      </c>
      <c r="H32" s="34">
        <v>12150</v>
      </c>
      <c r="I32" s="34">
        <v>14600</v>
      </c>
      <c r="J32" s="31">
        <v>78228</v>
      </c>
      <c r="K32" s="34">
        <v>21000</v>
      </c>
      <c r="L32" s="32" t="s">
        <v>32</v>
      </c>
      <c r="M32" s="32">
        <v>50000</v>
      </c>
      <c r="N32" s="34" t="s">
        <v>32</v>
      </c>
      <c r="O32" s="28" t="s">
        <v>32</v>
      </c>
      <c r="P32" s="28">
        <v>500</v>
      </c>
      <c r="Q32" s="34">
        <v>2020</v>
      </c>
      <c r="R32" s="34" t="s">
        <v>32</v>
      </c>
      <c r="S32" s="32">
        <v>1097222</v>
      </c>
      <c r="T32" s="32" t="s">
        <v>122</v>
      </c>
      <c r="U32" s="29" t="s">
        <v>32</v>
      </c>
      <c r="V32" s="28" t="s">
        <v>32</v>
      </c>
      <c r="W32" s="26">
        <v>31000</v>
      </c>
      <c r="X32" s="34" t="s">
        <v>47</v>
      </c>
      <c r="Y32" s="34" t="s">
        <v>32</v>
      </c>
      <c r="Z32" s="34" t="s">
        <v>32</v>
      </c>
      <c r="AA32" s="33">
        <f t="shared" si="24"/>
        <v>1306720</v>
      </c>
      <c r="AB32" s="24"/>
      <c r="AC32" s="25">
        <v>45807</v>
      </c>
      <c r="AD32" s="26">
        <v>0</v>
      </c>
      <c r="AE32" s="26">
        <v>0</v>
      </c>
      <c r="AF32" s="27">
        <f t="shared" si="1"/>
        <v>0</v>
      </c>
      <c r="AG32" s="28">
        <v>455</v>
      </c>
      <c r="AH32" s="29">
        <v>7139</v>
      </c>
      <c r="AI32" s="29">
        <v>11.25</v>
      </c>
      <c r="AJ32" s="34" t="s">
        <v>32</v>
      </c>
      <c r="AK32" s="34"/>
      <c r="AL32" s="31" t="s">
        <v>32</v>
      </c>
      <c r="AM32" s="34" t="s">
        <v>32</v>
      </c>
      <c r="AN32" s="32" t="s">
        <v>32</v>
      </c>
      <c r="AO32" s="32"/>
      <c r="AP32" s="34" t="s">
        <v>32</v>
      </c>
      <c r="AQ32" s="28" t="s">
        <v>32</v>
      </c>
      <c r="AR32" s="28" t="s">
        <v>32</v>
      </c>
      <c r="AS32" s="34" t="s">
        <v>32</v>
      </c>
      <c r="AT32" s="34" t="s">
        <v>32</v>
      </c>
      <c r="AU32" s="32" t="s">
        <v>32</v>
      </c>
      <c r="AV32" s="32" t="s">
        <v>32</v>
      </c>
      <c r="AW32" s="29" t="s">
        <v>32</v>
      </c>
      <c r="AX32" s="28" t="s">
        <v>32</v>
      </c>
      <c r="AY32" s="26" t="s">
        <v>32</v>
      </c>
      <c r="AZ32" s="34" t="s">
        <v>32</v>
      </c>
      <c r="BA32" s="34" t="s">
        <v>32</v>
      </c>
      <c r="BB32" s="34" t="s">
        <v>32</v>
      </c>
      <c r="BC32" s="33">
        <f t="shared" si="25"/>
        <v>0</v>
      </c>
      <c r="BD32" s="24"/>
      <c r="BE32" s="25">
        <v>45838</v>
      </c>
      <c r="BF32" s="26">
        <v>129</v>
      </c>
      <c r="BG32" s="26">
        <v>9200</v>
      </c>
      <c r="BH32" s="27">
        <f t="shared" si="2"/>
        <v>539975</v>
      </c>
      <c r="BI32" s="28">
        <v>3868</v>
      </c>
      <c r="BJ32" s="29">
        <v>2594</v>
      </c>
      <c r="BK32" s="29">
        <v>9</v>
      </c>
      <c r="BL32" s="34" t="s">
        <v>32</v>
      </c>
      <c r="BM32" s="34"/>
      <c r="BN32" s="31" t="s">
        <v>32</v>
      </c>
      <c r="BO32" s="34" t="s">
        <v>32</v>
      </c>
      <c r="BP32" s="32" t="s">
        <v>32</v>
      </c>
      <c r="BQ32" s="32">
        <v>4950</v>
      </c>
      <c r="BR32" s="34">
        <v>5100</v>
      </c>
      <c r="BS32" s="28">
        <v>32968</v>
      </c>
      <c r="BT32" s="28">
        <v>800</v>
      </c>
      <c r="BU32" s="34">
        <v>586</v>
      </c>
      <c r="BV32" s="34" t="s">
        <v>32</v>
      </c>
      <c r="BW32" s="32">
        <v>482406</v>
      </c>
      <c r="BX32" s="32" t="s">
        <v>131</v>
      </c>
      <c r="BY32" s="29" t="s">
        <v>32</v>
      </c>
      <c r="BZ32" s="28" t="s">
        <v>32</v>
      </c>
      <c r="CA32" s="26" t="s">
        <v>32</v>
      </c>
      <c r="CB32" s="34" t="s">
        <v>32</v>
      </c>
      <c r="CC32" s="34">
        <v>13165</v>
      </c>
      <c r="CD32" s="34" t="s">
        <v>132</v>
      </c>
      <c r="CE32" s="33">
        <f t="shared" si="26"/>
        <v>539975</v>
      </c>
      <c r="CF32" s="24"/>
      <c r="CG32" s="25">
        <v>45868</v>
      </c>
      <c r="CH32" s="26">
        <v>0</v>
      </c>
      <c r="CI32" s="26">
        <v>0</v>
      </c>
      <c r="CJ32" s="27">
        <f t="shared" si="3"/>
        <v>0</v>
      </c>
      <c r="CK32" s="28">
        <v>299</v>
      </c>
      <c r="CL32" s="29">
        <v>2358</v>
      </c>
      <c r="CM32" s="29">
        <v>3.5</v>
      </c>
      <c r="CN32" s="34" t="s">
        <v>32</v>
      </c>
      <c r="CO32" s="34"/>
      <c r="CP32" s="31" t="s">
        <v>32</v>
      </c>
      <c r="CQ32" s="34" t="s">
        <v>32</v>
      </c>
      <c r="CR32" s="32" t="s">
        <v>32</v>
      </c>
      <c r="CS32" s="32"/>
      <c r="CT32" s="34" t="s">
        <v>32</v>
      </c>
      <c r="CU32" s="28" t="s">
        <v>32</v>
      </c>
      <c r="CV32" s="28" t="s">
        <v>32</v>
      </c>
      <c r="CW32" s="34" t="s">
        <v>32</v>
      </c>
      <c r="CX32" s="34" t="s">
        <v>32</v>
      </c>
      <c r="CY32" s="32" t="s">
        <v>32</v>
      </c>
      <c r="CZ32" s="32" t="s">
        <v>32</v>
      </c>
      <c r="DA32" s="29" t="s">
        <v>32</v>
      </c>
      <c r="DB32" s="28" t="s">
        <v>32</v>
      </c>
      <c r="DC32" s="26" t="s">
        <v>32</v>
      </c>
      <c r="DD32" s="34" t="s">
        <v>32</v>
      </c>
      <c r="DE32" s="34" t="s">
        <v>32</v>
      </c>
      <c r="DF32" s="34" t="s">
        <v>32</v>
      </c>
      <c r="DG32" s="33">
        <f t="shared" si="27"/>
        <v>0</v>
      </c>
      <c r="DH32" s="24"/>
      <c r="DI32" s="25">
        <v>45899</v>
      </c>
      <c r="DJ32" s="26">
        <v>0</v>
      </c>
      <c r="DK32" s="26">
        <v>0</v>
      </c>
      <c r="DL32" s="28">
        <v>2280</v>
      </c>
      <c r="DM32" s="29">
        <v>0</v>
      </c>
      <c r="DN32" s="29">
        <v>4.5</v>
      </c>
      <c r="DO32" s="27">
        <f t="shared" si="4"/>
        <v>0</v>
      </c>
      <c r="DP32" s="34" t="s">
        <v>32</v>
      </c>
      <c r="DQ32" s="34"/>
      <c r="DR32" s="31" t="s">
        <v>32</v>
      </c>
      <c r="DS32" s="34" t="s">
        <v>32</v>
      </c>
      <c r="DT32" s="32" t="s">
        <v>32</v>
      </c>
      <c r="DU32" s="32"/>
      <c r="DV32" s="34" t="s">
        <v>32</v>
      </c>
      <c r="DW32" s="28" t="s">
        <v>32</v>
      </c>
      <c r="DX32" s="28" t="s">
        <v>32</v>
      </c>
      <c r="DY32" s="34" t="s">
        <v>32</v>
      </c>
      <c r="DZ32" s="34" t="s">
        <v>32</v>
      </c>
      <c r="EA32" s="32" t="s">
        <v>32</v>
      </c>
      <c r="EB32" s="32" t="s">
        <v>32</v>
      </c>
      <c r="EC32" s="29" t="s">
        <v>32</v>
      </c>
      <c r="ED32" s="28" t="s">
        <v>32</v>
      </c>
      <c r="EE32" s="26" t="s">
        <v>32</v>
      </c>
      <c r="EF32" s="34" t="s">
        <v>32</v>
      </c>
      <c r="EG32" s="34" t="s">
        <v>32</v>
      </c>
      <c r="EH32" s="34" t="s">
        <v>32</v>
      </c>
      <c r="EI32" s="33">
        <f t="shared" si="28"/>
        <v>0</v>
      </c>
      <c r="EJ32" s="24"/>
      <c r="EK32" s="25">
        <v>45930</v>
      </c>
      <c r="EL32" s="28">
        <v>4059</v>
      </c>
      <c r="EM32" s="28">
        <v>1506</v>
      </c>
      <c r="EN32" s="28">
        <v>8</v>
      </c>
      <c r="EO32" s="26">
        <v>0</v>
      </c>
      <c r="EP32" s="26">
        <v>0</v>
      </c>
      <c r="EQ32" s="27">
        <f t="shared" si="5"/>
        <v>876658</v>
      </c>
      <c r="ER32" s="34" t="s">
        <v>32</v>
      </c>
      <c r="ES32" s="34"/>
      <c r="ET32" s="31">
        <v>124400</v>
      </c>
      <c r="EU32" s="34">
        <v>190000</v>
      </c>
      <c r="EV32" s="30">
        <v>74029</v>
      </c>
      <c r="EW32" s="30"/>
      <c r="EX32" s="34" t="s">
        <v>32</v>
      </c>
      <c r="EY32" s="28" t="s">
        <v>32</v>
      </c>
      <c r="EZ32" s="28" t="s">
        <v>32</v>
      </c>
      <c r="FA32" s="34">
        <v>2830</v>
      </c>
      <c r="FB32" s="34" t="s">
        <v>32</v>
      </c>
      <c r="FC32" s="32">
        <v>485399</v>
      </c>
      <c r="FD32" s="32" t="s">
        <v>143</v>
      </c>
      <c r="FE32" s="75" t="s">
        <v>32</v>
      </c>
      <c r="FF32" s="32" t="s">
        <v>32</v>
      </c>
      <c r="FG32" s="26" t="s">
        <v>32</v>
      </c>
      <c r="FH32" s="34" t="s">
        <v>32</v>
      </c>
      <c r="FI32" s="34" t="s">
        <v>32</v>
      </c>
      <c r="FJ32" s="34" t="s">
        <v>32</v>
      </c>
      <c r="FK32" s="33">
        <f t="shared" si="29"/>
        <v>876658</v>
      </c>
      <c r="FL32" s="24"/>
      <c r="FM32" s="25">
        <v>45960</v>
      </c>
      <c r="FN32" s="28">
        <v>2795</v>
      </c>
      <c r="FO32" s="75">
        <v>0</v>
      </c>
      <c r="FP32" s="75">
        <v>0</v>
      </c>
      <c r="FQ32" s="26">
        <v>1905</v>
      </c>
      <c r="FR32" s="26">
        <v>125800</v>
      </c>
      <c r="FS32" s="32">
        <f t="shared" si="36"/>
        <v>8115</v>
      </c>
      <c r="FT32" s="34" t="s">
        <v>32</v>
      </c>
      <c r="FU32" s="34"/>
      <c r="FV32" s="26" t="s">
        <v>32</v>
      </c>
      <c r="FW32" s="34" t="s">
        <v>32</v>
      </c>
      <c r="FX32" s="32" t="s">
        <v>32</v>
      </c>
      <c r="FY32" s="32"/>
      <c r="FZ32" s="34" t="s">
        <v>32</v>
      </c>
      <c r="GA32" s="28" t="s">
        <v>32</v>
      </c>
      <c r="GB32" s="28" t="s">
        <v>32</v>
      </c>
      <c r="GC32" s="82">
        <v>3115</v>
      </c>
      <c r="GD32" s="34" t="s">
        <v>32</v>
      </c>
      <c r="GE32" s="32" t="s">
        <v>32</v>
      </c>
      <c r="GF32" s="32" t="s">
        <v>32</v>
      </c>
      <c r="GG32" s="29">
        <v>5000</v>
      </c>
      <c r="GH32" s="28" t="s">
        <v>32</v>
      </c>
      <c r="GI32" s="26" t="s">
        <v>32</v>
      </c>
      <c r="GJ32" s="34" t="s">
        <v>32</v>
      </c>
      <c r="GK32" s="32" t="s">
        <v>32</v>
      </c>
      <c r="GL32" s="34" t="s">
        <v>32</v>
      </c>
      <c r="GM32" s="33">
        <f t="shared" si="30"/>
        <v>8115</v>
      </c>
      <c r="GN32" s="24"/>
      <c r="GO32" s="25">
        <v>45991</v>
      </c>
      <c r="GP32" s="28">
        <v>2762</v>
      </c>
      <c r="GQ32" s="75">
        <v>2441</v>
      </c>
      <c r="GR32" s="75">
        <v>9</v>
      </c>
      <c r="GS32" s="26">
        <v>5764</v>
      </c>
      <c r="GT32" s="26">
        <v>253691</v>
      </c>
      <c r="GU32" s="32">
        <f t="shared" si="6"/>
        <v>145505</v>
      </c>
      <c r="GV32" s="34">
        <v>11100</v>
      </c>
      <c r="GW32" s="28">
        <v>13800</v>
      </c>
      <c r="GX32" s="26">
        <v>55160</v>
      </c>
      <c r="GY32" s="34" t="s">
        <v>32</v>
      </c>
      <c r="GZ32" s="32">
        <v>7650</v>
      </c>
      <c r="HA32" s="32"/>
      <c r="HB32" s="34">
        <v>7000</v>
      </c>
      <c r="HC32" s="28" t="s">
        <v>32</v>
      </c>
      <c r="HD32" s="28" t="s">
        <v>32</v>
      </c>
      <c r="HE32" s="26">
        <v>795</v>
      </c>
      <c r="HF32" s="34" t="s">
        <v>32</v>
      </c>
      <c r="HG32" s="32" t="s">
        <v>32</v>
      </c>
      <c r="HH32" s="32" t="s">
        <v>32</v>
      </c>
      <c r="HI32" s="29" t="s">
        <v>32</v>
      </c>
      <c r="HJ32" s="32" t="s">
        <v>32</v>
      </c>
      <c r="HK32" s="26">
        <v>50000</v>
      </c>
      <c r="HL32" s="26" t="s">
        <v>166</v>
      </c>
      <c r="HM32" s="82" t="s">
        <v>32</v>
      </c>
      <c r="HN32" s="82" t="s">
        <v>32</v>
      </c>
      <c r="HO32" s="33">
        <f t="shared" si="31"/>
        <v>145505</v>
      </c>
      <c r="HP32" s="24"/>
      <c r="HQ32" s="25">
        <v>46021</v>
      </c>
      <c r="HR32" s="28">
        <v>3808</v>
      </c>
      <c r="HS32" s="75">
        <v>0</v>
      </c>
      <c r="HT32" s="75">
        <v>9.25</v>
      </c>
      <c r="HU32" s="26">
        <v>0</v>
      </c>
      <c r="HV32" s="26">
        <v>0</v>
      </c>
      <c r="HW32" s="32">
        <f t="shared" si="7"/>
        <v>647984</v>
      </c>
      <c r="HX32" s="30">
        <v>14450</v>
      </c>
      <c r="HY32" s="28">
        <v>17950</v>
      </c>
      <c r="HZ32" s="26">
        <v>95724</v>
      </c>
      <c r="IA32" s="30">
        <v>425000</v>
      </c>
      <c r="IB32" s="32" t="s">
        <v>32</v>
      </c>
      <c r="IC32" s="75">
        <v>41100</v>
      </c>
      <c r="ID32" s="30">
        <v>50000</v>
      </c>
      <c r="IE32" s="28" t="s">
        <v>32</v>
      </c>
      <c r="IF32" s="28" t="s">
        <v>32</v>
      </c>
      <c r="IG32" s="26">
        <v>3760</v>
      </c>
      <c r="IH32" s="30" t="s">
        <v>32</v>
      </c>
      <c r="II32" s="28" t="s">
        <v>32</v>
      </c>
      <c r="IJ32" s="28" t="s">
        <v>32</v>
      </c>
      <c r="IK32" s="75" t="s">
        <v>32</v>
      </c>
      <c r="IL32" s="32" t="s">
        <v>32</v>
      </c>
      <c r="IM32" s="26" t="s">
        <v>32</v>
      </c>
      <c r="IN32" s="26" t="s">
        <v>32</v>
      </c>
      <c r="IO32" s="82" t="s">
        <v>32</v>
      </c>
      <c r="IP32" s="82" t="s">
        <v>32</v>
      </c>
      <c r="IQ32" s="33">
        <f t="shared" si="32"/>
        <v>647984</v>
      </c>
      <c r="IR32" s="24"/>
      <c r="IS32" s="25">
        <v>46052</v>
      </c>
      <c r="IT32" s="28">
        <v>3217</v>
      </c>
      <c r="IU32" s="75">
        <v>5234</v>
      </c>
      <c r="IV32" s="75">
        <v>10.75</v>
      </c>
      <c r="IW32" s="26">
        <v>836</v>
      </c>
      <c r="IX32" s="26">
        <v>43760</v>
      </c>
      <c r="IY32" s="32">
        <f t="shared" si="8"/>
        <v>60730</v>
      </c>
      <c r="IZ32" s="34">
        <v>14780</v>
      </c>
      <c r="JA32" s="34">
        <v>16620</v>
      </c>
      <c r="JB32" s="26" t="s">
        <v>32</v>
      </c>
      <c r="JC32" s="34" t="s">
        <v>32</v>
      </c>
      <c r="JD32" s="32" t="s">
        <v>32</v>
      </c>
      <c r="JE32" s="32">
        <v>27750</v>
      </c>
      <c r="JF32" s="34" t="s">
        <v>32</v>
      </c>
      <c r="JG32" s="28" t="s">
        <v>32</v>
      </c>
      <c r="JH32" s="28" t="s">
        <v>32</v>
      </c>
      <c r="JI32" s="82">
        <v>1580</v>
      </c>
      <c r="JJ32" s="34" t="s">
        <v>32</v>
      </c>
      <c r="JK32" s="32" t="s">
        <v>32</v>
      </c>
      <c r="JL32" s="32" t="s">
        <v>32</v>
      </c>
      <c r="JM32" s="29" t="s">
        <v>32</v>
      </c>
      <c r="JN32" s="28" t="s">
        <v>32</v>
      </c>
      <c r="JO32" s="26" t="s">
        <v>32</v>
      </c>
      <c r="JP32" s="34" t="s">
        <v>32</v>
      </c>
      <c r="JQ32" s="32" t="s">
        <v>32</v>
      </c>
      <c r="JR32" s="34" t="s">
        <v>32</v>
      </c>
      <c r="JS32" s="33">
        <f t="shared" si="33"/>
        <v>60730</v>
      </c>
      <c r="JT32" s="24"/>
      <c r="JU32" s="25" t="s">
        <v>32</v>
      </c>
      <c r="JV32" s="28" t="s">
        <v>32</v>
      </c>
      <c r="JW32" s="75" t="s">
        <v>33</v>
      </c>
      <c r="JX32" s="75" t="s">
        <v>32</v>
      </c>
      <c r="JY32" s="26"/>
      <c r="JZ32" s="26"/>
      <c r="KA32" s="32">
        <f t="shared" si="9"/>
        <v>0</v>
      </c>
      <c r="KB32" s="34" t="s">
        <v>32</v>
      </c>
      <c r="KC32" s="34"/>
      <c r="KD32" s="26" t="s">
        <v>32</v>
      </c>
      <c r="KE32" s="34" t="s">
        <v>32</v>
      </c>
      <c r="KF32" s="32" t="s">
        <v>32</v>
      </c>
      <c r="KG32" s="32"/>
      <c r="KH32" s="34" t="s">
        <v>32</v>
      </c>
      <c r="KI32" s="28" t="s">
        <v>32</v>
      </c>
      <c r="KJ32" s="28" t="s">
        <v>32</v>
      </c>
      <c r="KK32" s="82" t="s">
        <v>32</v>
      </c>
      <c r="KL32" s="34" t="s">
        <v>32</v>
      </c>
      <c r="KM32" s="32" t="s">
        <v>32</v>
      </c>
      <c r="KN32" s="32" t="s">
        <v>32</v>
      </c>
      <c r="KO32" s="29" t="s">
        <v>32</v>
      </c>
      <c r="KP32" s="28" t="s">
        <v>32</v>
      </c>
      <c r="KQ32" s="26" t="s">
        <v>32</v>
      </c>
      <c r="KR32" s="34" t="s">
        <v>32</v>
      </c>
      <c r="KS32" s="32" t="s">
        <v>32</v>
      </c>
      <c r="KT32" s="34" t="s">
        <v>32</v>
      </c>
      <c r="KU32" s="33">
        <f t="shared" si="34"/>
        <v>0</v>
      </c>
      <c r="KV32" s="24"/>
      <c r="KW32" s="25">
        <v>46111</v>
      </c>
      <c r="KX32" s="28">
        <v>2125</v>
      </c>
      <c r="KY32" s="75">
        <v>840</v>
      </c>
      <c r="KZ32" s="75">
        <v>7</v>
      </c>
      <c r="LA32" s="26">
        <v>7124</v>
      </c>
      <c r="LB32" s="26">
        <v>149627</v>
      </c>
      <c r="LC32" s="32">
        <f t="shared" si="10"/>
        <v>103875</v>
      </c>
      <c r="LD32" s="34">
        <v>36000</v>
      </c>
      <c r="LE32" s="34">
        <v>12200</v>
      </c>
      <c r="LF32" s="26">
        <v>9500</v>
      </c>
      <c r="LG32" s="34" t="s">
        <v>32</v>
      </c>
      <c r="LH32" s="32">
        <v>7550</v>
      </c>
      <c r="LI32" s="32"/>
      <c r="LJ32" s="34" t="s">
        <v>32</v>
      </c>
      <c r="LK32" s="28" t="s">
        <v>32</v>
      </c>
      <c r="LL32" s="28" t="s">
        <v>32</v>
      </c>
      <c r="LM32" s="82">
        <v>1125</v>
      </c>
      <c r="LN32" s="34" t="s">
        <v>32</v>
      </c>
      <c r="LO32" s="32" t="s">
        <v>32</v>
      </c>
      <c r="LP32" s="32" t="s">
        <v>32</v>
      </c>
      <c r="LQ32" s="29" t="s">
        <v>32</v>
      </c>
      <c r="LR32" s="28" t="s">
        <v>32</v>
      </c>
      <c r="LS32" s="26">
        <v>37500</v>
      </c>
      <c r="LT32" s="34" t="s">
        <v>40</v>
      </c>
      <c r="LU32" s="32" t="s">
        <v>32</v>
      </c>
      <c r="LV32" s="34" t="s">
        <v>32</v>
      </c>
      <c r="LW32" s="33">
        <f t="shared" si="35"/>
        <v>103875</v>
      </c>
      <c r="LX32" s="24"/>
    </row>
    <row r="33" spans="1:336" x14ac:dyDescent="0.3">
      <c r="A33" s="25" t="s">
        <v>32</v>
      </c>
      <c r="B33" s="26" t="s">
        <v>32</v>
      </c>
      <c r="C33" s="26" t="s">
        <v>32</v>
      </c>
      <c r="D33" s="27">
        <f t="shared" si="0"/>
        <v>0</v>
      </c>
      <c r="E33" s="28" t="s">
        <v>32</v>
      </c>
      <c r="F33" s="29" t="s">
        <v>32</v>
      </c>
      <c r="G33" s="29" t="s">
        <v>32</v>
      </c>
      <c r="H33" s="34" t="s">
        <v>32</v>
      </c>
      <c r="I33" s="34"/>
      <c r="J33" s="31" t="s">
        <v>32</v>
      </c>
      <c r="K33" s="34" t="s">
        <v>32</v>
      </c>
      <c r="L33" s="32" t="s">
        <v>33</v>
      </c>
      <c r="M33" s="32"/>
      <c r="N33" s="34"/>
      <c r="O33" s="28" t="s">
        <v>32</v>
      </c>
      <c r="P33" s="28" t="s">
        <v>32</v>
      </c>
      <c r="Q33" s="34" t="s">
        <v>32</v>
      </c>
      <c r="R33" s="34" t="s">
        <v>32</v>
      </c>
      <c r="S33" s="32" t="s">
        <v>32</v>
      </c>
      <c r="T33" s="32" t="s">
        <v>32</v>
      </c>
      <c r="U33" s="29" t="s">
        <v>32</v>
      </c>
      <c r="V33" s="28" t="s">
        <v>32</v>
      </c>
      <c r="W33" s="26" t="s">
        <v>32</v>
      </c>
      <c r="X33" s="34" t="s">
        <v>32</v>
      </c>
      <c r="Y33" s="34" t="s">
        <v>32</v>
      </c>
      <c r="Z33" s="34" t="s">
        <v>32</v>
      </c>
      <c r="AA33" s="33">
        <f t="shared" si="24"/>
        <v>0</v>
      </c>
      <c r="AB33" s="24"/>
      <c r="AC33" s="25">
        <v>45808</v>
      </c>
      <c r="AD33" s="26">
        <v>11396</v>
      </c>
      <c r="AE33" s="26">
        <v>556394</v>
      </c>
      <c r="AF33" s="27">
        <f t="shared" si="1"/>
        <v>842082</v>
      </c>
      <c r="AG33" s="28">
        <v>2707</v>
      </c>
      <c r="AH33" s="29">
        <v>1546</v>
      </c>
      <c r="AI33" s="29">
        <v>10</v>
      </c>
      <c r="AJ33" s="34" t="s">
        <v>32</v>
      </c>
      <c r="AK33" s="34"/>
      <c r="AL33" s="31">
        <v>148496</v>
      </c>
      <c r="AM33" s="34">
        <v>85140</v>
      </c>
      <c r="AN33" s="32">
        <v>350</v>
      </c>
      <c r="AO33" s="32">
        <v>19500</v>
      </c>
      <c r="AP33" s="34">
        <v>20000</v>
      </c>
      <c r="AQ33" s="28" t="s">
        <v>32</v>
      </c>
      <c r="AR33" s="28">
        <v>350</v>
      </c>
      <c r="AS33" s="34">
        <v>3990</v>
      </c>
      <c r="AT33" s="34" t="s">
        <v>32</v>
      </c>
      <c r="AU33" s="32">
        <v>564256</v>
      </c>
      <c r="AV33" s="32" t="s">
        <v>128</v>
      </c>
      <c r="AW33" s="29" t="s">
        <v>32</v>
      </c>
      <c r="AX33" s="28" t="s">
        <v>32</v>
      </c>
      <c r="AY33" s="26" t="s">
        <v>32</v>
      </c>
      <c r="AZ33" s="34" t="s">
        <v>32</v>
      </c>
      <c r="BA33" s="34" t="s">
        <v>32</v>
      </c>
      <c r="BB33" s="34" t="s">
        <v>32</v>
      </c>
      <c r="BC33" s="33">
        <f t="shared" si="25"/>
        <v>842082</v>
      </c>
      <c r="BD33" s="24"/>
      <c r="BE33" s="25" t="s">
        <v>32</v>
      </c>
      <c r="BF33" s="26" t="s">
        <v>32</v>
      </c>
      <c r="BG33" s="26" t="s">
        <v>32</v>
      </c>
      <c r="BH33" s="27">
        <f t="shared" si="2"/>
        <v>0</v>
      </c>
      <c r="BI33" s="28" t="s">
        <v>32</v>
      </c>
      <c r="BJ33" s="29" t="s">
        <v>32</v>
      </c>
      <c r="BK33" s="29" t="s">
        <v>32</v>
      </c>
      <c r="BL33" s="34" t="s">
        <v>32</v>
      </c>
      <c r="BM33" s="34"/>
      <c r="BN33" s="31" t="s">
        <v>32</v>
      </c>
      <c r="BO33" s="34" t="s">
        <v>32</v>
      </c>
      <c r="BP33" s="32" t="s">
        <v>33</v>
      </c>
      <c r="BQ33" s="32"/>
      <c r="BR33" s="34"/>
      <c r="BS33" s="28" t="s">
        <v>32</v>
      </c>
      <c r="BT33" s="28" t="s">
        <v>32</v>
      </c>
      <c r="BU33" s="34" t="s">
        <v>32</v>
      </c>
      <c r="BV33" s="34" t="s">
        <v>32</v>
      </c>
      <c r="BW33" s="32" t="s">
        <v>32</v>
      </c>
      <c r="BX33" s="32" t="s">
        <v>32</v>
      </c>
      <c r="BY33" s="29" t="s">
        <v>32</v>
      </c>
      <c r="BZ33" s="28" t="s">
        <v>32</v>
      </c>
      <c r="CA33" s="26" t="s">
        <v>32</v>
      </c>
      <c r="CB33" s="34" t="s">
        <v>32</v>
      </c>
      <c r="CC33" s="34" t="s">
        <v>32</v>
      </c>
      <c r="CD33" s="34" t="s">
        <v>32</v>
      </c>
      <c r="CE33" s="33">
        <f t="shared" si="26"/>
        <v>0</v>
      </c>
      <c r="CF33" s="24"/>
      <c r="CG33" s="25">
        <v>45869</v>
      </c>
      <c r="CH33" s="26">
        <v>9690</v>
      </c>
      <c r="CI33" s="26">
        <v>476035</v>
      </c>
      <c r="CJ33" s="27">
        <f t="shared" si="3"/>
        <v>843640</v>
      </c>
      <c r="CK33" s="28">
        <v>2292</v>
      </c>
      <c r="CL33" s="29">
        <v>0</v>
      </c>
      <c r="CM33" s="29">
        <v>4</v>
      </c>
      <c r="CN33" s="34">
        <v>14930</v>
      </c>
      <c r="CO33" s="34">
        <v>16370</v>
      </c>
      <c r="CP33" s="31">
        <v>149552</v>
      </c>
      <c r="CQ33" s="34" t="s">
        <v>32</v>
      </c>
      <c r="CR33" s="32">
        <v>63295</v>
      </c>
      <c r="CS33" s="32">
        <v>52825</v>
      </c>
      <c r="CT33" s="34">
        <v>60100</v>
      </c>
      <c r="CU33" s="28">
        <v>32968</v>
      </c>
      <c r="CV33" s="28">
        <v>500</v>
      </c>
      <c r="CW33" s="34">
        <v>6880</v>
      </c>
      <c r="CX33" s="34" t="s">
        <v>32</v>
      </c>
      <c r="CY33" s="32">
        <v>446220</v>
      </c>
      <c r="CZ33" s="32" t="s">
        <v>136</v>
      </c>
      <c r="DA33" s="29" t="s">
        <v>32</v>
      </c>
      <c r="DB33" s="28" t="s">
        <v>32</v>
      </c>
      <c r="DC33" s="26" t="s">
        <v>32</v>
      </c>
      <c r="DD33" s="34" t="s">
        <v>32</v>
      </c>
      <c r="DE33" s="34" t="s">
        <v>32</v>
      </c>
      <c r="DF33" s="34" t="s">
        <v>32</v>
      </c>
      <c r="DG33" s="33">
        <f t="shared" si="27"/>
        <v>843640</v>
      </c>
      <c r="DH33" s="24"/>
      <c r="DI33" s="25">
        <v>45900</v>
      </c>
      <c r="DJ33" s="26">
        <v>1851</v>
      </c>
      <c r="DK33" s="26">
        <v>101500</v>
      </c>
      <c r="DL33" s="28">
        <v>1920</v>
      </c>
      <c r="DM33" s="29">
        <v>1408</v>
      </c>
      <c r="DN33" s="29">
        <v>5.5</v>
      </c>
      <c r="DO33" s="27">
        <f t="shared" si="4"/>
        <v>526891</v>
      </c>
      <c r="DP33" s="34" t="s">
        <v>32</v>
      </c>
      <c r="DQ33" s="34"/>
      <c r="DR33" s="31">
        <v>54700</v>
      </c>
      <c r="DS33" s="34">
        <v>1500</v>
      </c>
      <c r="DT33" s="32">
        <v>2760</v>
      </c>
      <c r="DU33" s="32"/>
      <c r="DV33" s="34"/>
      <c r="DW33" s="28">
        <v>32968</v>
      </c>
      <c r="DX33" s="28" t="s">
        <v>32</v>
      </c>
      <c r="DY33" s="34">
        <v>965</v>
      </c>
      <c r="DZ33" s="34" t="s">
        <v>32</v>
      </c>
      <c r="EA33" s="32">
        <v>433998</v>
      </c>
      <c r="EB33" s="32" t="s">
        <v>139</v>
      </c>
      <c r="EC33" s="29" t="s">
        <v>32</v>
      </c>
      <c r="ED33" s="28" t="s">
        <v>32</v>
      </c>
      <c r="EE33" s="26" t="s">
        <v>32</v>
      </c>
      <c r="EF33" s="34" t="s">
        <v>32</v>
      </c>
      <c r="EG33" s="34" t="s">
        <v>32</v>
      </c>
      <c r="EH33" s="34" t="s">
        <v>32</v>
      </c>
      <c r="EI33" s="33">
        <f t="shared" si="28"/>
        <v>526891</v>
      </c>
      <c r="EJ33" s="24"/>
      <c r="EK33" s="25" t="s">
        <v>32</v>
      </c>
      <c r="EL33" s="28" t="s">
        <v>32</v>
      </c>
      <c r="EM33" s="28" t="s">
        <v>32</v>
      </c>
      <c r="EN33" s="28" t="s">
        <v>32</v>
      </c>
      <c r="EO33" s="26" t="s">
        <v>32</v>
      </c>
      <c r="EP33" s="26" t="s">
        <v>32</v>
      </c>
      <c r="EQ33" s="27">
        <f t="shared" si="5"/>
        <v>0</v>
      </c>
      <c r="ER33" s="34" t="s">
        <v>32</v>
      </c>
      <c r="ES33" s="34"/>
      <c r="ET33" s="31" t="s">
        <v>32</v>
      </c>
      <c r="EU33" s="34" t="s">
        <v>32</v>
      </c>
      <c r="EV33" s="30" t="s">
        <v>33</v>
      </c>
      <c r="EW33" s="30"/>
      <c r="EX33" s="34"/>
      <c r="EY33" s="28" t="s">
        <v>32</v>
      </c>
      <c r="EZ33" s="28" t="s">
        <v>32</v>
      </c>
      <c r="FA33" s="34" t="s">
        <v>32</v>
      </c>
      <c r="FB33" s="34" t="s">
        <v>32</v>
      </c>
      <c r="FC33" s="32" t="s">
        <v>32</v>
      </c>
      <c r="FD33" s="32" t="s">
        <v>32</v>
      </c>
      <c r="FE33" s="75" t="s">
        <v>32</v>
      </c>
      <c r="FF33" s="32" t="s">
        <v>32</v>
      </c>
      <c r="FG33" s="26" t="s">
        <v>32</v>
      </c>
      <c r="FH33" s="34" t="s">
        <v>32</v>
      </c>
      <c r="FI33" s="34" t="s">
        <v>32</v>
      </c>
      <c r="FJ33" s="34" t="s">
        <v>32</v>
      </c>
      <c r="FK33" s="33">
        <f t="shared" si="29"/>
        <v>0</v>
      </c>
      <c r="FL33" s="24"/>
      <c r="FM33" s="25">
        <v>45961</v>
      </c>
      <c r="FN33" s="28">
        <v>3238</v>
      </c>
      <c r="FO33" s="75">
        <v>0</v>
      </c>
      <c r="FP33" s="75">
        <v>6</v>
      </c>
      <c r="FQ33" s="26">
        <v>0</v>
      </c>
      <c r="FR33" s="26">
        <v>0</v>
      </c>
      <c r="FS33" s="32">
        <f t="shared" si="36"/>
        <v>1585610</v>
      </c>
      <c r="FT33" s="34" t="s">
        <v>32</v>
      </c>
      <c r="FU33" s="34"/>
      <c r="FV33" s="26">
        <v>28332</v>
      </c>
      <c r="FW33" s="34">
        <v>200000</v>
      </c>
      <c r="FX33" s="32">
        <v>2430</v>
      </c>
      <c r="FY33" s="32"/>
      <c r="FZ33" s="34">
        <v>150000</v>
      </c>
      <c r="GA33" s="28">
        <v>444185</v>
      </c>
      <c r="GB33" s="28">
        <v>500</v>
      </c>
      <c r="GC33" s="82">
        <v>415</v>
      </c>
      <c r="GD33" s="34" t="s">
        <v>32</v>
      </c>
      <c r="GE33" s="32">
        <v>703273</v>
      </c>
      <c r="GF33" s="32" t="s">
        <v>150</v>
      </c>
      <c r="GG33" s="29" t="s">
        <v>32</v>
      </c>
      <c r="GH33" s="28" t="s">
        <v>32</v>
      </c>
      <c r="GI33" s="26">
        <v>50000</v>
      </c>
      <c r="GJ33" s="34" t="s">
        <v>93</v>
      </c>
      <c r="GK33" s="32">
        <v>6475</v>
      </c>
      <c r="GL33" s="34" t="s">
        <v>116</v>
      </c>
      <c r="GM33" s="33">
        <f t="shared" si="30"/>
        <v>1585610</v>
      </c>
      <c r="GN33" s="24"/>
      <c r="GO33" s="25" t="s">
        <v>32</v>
      </c>
      <c r="GP33" s="28" t="s">
        <v>32</v>
      </c>
      <c r="GQ33" s="75" t="s">
        <v>32</v>
      </c>
      <c r="GR33" s="75" t="s">
        <v>32</v>
      </c>
      <c r="GS33" s="26"/>
      <c r="GT33" s="26"/>
      <c r="GU33" s="32"/>
      <c r="GV33" s="34" t="s">
        <v>32</v>
      </c>
      <c r="GW33" s="28"/>
      <c r="GX33" s="26" t="s">
        <v>32</v>
      </c>
      <c r="GY33" s="34" t="s">
        <v>32</v>
      </c>
      <c r="GZ33" s="32" t="s">
        <v>33</v>
      </c>
      <c r="HA33" s="32"/>
      <c r="HB33" s="34"/>
      <c r="HC33" s="28" t="s">
        <v>32</v>
      </c>
      <c r="HD33" s="28" t="s">
        <v>32</v>
      </c>
      <c r="HE33" s="26" t="s">
        <v>32</v>
      </c>
      <c r="HF33" s="34" t="s">
        <v>32</v>
      </c>
      <c r="HG33" s="32" t="s">
        <v>32</v>
      </c>
      <c r="HH33" s="32" t="s">
        <v>32</v>
      </c>
      <c r="HI33" s="29" t="s">
        <v>32</v>
      </c>
      <c r="HJ33" s="32" t="s">
        <v>32</v>
      </c>
      <c r="HK33" s="26" t="s">
        <v>32</v>
      </c>
      <c r="HL33" s="26" t="s">
        <v>32</v>
      </c>
      <c r="HM33" s="82" t="s">
        <v>32</v>
      </c>
      <c r="HN33" s="82" t="s">
        <v>32</v>
      </c>
      <c r="HO33" s="33">
        <f t="shared" si="31"/>
        <v>0</v>
      </c>
      <c r="HP33" s="24"/>
      <c r="HQ33" s="25">
        <v>46022</v>
      </c>
      <c r="HR33" s="28">
        <v>1746</v>
      </c>
      <c r="HS33" s="75">
        <v>3440</v>
      </c>
      <c r="HT33" s="75">
        <v>10</v>
      </c>
      <c r="HU33" s="26">
        <v>3327</v>
      </c>
      <c r="HV33" s="26">
        <v>147860</v>
      </c>
      <c r="HW33" s="32">
        <f t="shared" si="7"/>
        <v>1061158</v>
      </c>
      <c r="HX33" s="30" t="s">
        <v>32</v>
      </c>
      <c r="HY33" s="28"/>
      <c r="HZ33" s="26">
        <v>100000</v>
      </c>
      <c r="IA33" s="30">
        <v>50000</v>
      </c>
      <c r="IB33" s="32">
        <v>53788</v>
      </c>
      <c r="IC33" s="75">
        <v>36150</v>
      </c>
      <c r="ID33" s="30"/>
      <c r="IE33" s="28" t="s">
        <v>32</v>
      </c>
      <c r="IF33" s="28" t="s">
        <v>32</v>
      </c>
      <c r="IG33" s="26">
        <v>3200</v>
      </c>
      <c r="IH33" s="30" t="s">
        <v>32</v>
      </c>
      <c r="II33" s="28">
        <v>761451</v>
      </c>
      <c r="IJ33" s="28" t="s">
        <v>170</v>
      </c>
      <c r="IK33" s="75">
        <v>55869</v>
      </c>
      <c r="IL33" s="32" t="s">
        <v>32</v>
      </c>
      <c r="IM33" s="26">
        <v>700</v>
      </c>
      <c r="IN33" s="26" t="s">
        <v>68</v>
      </c>
      <c r="IO33" s="82" t="s">
        <v>32</v>
      </c>
      <c r="IP33" s="82" t="s">
        <v>32</v>
      </c>
      <c r="IQ33" s="33">
        <f t="shared" si="32"/>
        <v>1061158</v>
      </c>
      <c r="IR33" s="24"/>
      <c r="IS33" s="25">
        <v>46053</v>
      </c>
      <c r="IT33" s="28">
        <v>1955</v>
      </c>
      <c r="IU33" s="75">
        <v>0</v>
      </c>
      <c r="IV33" s="75">
        <v>6</v>
      </c>
      <c r="IW33" s="26">
        <v>1416</v>
      </c>
      <c r="IX33" s="26">
        <v>59710</v>
      </c>
      <c r="IY33" s="32">
        <f t="shared" si="8"/>
        <v>1257379</v>
      </c>
      <c r="IZ33" s="34">
        <v>10100</v>
      </c>
      <c r="JA33" s="34">
        <v>11400</v>
      </c>
      <c r="JB33" s="26">
        <v>138567</v>
      </c>
      <c r="JC33" s="34">
        <v>110000</v>
      </c>
      <c r="JD33" s="32" t="s">
        <v>33</v>
      </c>
      <c r="JE33" s="32">
        <v>108400</v>
      </c>
      <c r="JF33" s="34"/>
      <c r="JG33" s="28">
        <v>2000</v>
      </c>
      <c r="JH33" s="28" t="s">
        <v>32</v>
      </c>
      <c r="JI33" s="82">
        <v>685</v>
      </c>
      <c r="JJ33" s="34" t="s">
        <v>32</v>
      </c>
      <c r="JK33" s="32">
        <v>876227</v>
      </c>
      <c r="JL33" s="32" t="s">
        <v>172</v>
      </c>
      <c r="JM33" s="29" t="s">
        <v>32</v>
      </c>
      <c r="JN33" s="28" t="s">
        <v>32</v>
      </c>
      <c r="JO33" s="26" t="s">
        <v>32</v>
      </c>
      <c r="JP33" s="34" t="s">
        <v>32</v>
      </c>
      <c r="JQ33" s="32" t="s">
        <v>32</v>
      </c>
      <c r="JR33" s="34" t="s">
        <v>32</v>
      </c>
      <c r="JS33" s="33">
        <f t="shared" si="33"/>
        <v>1257379</v>
      </c>
      <c r="JT33" s="24"/>
      <c r="JU33" s="25" t="s">
        <v>32</v>
      </c>
      <c r="JV33" s="28" t="s">
        <v>32</v>
      </c>
      <c r="JW33" s="75" t="s">
        <v>32</v>
      </c>
      <c r="JX33" s="75" t="s">
        <v>32</v>
      </c>
      <c r="JY33" s="26"/>
      <c r="JZ33" s="26"/>
      <c r="KA33" s="32">
        <f t="shared" si="9"/>
        <v>0</v>
      </c>
      <c r="KB33" s="34" t="s">
        <v>32</v>
      </c>
      <c r="KC33" s="34"/>
      <c r="KD33" s="26" t="s">
        <v>32</v>
      </c>
      <c r="KE33" s="34" t="s">
        <v>32</v>
      </c>
      <c r="KF33" s="32" t="s">
        <v>33</v>
      </c>
      <c r="KG33" s="32"/>
      <c r="KH33" s="34"/>
      <c r="KI33" s="28" t="s">
        <v>32</v>
      </c>
      <c r="KJ33" s="28" t="s">
        <v>32</v>
      </c>
      <c r="KK33" s="82" t="s">
        <v>32</v>
      </c>
      <c r="KL33" s="34" t="s">
        <v>32</v>
      </c>
      <c r="KM33" s="32" t="s">
        <v>32</v>
      </c>
      <c r="KN33" s="32" t="s">
        <v>32</v>
      </c>
      <c r="KO33" s="29" t="s">
        <v>32</v>
      </c>
      <c r="KP33" s="28" t="s">
        <v>32</v>
      </c>
      <c r="KQ33" s="26" t="s">
        <v>32</v>
      </c>
      <c r="KR33" s="34" t="s">
        <v>32</v>
      </c>
      <c r="KS33" s="32" t="s">
        <v>32</v>
      </c>
      <c r="KT33" s="34" t="s">
        <v>32</v>
      </c>
      <c r="KU33" s="33">
        <f t="shared" si="34"/>
        <v>0</v>
      </c>
      <c r="KV33" s="24"/>
      <c r="KW33" s="25">
        <v>46112</v>
      </c>
      <c r="KX33" s="28">
        <v>3011</v>
      </c>
      <c r="KY33" s="75">
        <v>5945</v>
      </c>
      <c r="KZ33" s="75">
        <v>10.75</v>
      </c>
      <c r="LA33" s="26">
        <v>7542</v>
      </c>
      <c r="LB33" s="26">
        <v>498919</v>
      </c>
      <c r="LC33" s="32">
        <f t="shared" si="10"/>
        <v>656158</v>
      </c>
      <c r="LD33" s="34">
        <v>38900</v>
      </c>
      <c r="LE33" s="34">
        <v>13760</v>
      </c>
      <c r="LF33" s="26">
        <v>37500</v>
      </c>
      <c r="LG33" s="34">
        <v>70000</v>
      </c>
      <c r="LH33" s="32">
        <v>38568</v>
      </c>
      <c r="LI33" s="32">
        <v>38400</v>
      </c>
      <c r="LJ33" s="34"/>
      <c r="LK33" s="28" t="s">
        <v>32</v>
      </c>
      <c r="LL33" s="28" t="s">
        <v>32</v>
      </c>
      <c r="LM33" s="82">
        <v>455</v>
      </c>
      <c r="LN33" s="34" t="s">
        <v>32</v>
      </c>
      <c r="LO33" s="32">
        <v>418575</v>
      </c>
      <c r="LP33" s="32" t="s">
        <v>180</v>
      </c>
      <c r="LQ33" s="29" t="s">
        <v>32</v>
      </c>
      <c r="LR33" s="28" t="s">
        <v>32</v>
      </c>
      <c r="LS33" s="26" t="s">
        <v>32</v>
      </c>
      <c r="LT33" s="34" t="s">
        <v>32</v>
      </c>
      <c r="LU33" s="32" t="s">
        <v>32</v>
      </c>
      <c r="LV33" s="34" t="s">
        <v>32</v>
      </c>
      <c r="LW33" s="33">
        <f t="shared" si="35"/>
        <v>656158</v>
      </c>
      <c r="LX33" s="24"/>
    </row>
    <row r="34" spans="1:336" x14ac:dyDescent="0.3">
      <c r="A34" s="35"/>
      <c r="B34" s="36">
        <f t="shared" ref="B34:Y34" si="37">SUM(B3:B33)</f>
        <v>56307</v>
      </c>
      <c r="C34" s="36">
        <f t="shared" si="37"/>
        <v>3501163</v>
      </c>
      <c r="D34" s="37">
        <f t="shared" si="37"/>
        <v>4017785</v>
      </c>
      <c r="E34" s="38">
        <f t="shared" si="37"/>
        <v>67929</v>
      </c>
      <c r="F34" s="39">
        <f t="shared" si="37"/>
        <v>62983</v>
      </c>
      <c r="G34" s="39">
        <f t="shared" si="37"/>
        <v>196.25</v>
      </c>
      <c r="H34" s="35">
        <f t="shared" si="37"/>
        <v>173336</v>
      </c>
      <c r="I34" s="35">
        <f t="shared" si="37"/>
        <v>104464</v>
      </c>
      <c r="J34" s="40">
        <f t="shared" si="37"/>
        <v>760723</v>
      </c>
      <c r="K34" s="35">
        <f t="shared" si="37"/>
        <v>805601</v>
      </c>
      <c r="L34" s="37">
        <f t="shared" si="37"/>
        <v>42143</v>
      </c>
      <c r="M34" s="37">
        <f t="shared" si="37"/>
        <v>538020</v>
      </c>
      <c r="N34" s="35">
        <f t="shared" si="37"/>
        <v>285910</v>
      </c>
      <c r="O34" s="38">
        <f t="shared" si="37"/>
        <v>34468</v>
      </c>
      <c r="P34" s="38">
        <f t="shared" si="37"/>
        <v>1600</v>
      </c>
      <c r="Q34" s="35">
        <f t="shared" si="37"/>
        <v>32680</v>
      </c>
      <c r="R34" s="35">
        <f t="shared" si="37"/>
        <v>3893</v>
      </c>
      <c r="S34" s="37">
        <f t="shared" si="37"/>
        <v>1133200</v>
      </c>
      <c r="T34" s="37">
        <f t="shared" si="37"/>
        <v>0</v>
      </c>
      <c r="U34" s="41">
        <f t="shared" si="37"/>
        <v>24067</v>
      </c>
      <c r="V34" s="38">
        <f t="shared" si="37"/>
        <v>280</v>
      </c>
      <c r="W34" s="36">
        <f t="shared" si="37"/>
        <v>77400</v>
      </c>
      <c r="X34" s="35">
        <f t="shared" si="37"/>
        <v>0</v>
      </c>
      <c r="Y34" s="35">
        <f t="shared" si="37"/>
        <v>0</v>
      </c>
      <c r="Z34" s="35"/>
      <c r="AA34" s="42">
        <f>SUM(H34:Z34)</f>
        <v>4017785</v>
      </c>
      <c r="AB34" s="24"/>
      <c r="AC34" s="35"/>
      <c r="AD34" s="36">
        <f t="shared" ref="AD34:BA34" si="38">SUM(AD3:AD33)</f>
        <v>78901</v>
      </c>
      <c r="AE34" s="36">
        <f t="shared" si="38"/>
        <v>4554304</v>
      </c>
      <c r="AF34" s="37">
        <f t="shared" si="38"/>
        <v>3527071</v>
      </c>
      <c r="AG34" s="38">
        <f t="shared" si="38"/>
        <v>69095</v>
      </c>
      <c r="AH34" s="39">
        <f t="shared" si="38"/>
        <v>97621</v>
      </c>
      <c r="AI34" s="39">
        <f t="shared" si="38"/>
        <v>331.75</v>
      </c>
      <c r="AJ34" s="35">
        <f t="shared" si="38"/>
        <v>155205</v>
      </c>
      <c r="AK34" s="35">
        <f t="shared" si="38"/>
        <v>139155</v>
      </c>
      <c r="AL34" s="40">
        <f t="shared" si="38"/>
        <v>802699</v>
      </c>
      <c r="AM34" s="35">
        <f t="shared" si="38"/>
        <v>312410</v>
      </c>
      <c r="AN34" s="37">
        <f t="shared" si="38"/>
        <v>19060</v>
      </c>
      <c r="AO34" s="37">
        <f t="shared" si="38"/>
        <v>246900</v>
      </c>
      <c r="AP34" s="35">
        <f t="shared" si="38"/>
        <v>283080</v>
      </c>
      <c r="AQ34" s="38">
        <f t="shared" si="38"/>
        <v>68828</v>
      </c>
      <c r="AR34" s="38">
        <f t="shared" si="38"/>
        <v>1630</v>
      </c>
      <c r="AS34" s="35">
        <f t="shared" si="38"/>
        <v>33591</v>
      </c>
      <c r="AT34" s="35">
        <f t="shared" si="38"/>
        <v>0</v>
      </c>
      <c r="AU34" s="37">
        <f t="shared" si="38"/>
        <v>1317583</v>
      </c>
      <c r="AV34" s="37">
        <f t="shared" si="38"/>
        <v>0</v>
      </c>
      <c r="AW34" s="41">
        <f t="shared" si="38"/>
        <v>8100</v>
      </c>
      <c r="AX34" s="38">
        <f t="shared" si="38"/>
        <v>0</v>
      </c>
      <c r="AY34" s="36">
        <f t="shared" si="38"/>
        <v>134730</v>
      </c>
      <c r="AZ34" s="35">
        <f t="shared" si="38"/>
        <v>0</v>
      </c>
      <c r="BA34" s="35">
        <f t="shared" si="38"/>
        <v>4100</v>
      </c>
      <c r="BB34" s="35"/>
      <c r="BC34" s="42">
        <f>SUM(AJ34:BB34)</f>
        <v>3527071</v>
      </c>
      <c r="BD34" s="24"/>
      <c r="BE34" s="35"/>
      <c r="BF34" s="36">
        <f t="shared" ref="BF34:CC34" si="39">SUM(BF3:BF33)</f>
        <v>75258</v>
      </c>
      <c r="BG34" s="36">
        <f t="shared" si="39"/>
        <v>4473637</v>
      </c>
      <c r="BH34" s="37">
        <f t="shared" si="39"/>
        <v>3210761</v>
      </c>
      <c r="BI34" s="38">
        <f t="shared" si="39"/>
        <v>50311</v>
      </c>
      <c r="BJ34" s="39">
        <f t="shared" si="39"/>
        <v>52520</v>
      </c>
      <c r="BK34" s="39">
        <f t="shared" si="39"/>
        <v>422.65</v>
      </c>
      <c r="BL34" s="35">
        <f t="shared" si="39"/>
        <v>147697</v>
      </c>
      <c r="BM34" s="35">
        <f t="shared" si="39"/>
        <v>106982</v>
      </c>
      <c r="BN34" s="40">
        <f t="shared" si="39"/>
        <v>373350</v>
      </c>
      <c r="BO34" s="35">
        <f t="shared" si="39"/>
        <v>790000</v>
      </c>
      <c r="BP34" s="37">
        <f t="shared" si="39"/>
        <v>75200</v>
      </c>
      <c r="BQ34" s="37">
        <f t="shared" si="39"/>
        <v>154850</v>
      </c>
      <c r="BR34" s="35">
        <f t="shared" si="39"/>
        <v>251200</v>
      </c>
      <c r="BS34" s="38">
        <f t="shared" si="39"/>
        <v>33968</v>
      </c>
      <c r="BT34" s="38">
        <f t="shared" si="39"/>
        <v>1800</v>
      </c>
      <c r="BU34" s="35">
        <f t="shared" si="39"/>
        <v>29699</v>
      </c>
      <c r="BV34" s="35">
        <f t="shared" si="39"/>
        <v>0</v>
      </c>
      <c r="BW34" s="37">
        <f t="shared" si="39"/>
        <v>1174850</v>
      </c>
      <c r="BX34" s="37">
        <f t="shared" si="39"/>
        <v>0</v>
      </c>
      <c r="BY34" s="41">
        <f t="shared" si="39"/>
        <v>5000</v>
      </c>
      <c r="BZ34" s="38">
        <f t="shared" si="39"/>
        <v>0</v>
      </c>
      <c r="CA34" s="36">
        <f t="shared" si="39"/>
        <v>53000</v>
      </c>
      <c r="CB34" s="35">
        <f t="shared" si="39"/>
        <v>0</v>
      </c>
      <c r="CC34" s="35">
        <f t="shared" si="39"/>
        <v>13165</v>
      </c>
      <c r="CD34" s="35"/>
      <c r="CE34" s="42">
        <f>SUM(BL34:CD34)</f>
        <v>3210761</v>
      </c>
      <c r="CF34" s="24"/>
      <c r="CG34" s="35"/>
      <c r="CH34" s="36">
        <f t="shared" ref="CH34:DE34" si="40">SUM(CH3:CH33)</f>
        <v>74346</v>
      </c>
      <c r="CI34" s="36">
        <f t="shared" si="40"/>
        <v>3912986</v>
      </c>
      <c r="CJ34" s="37">
        <f t="shared" si="40"/>
        <v>3168336</v>
      </c>
      <c r="CK34" s="38">
        <f t="shared" si="40"/>
        <v>75265</v>
      </c>
      <c r="CL34" s="39">
        <f t="shared" si="40"/>
        <v>55842</v>
      </c>
      <c r="CM34" s="39">
        <f t="shared" si="40"/>
        <v>179.6</v>
      </c>
      <c r="CN34" s="35">
        <f t="shared" si="40"/>
        <v>161898</v>
      </c>
      <c r="CO34" s="35">
        <f t="shared" si="40"/>
        <v>160122</v>
      </c>
      <c r="CP34" s="40">
        <f t="shared" si="40"/>
        <v>934205</v>
      </c>
      <c r="CQ34" s="35">
        <f t="shared" si="40"/>
        <v>331300</v>
      </c>
      <c r="CR34" s="37">
        <f t="shared" si="40"/>
        <v>111835</v>
      </c>
      <c r="CS34" s="37">
        <f t="shared" si="40"/>
        <v>78725</v>
      </c>
      <c r="CT34" s="35">
        <f t="shared" si="40"/>
        <v>246100</v>
      </c>
      <c r="CU34" s="38">
        <f t="shared" si="40"/>
        <v>33418</v>
      </c>
      <c r="CV34" s="38">
        <f t="shared" si="40"/>
        <v>3760</v>
      </c>
      <c r="CW34" s="35">
        <f t="shared" si="40"/>
        <v>38678</v>
      </c>
      <c r="CX34" s="35">
        <f t="shared" si="40"/>
        <v>1759</v>
      </c>
      <c r="CY34" s="37">
        <f t="shared" si="40"/>
        <v>1003036</v>
      </c>
      <c r="CZ34" s="37">
        <f t="shared" si="40"/>
        <v>0</v>
      </c>
      <c r="DA34" s="41">
        <f t="shared" si="40"/>
        <v>3200</v>
      </c>
      <c r="DB34" s="38">
        <f t="shared" si="40"/>
        <v>0</v>
      </c>
      <c r="DC34" s="36">
        <f t="shared" si="40"/>
        <v>53100</v>
      </c>
      <c r="DD34" s="35">
        <f t="shared" si="40"/>
        <v>0</v>
      </c>
      <c r="DE34" s="35">
        <f t="shared" si="40"/>
        <v>7200</v>
      </c>
      <c r="DF34" s="35"/>
      <c r="DG34" s="42">
        <f>SUM(CN34:DF34)</f>
        <v>3168336</v>
      </c>
      <c r="DH34" s="24"/>
      <c r="DI34" s="35"/>
      <c r="DJ34" s="36">
        <f t="shared" ref="DJ34:EG34" si="41">SUM(DJ3:DJ33)</f>
        <v>64153</v>
      </c>
      <c r="DK34" s="36">
        <f t="shared" si="41"/>
        <v>2923083</v>
      </c>
      <c r="DL34" s="38">
        <f t="shared" si="41"/>
        <v>73960</v>
      </c>
      <c r="DM34" s="39">
        <f t="shared" si="41"/>
        <v>52528</v>
      </c>
      <c r="DN34" s="39">
        <f t="shared" si="41"/>
        <v>153.75</v>
      </c>
      <c r="DO34" s="37">
        <f t="shared" si="41"/>
        <v>3409372</v>
      </c>
      <c r="DP34" s="35">
        <f t="shared" si="41"/>
        <v>55600</v>
      </c>
      <c r="DQ34" s="35">
        <f t="shared" si="41"/>
        <v>33000</v>
      </c>
      <c r="DR34" s="40">
        <f t="shared" si="41"/>
        <v>444230</v>
      </c>
      <c r="DS34" s="35">
        <f t="shared" si="41"/>
        <v>542000</v>
      </c>
      <c r="DT34" s="37">
        <f t="shared" si="41"/>
        <v>75736</v>
      </c>
      <c r="DU34" s="37">
        <f t="shared" si="41"/>
        <v>119200</v>
      </c>
      <c r="DV34" s="35">
        <f t="shared" si="41"/>
        <v>378750</v>
      </c>
      <c r="DW34" s="38">
        <f t="shared" si="41"/>
        <v>32968</v>
      </c>
      <c r="DX34" s="38">
        <f t="shared" si="41"/>
        <v>2250</v>
      </c>
      <c r="DY34" s="35">
        <f t="shared" si="41"/>
        <v>30544</v>
      </c>
      <c r="DZ34" s="35">
        <f t="shared" si="41"/>
        <v>0</v>
      </c>
      <c r="EA34" s="37">
        <f t="shared" si="41"/>
        <v>1496684</v>
      </c>
      <c r="EB34" s="37">
        <f t="shared" si="41"/>
        <v>0</v>
      </c>
      <c r="EC34" s="41">
        <f t="shared" si="41"/>
        <v>5500</v>
      </c>
      <c r="ED34" s="38">
        <f t="shared" si="41"/>
        <v>210</v>
      </c>
      <c r="EE34" s="36">
        <f t="shared" si="41"/>
        <v>180900</v>
      </c>
      <c r="EF34" s="35">
        <f t="shared" si="41"/>
        <v>0</v>
      </c>
      <c r="EG34" s="35">
        <f t="shared" si="41"/>
        <v>11800</v>
      </c>
      <c r="EH34" s="35"/>
      <c r="EI34" s="42">
        <f>SUM(DP34:EH34)</f>
        <v>3409372</v>
      </c>
      <c r="EJ34" s="24"/>
      <c r="EK34" s="35"/>
      <c r="EL34" s="38">
        <f t="shared" ref="EL34:FI34" si="42">SUM(EL3:EL33)</f>
        <v>73465</v>
      </c>
      <c r="EM34" s="73">
        <f t="shared" si="42"/>
        <v>77754</v>
      </c>
      <c r="EN34" s="73">
        <f t="shared" si="42"/>
        <v>207.25</v>
      </c>
      <c r="EO34" s="36">
        <f t="shared" si="42"/>
        <v>86499</v>
      </c>
      <c r="EP34" s="36">
        <f t="shared" si="42"/>
        <v>4298621</v>
      </c>
      <c r="EQ34" s="37">
        <f t="shared" si="42"/>
        <v>3333189</v>
      </c>
      <c r="ER34" s="35">
        <f t="shared" si="42"/>
        <v>110475</v>
      </c>
      <c r="ES34" s="35">
        <f t="shared" si="42"/>
        <v>47075</v>
      </c>
      <c r="ET34" s="40">
        <f t="shared" si="42"/>
        <v>408092</v>
      </c>
      <c r="EU34" s="35">
        <f t="shared" si="42"/>
        <v>510000</v>
      </c>
      <c r="EV34" s="74">
        <f t="shared" si="42"/>
        <v>129288</v>
      </c>
      <c r="EW34" s="74">
        <f t="shared" si="42"/>
        <v>10000</v>
      </c>
      <c r="EX34" s="35">
        <f t="shared" si="42"/>
        <v>391400</v>
      </c>
      <c r="EY34" s="38">
        <f t="shared" si="42"/>
        <v>82968</v>
      </c>
      <c r="EZ34" s="38">
        <f t="shared" si="42"/>
        <v>2550</v>
      </c>
      <c r="FA34" s="35">
        <f t="shared" si="42"/>
        <v>31104</v>
      </c>
      <c r="FB34" s="35">
        <f t="shared" si="42"/>
        <v>1881</v>
      </c>
      <c r="FC34" s="37">
        <f t="shared" si="42"/>
        <v>1068383</v>
      </c>
      <c r="FD34" s="37">
        <f t="shared" si="42"/>
        <v>0</v>
      </c>
      <c r="FE34" s="77">
        <f t="shared" si="42"/>
        <v>33573</v>
      </c>
      <c r="FF34" s="37">
        <f t="shared" si="42"/>
        <v>0</v>
      </c>
      <c r="FG34" s="36">
        <f t="shared" si="42"/>
        <v>502000</v>
      </c>
      <c r="FH34" s="35">
        <f t="shared" si="42"/>
        <v>0</v>
      </c>
      <c r="FI34" s="35">
        <f t="shared" si="42"/>
        <v>4400</v>
      </c>
      <c r="FJ34" s="35"/>
      <c r="FK34" s="42">
        <f>SUM(ER34:FJ34)</f>
        <v>3333189</v>
      </c>
      <c r="FL34" s="24"/>
      <c r="FM34" s="35"/>
      <c r="FN34" s="38">
        <f t="shared" ref="FN34:FS34" si="43">SUM(FN3:FN33)</f>
        <v>61070</v>
      </c>
      <c r="FO34" s="78">
        <f t="shared" si="43"/>
        <v>39439</v>
      </c>
      <c r="FP34" s="78">
        <f t="shared" si="43"/>
        <v>114.15</v>
      </c>
      <c r="FQ34" s="66">
        <f t="shared" si="43"/>
        <v>75863</v>
      </c>
      <c r="FR34" s="66">
        <f t="shared" si="43"/>
        <v>4100304</v>
      </c>
      <c r="FS34" s="80">
        <f t="shared" si="43"/>
        <v>4665792</v>
      </c>
      <c r="FT34" s="35">
        <f t="shared" ref="FT34:GK34" si="44">SUM(FT3:FT33)</f>
        <v>223200</v>
      </c>
      <c r="FU34" s="35">
        <f t="shared" si="44"/>
        <v>142400</v>
      </c>
      <c r="FV34" s="66">
        <f t="shared" si="44"/>
        <v>1075588</v>
      </c>
      <c r="FW34" s="35">
        <f t="shared" si="44"/>
        <v>385000</v>
      </c>
      <c r="FX34" s="37">
        <f t="shared" si="44"/>
        <v>66658</v>
      </c>
      <c r="FY34" s="37">
        <f t="shared" si="44"/>
        <v>76135</v>
      </c>
      <c r="FZ34" s="35">
        <f t="shared" si="44"/>
        <v>499300</v>
      </c>
      <c r="GA34" s="38">
        <f t="shared" si="44"/>
        <v>445385</v>
      </c>
      <c r="GB34" s="38">
        <f t="shared" si="44"/>
        <v>2750</v>
      </c>
      <c r="GC34" s="83">
        <f t="shared" si="44"/>
        <v>39656</v>
      </c>
      <c r="GD34" s="35">
        <f t="shared" si="44"/>
        <v>3060</v>
      </c>
      <c r="GE34" s="37">
        <f t="shared" si="44"/>
        <v>976685</v>
      </c>
      <c r="GF34" s="37">
        <f t="shared" si="44"/>
        <v>0</v>
      </c>
      <c r="GG34" s="41">
        <f t="shared" si="44"/>
        <v>15600</v>
      </c>
      <c r="GH34" s="38">
        <f t="shared" si="44"/>
        <v>400</v>
      </c>
      <c r="GI34" s="36">
        <f t="shared" si="44"/>
        <v>700000</v>
      </c>
      <c r="GJ34" s="35">
        <f t="shared" si="44"/>
        <v>0</v>
      </c>
      <c r="GK34" s="37">
        <f t="shared" si="44"/>
        <v>13975</v>
      </c>
      <c r="GL34" s="35"/>
      <c r="GM34" s="42">
        <f>SUM(FT34:GL34)</f>
        <v>4665792</v>
      </c>
      <c r="GN34" s="24"/>
      <c r="GO34" s="35"/>
      <c r="GP34" s="38">
        <f t="shared" ref="GP34:HM34" si="45">SUM(GP3:GP33)</f>
        <v>75013</v>
      </c>
      <c r="GQ34" s="78">
        <f t="shared" si="45"/>
        <v>66968</v>
      </c>
      <c r="GR34" s="78">
        <f t="shared" si="45"/>
        <v>213.25</v>
      </c>
      <c r="GS34" s="66">
        <f t="shared" si="45"/>
        <v>66248</v>
      </c>
      <c r="GT34" s="66">
        <f t="shared" si="45"/>
        <v>3311908</v>
      </c>
      <c r="GU34" s="80">
        <f t="shared" si="45"/>
        <v>1919528</v>
      </c>
      <c r="GV34" s="35">
        <f t="shared" si="45"/>
        <v>151032</v>
      </c>
      <c r="GW34" s="38">
        <f t="shared" si="45"/>
        <v>98573</v>
      </c>
      <c r="GX34" s="66">
        <f t="shared" si="45"/>
        <v>314600</v>
      </c>
      <c r="GY34" s="35">
        <f t="shared" si="45"/>
        <v>37600</v>
      </c>
      <c r="GZ34" s="37">
        <f t="shared" si="45"/>
        <v>45798</v>
      </c>
      <c r="HA34" s="37">
        <f t="shared" si="45"/>
        <v>56100</v>
      </c>
      <c r="HB34" s="35">
        <f t="shared" si="45"/>
        <v>235600</v>
      </c>
      <c r="HC34" s="38">
        <f t="shared" si="45"/>
        <v>3800</v>
      </c>
      <c r="HD34" s="38">
        <f t="shared" si="45"/>
        <v>1200</v>
      </c>
      <c r="HE34" s="36">
        <f t="shared" si="45"/>
        <v>30687</v>
      </c>
      <c r="HF34" s="35">
        <f t="shared" si="45"/>
        <v>0</v>
      </c>
      <c r="HG34" s="37">
        <f t="shared" si="45"/>
        <v>814461</v>
      </c>
      <c r="HH34" s="37">
        <f t="shared" si="45"/>
        <v>0</v>
      </c>
      <c r="HI34" s="41">
        <f t="shared" si="45"/>
        <v>26897</v>
      </c>
      <c r="HJ34" s="37">
        <f t="shared" si="45"/>
        <v>0</v>
      </c>
      <c r="HK34" s="36">
        <f t="shared" si="45"/>
        <v>83630</v>
      </c>
      <c r="HL34" s="36">
        <f t="shared" si="45"/>
        <v>0</v>
      </c>
      <c r="HM34" s="83">
        <f t="shared" si="45"/>
        <v>19550</v>
      </c>
      <c r="HN34" s="83"/>
      <c r="HO34" s="42">
        <f>SUM(GV34:HN34)</f>
        <v>1919528</v>
      </c>
      <c r="HP34" s="24"/>
      <c r="HQ34" s="35"/>
      <c r="HR34" s="38">
        <f t="shared" ref="HR34:HW34" si="46">SUM(HR3:HR33)</f>
        <v>81866</v>
      </c>
      <c r="HS34" s="78">
        <f t="shared" si="46"/>
        <v>62446</v>
      </c>
      <c r="HT34" s="78">
        <f t="shared" si="46"/>
        <v>229.05</v>
      </c>
      <c r="HU34" s="66">
        <f t="shared" si="46"/>
        <v>47000</v>
      </c>
      <c r="HV34" s="66">
        <f t="shared" si="46"/>
        <v>2641267</v>
      </c>
      <c r="HW34" s="80">
        <f t="shared" si="46"/>
        <v>3433753</v>
      </c>
      <c r="HX34" s="74">
        <f t="shared" ref="HX34:IO34" si="47">SUM(HX3:HX33)</f>
        <v>237700</v>
      </c>
      <c r="HY34" s="38">
        <f t="shared" si="47"/>
        <v>163600</v>
      </c>
      <c r="HZ34" s="66">
        <f t="shared" si="47"/>
        <v>935185</v>
      </c>
      <c r="IA34" s="74">
        <f t="shared" si="47"/>
        <v>527100</v>
      </c>
      <c r="IB34" s="37">
        <f t="shared" si="47"/>
        <v>86405</v>
      </c>
      <c r="IC34" s="77">
        <f t="shared" si="47"/>
        <v>87250</v>
      </c>
      <c r="ID34" s="74">
        <f t="shared" si="47"/>
        <v>175900</v>
      </c>
      <c r="IE34" s="38">
        <f t="shared" si="47"/>
        <v>4000</v>
      </c>
      <c r="IF34" s="38">
        <f t="shared" si="47"/>
        <v>1000</v>
      </c>
      <c r="IG34" s="36">
        <f t="shared" si="47"/>
        <v>26434</v>
      </c>
      <c r="IH34" s="74">
        <f t="shared" si="47"/>
        <v>850</v>
      </c>
      <c r="II34" s="38">
        <f t="shared" si="47"/>
        <v>1029290</v>
      </c>
      <c r="IJ34" s="38">
        <f t="shared" si="47"/>
        <v>0</v>
      </c>
      <c r="IK34" s="77">
        <f t="shared" si="47"/>
        <v>126569</v>
      </c>
      <c r="IL34" s="37">
        <f t="shared" si="47"/>
        <v>0</v>
      </c>
      <c r="IM34" s="36">
        <f t="shared" si="47"/>
        <v>31870</v>
      </c>
      <c r="IN34" s="36">
        <f t="shared" si="47"/>
        <v>0</v>
      </c>
      <c r="IO34" s="83">
        <f t="shared" si="47"/>
        <v>600</v>
      </c>
      <c r="IP34" s="83"/>
      <c r="IQ34" s="42">
        <f>SUM(HX34:IP34)</f>
        <v>3433753</v>
      </c>
      <c r="IR34" s="24"/>
      <c r="IS34" s="35"/>
      <c r="IT34" s="38">
        <f t="shared" ref="IT34:IY34" si="48">SUM(IT3:IT33)</f>
        <v>79577</v>
      </c>
      <c r="IU34" s="78">
        <f t="shared" si="48"/>
        <v>67309</v>
      </c>
      <c r="IV34" s="78">
        <f t="shared" si="48"/>
        <v>218.9</v>
      </c>
      <c r="IW34" s="66">
        <f t="shared" si="48"/>
        <v>96702</v>
      </c>
      <c r="IX34" s="66">
        <f t="shared" si="48"/>
        <v>5773312</v>
      </c>
      <c r="IY34" s="80">
        <f t="shared" si="48"/>
        <v>3445400</v>
      </c>
      <c r="IZ34" s="35">
        <f t="shared" ref="IZ34:JQ34" si="49">SUM(IZ3:IZ33)</f>
        <v>307520</v>
      </c>
      <c r="JA34" s="35">
        <f t="shared" si="49"/>
        <v>252694</v>
      </c>
      <c r="JB34" s="66">
        <f t="shared" si="49"/>
        <v>747130</v>
      </c>
      <c r="JC34" s="35">
        <f t="shared" si="49"/>
        <v>359350</v>
      </c>
      <c r="JD34" s="37">
        <f t="shared" si="49"/>
        <v>61650</v>
      </c>
      <c r="JE34" s="37">
        <f t="shared" si="49"/>
        <v>388550</v>
      </c>
      <c r="JF34" s="35">
        <f t="shared" si="49"/>
        <v>110000</v>
      </c>
      <c r="JG34" s="38">
        <f t="shared" si="49"/>
        <v>2000</v>
      </c>
      <c r="JH34" s="38">
        <f t="shared" si="49"/>
        <v>5900</v>
      </c>
      <c r="JI34" s="83">
        <f t="shared" si="49"/>
        <v>33070</v>
      </c>
      <c r="JJ34" s="35">
        <f t="shared" si="49"/>
        <v>1880</v>
      </c>
      <c r="JK34" s="37">
        <f t="shared" si="49"/>
        <v>1144606</v>
      </c>
      <c r="JL34" s="37">
        <f t="shared" si="49"/>
        <v>0</v>
      </c>
      <c r="JM34" s="41">
        <f t="shared" si="49"/>
        <v>2700</v>
      </c>
      <c r="JN34" s="38">
        <f t="shared" si="49"/>
        <v>700</v>
      </c>
      <c r="JO34" s="36">
        <f t="shared" si="49"/>
        <v>21600</v>
      </c>
      <c r="JP34" s="35">
        <f t="shared" si="49"/>
        <v>0</v>
      </c>
      <c r="JQ34" s="37">
        <f t="shared" si="49"/>
        <v>6050</v>
      </c>
      <c r="JR34" s="35"/>
      <c r="JS34" s="42">
        <f>SUM(IZ34:JR34)</f>
        <v>3445400</v>
      </c>
      <c r="JT34" s="24"/>
      <c r="JU34" s="35"/>
      <c r="JV34" s="38">
        <f t="shared" ref="JV34:KA34" si="50">SUM(JV3:JV33)</f>
        <v>76578</v>
      </c>
      <c r="JW34" s="78">
        <f t="shared" si="50"/>
        <v>69484</v>
      </c>
      <c r="JX34" s="78">
        <f t="shared" si="50"/>
        <v>205.25</v>
      </c>
      <c r="JY34" s="66">
        <f t="shared" si="50"/>
        <v>73098</v>
      </c>
      <c r="JZ34" s="66">
        <f t="shared" si="50"/>
        <v>3820311</v>
      </c>
      <c r="KA34" s="80">
        <f t="shared" si="50"/>
        <v>4225743</v>
      </c>
      <c r="KB34" s="35">
        <f t="shared" ref="KB34:KS34" si="51">SUM(KB3:KB33)</f>
        <v>210218</v>
      </c>
      <c r="KC34" s="35">
        <f t="shared" si="51"/>
        <v>148082</v>
      </c>
      <c r="KD34" s="66">
        <f t="shared" si="51"/>
        <v>1283216</v>
      </c>
      <c r="KE34" s="35">
        <f t="shared" si="51"/>
        <v>572750</v>
      </c>
      <c r="KF34" s="37">
        <f t="shared" si="51"/>
        <v>98565</v>
      </c>
      <c r="KG34" s="37">
        <f t="shared" si="51"/>
        <v>210550</v>
      </c>
      <c r="KH34" s="35">
        <f t="shared" si="51"/>
        <v>461900</v>
      </c>
      <c r="KI34" s="38">
        <f t="shared" si="51"/>
        <v>750</v>
      </c>
      <c r="KJ34" s="38">
        <f t="shared" si="51"/>
        <v>500</v>
      </c>
      <c r="KK34" s="83">
        <f t="shared" si="51"/>
        <v>25730</v>
      </c>
      <c r="KL34" s="35">
        <f t="shared" si="51"/>
        <v>900</v>
      </c>
      <c r="KM34" s="37">
        <f t="shared" si="51"/>
        <v>1097586</v>
      </c>
      <c r="KN34" s="37">
        <f t="shared" si="51"/>
        <v>0</v>
      </c>
      <c r="KO34" s="41">
        <f t="shared" si="51"/>
        <v>8786</v>
      </c>
      <c r="KP34" s="38">
        <f t="shared" si="51"/>
        <v>1150</v>
      </c>
      <c r="KQ34" s="36">
        <f t="shared" si="51"/>
        <v>102960</v>
      </c>
      <c r="KR34" s="35">
        <f t="shared" si="51"/>
        <v>0</v>
      </c>
      <c r="KS34" s="37">
        <f t="shared" si="51"/>
        <v>2100</v>
      </c>
      <c r="KT34" s="35"/>
      <c r="KU34" s="42">
        <f>SUM(KB34:KT34)</f>
        <v>4225743</v>
      </c>
      <c r="KV34" s="24"/>
      <c r="KW34" s="35"/>
      <c r="KX34" s="38">
        <f t="shared" ref="KX34:LC34" si="52">SUM(KX3:KX33)</f>
        <v>67753</v>
      </c>
      <c r="KY34" s="78">
        <f t="shared" si="52"/>
        <v>46475</v>
      </c>
      <c r="KZ34" s="78">
        <f t="shared" si="52"/>
        <v>167.25</v>
      </c>
      <c r="LA34" s="66">
        <f t="shared" si="52"/>
        <v>84672</v>
      </c>
      <c r="LB34" s="66">
        <f t="shared" si="52"/>
        <v>4112772</v>
      </c>
      <c r="LC34" s="80">
        <f t="shared" si="52"/>
        <v>3125501</v>
      </c>
      <c r="LD34" s="35">
        <f t="shared" ref="LD34:LU34" si="53">SUM(LD3:LD33)</f>
        <v>139967</v>
      </c>
      <c r="LE34" s="35">
        <f t="shared" si="53"/>
        <v>88141</v>
      </c>
      <c r="LF34" s="66">
        <f t="shared" si="53"/>
        <v>431001</v>
      </c>
      <c r="LG34" s="35">
        <f t="shared" si="53"/>
        <v>575000</v>
      </c>
      <c r="LH34" s="37">
        <f t="shared" si="53"/>
        <v>175860</v>
      </c>
      <c r="LI34" s="37">
        <f t="shared" si="53"/>
        <v>364786</v>
      </c>
      <c r="LJ34" s="35">
        <f t="shared" si="53"/>
        <v>171730</v>
      </c>
      <c r="LK34" s="38">
        <f t="shared" si="53"/>
        <v>0</v>
      </c>
      <c r="LL34" s="38">
        <f t="shared" si="53"/>
        <v>1900</v>
      </c>
      <c r="LM34" s="83">
        <f t="shared" si="53"/>
        <v>23379</v>
      </c>
      <c r="LN34" s="35">
        <f t="shared" si="53"/>
        <v>860</v>
      </c>
      <c r="LO34" s="37">
        <f t="shared" si="53"/>
        <v>1049147</v>
      </c>
      <c r="LP34" s="37">
        <f t="shared" si="53"/>
        <v>0</v>
      </c>
      <c r="LQ34" s="41">
        <f t="shared" si="53"/>
        <v>2110</v>
      </c>
      <c r="LR34" s="38">
        <f t="shared" si="53"/>
        <v>1350</v>
      </c>
      <c r="LS34" s="36">
        <f t="shared" si="53"/>
        <v>57570</v>
      </c>
      <c r="LT34" s="35">
        <f t="shared" si="53"/>
        <v>0</v>
      </c>
      <c r="LU34" s="37">
        <f t="shared" si="53"/>
        <v>42700</v>
      </c>
      <c r="LV34" s="35"/>
      <c r="LW34" s="42">
        <f>SUM(LD34:LV34)</f>
        <v>3125501</v>
      </c>
      <c r="LX34" s="24"/>
    </row>
    <row r="35" spans="1:336" s="120" customFormat="1" ht="48.6" customHeight="1" x14ac:dyDescent="0.3">
      <c r="A35" s="98"/>
      <c r="B35" s="93" t="s">
        <v>1</v>
      </c>
      <c r="C35" s="93" t="s">
        <v>2</v>
      </c>
      <c r="D35" s="91" t="s">
        <v>3</v>
      </c>
      <c r="E35" s="108" t="s">
        <v>36</v>
      </c>
      <c r="F35" s="100" t="s">
        <v>5</v>
      </c>
      <c r="G35" s="100" t="s">
        <v>6</v>
      </c>
      <c r="H35" s="98" t="s">
        <v>7</v>
      </c>
      <c r="I35" s="98" t="s">
        <v>38</v>
      </c>
      <c r="J35" s="101" t="s">
        <v>8</v>
      </c>
      <c r="K35" s="98" t="s">
        <v>9</v>
      </c>
      <c r="L35" s="91" t="s">
        <v>10</v>
      </c>
      <c r="M35" s="91" t="s">
        <v>39</v>
      </c>
      <c r="N35" s="98" t="s">
        <v>11</v>
      </c>
      <c r="O35" s="108" t="s">
        <v>60</v>
      </c>
      <c r="P35" s="92" t="s">
        <v>13</v>
      </c>
      <c r="Q35" s="95" t="s">
        <v>14</v>
      </c>
      <c r="R35" s="98" t="s">
        <v>15</v>
      </c>
      <c r="S35" s="91" t="s">
        <v>16</v>
      </c>
      <c r="T35" s="91" t="s">
        <v>17</v>
      </c>
      <c r="U35" s="102" t="s">
        <v>18</v>
      </c>
      <c r="V35" s="92" t="s">
        <v>19</v>
      </c>
      <c r="W35" s="93" t="s">
        <v>20</v>
      </c>
      <c r="X35" s="95" t="s">
        <v>21</v>
      </c>
      <c r="Y35" s="95" t="s">
        <v>22</v>
      </c>
      <c r="Z35" s="95" t="s">
        <v>17</v>
      </c>
      <c r="AA35" s="91" t="s">
        <v>4</v>
      </c>
      <c r="AB35" s="118"/>
      <c r="AC35" s="98"/>
      <c r="AD35" s="93" t="s">
        <v>1</v>
      </c>
      <c r="AE35" s="93" t="s">
        <v>2</v>
      </c>
      <c r="AF35" s="91" t="s">
        <v>3</v>
      </c>
      <c r="AG35" s="108">
        <v>4</v>
      </c>
      <c r="AH35" s="100" t="s">
        <v>5</v>
      </c>
      <c r="AI35" s="100" t="s">
        <v>6</v>
      </c>
      <c r="AJ35" s="98" t="s">
        <v>7</v>
      </c>
      <c r="AK35" s="98" t="s">
        <v>38</v>
      </c>
      <c r="AL35" s="101" t="s">
        <v>8</v>
      </c>
      <c r="AM35" s="98" t="s">
        <v>9</v>
      </c>
      <c r="AN35" s="91" t="s">
        <v>10</v>
      </c>
      <c r="AO35" s="91" t="s">
        <v>39</v>
      </c>
      <c r="AP35" s="98" t="s">
        <v>11</v>
      </c>
      <c r="AQ35" s="108" t="s">
        <v>60</v>
      </c>
      <c r="AR35" s="92" t="s">
        <v>13</v>
      </c>
      <c r="AS35" s="95" t="s">
        <v>14</v>
      </c>
      <c r="AT35" s="98" t="s">
        <v>15</v>
      </c>
      <c r="AU35" s="91" t="s">
        <v>16</v>
      </c>
      <c r="AV35" s="91" t="s">
        <v>17</v>
      </c>
      <c r="AW35" s="102" t="s">
        <v>18</v>
      </c>
      <c r="AX35" s="92" t="s">
        <v>19</v>
      </c>
      <c r="AY35" s="93" t="s">
        <v>20</v>
      </c>
      <c r="AZ35" s="95" t="s">
        <v>21</v>
      </c>
      <c r="BA35" s="95" t="s">
        <v>22</v>
      </c>
      <c r="BB35" s="95" t="s">
        <v>17</v>
      </c>
      <c r="BC35" s="91" t="s">
        <v>4</v>
      </c>
      <c r="BD35" s="118"/>
      <c r="BE35" s="98"/>
      <c r="BF35" s="93" t="s">
        <v>1</v>
      </c>
      <c r="BG35" s="93" t="s">
        <v>2</v>
      </c>
      <c r="BH35" s="91" t="s">
        <v>3</v>
      </c>
      <c r="BI35" s="108" t="s">
        <v>36</v>
      </c>
      <c r="BJ35" s="100" t="s">
        <v>5</v>
      </c>
      <c r="BK35" s="100" t="s">
        <v>6</v>
      </c>
      <c r="BL35" s="98" t="s">
        <v>7</v>
      </c>
      <c r="BM35" s="98" t="s">
        <v>38</v>
      </c>
      <c r="BN35" s="101" t="s">
        <v>8</v>
      </c>
      <c r="BO35" s="98" t="s">
        <v>9</v>
      </c>
      <c r="BP35" s="91" t="s">
        <v>10</v>
      </c>
      <c r="BQ35" s="91" t="s">
        <v>39</v>
      </c>
      <c r="BR35" s="98" t="s">
        <v>11</v>
      </c>
      <c r="BS35" s="108" t="s">
        <v>60</v>
      </c>
      <c r="BT35" s="92" t="s">
        <v>13</v>
      </c>
      <c r="BU35" s="95" t="s">
        <v>14</v>
      </c>
      <c r="BV35" s="98" t="s">
        <v>15</v>
      </c>
      <c r="BW35" s="91" t="s">
        <v>16</v>
      </c>
      <c r="BX35" s="91" t="s">
        <v>17</v>
      </c>
      <c r="BY35" s="102" t="s">
        <v>18</v>
      </c>
      <c r="BZ35" s="92" t="s">
        <v>19</v>
      </c>
      <c r="CA35" s="93" t="s">
        <v>20</v>
      </c>
      <c r="CB35" s="95" t="s">
        <v>21</v>
      </c>
      <c r="CC35" s="95" t="s">
        <v>22</v>
      </c>
      <c r="CD35" s="95" t="s">
        <v>17</v>
      </c>
      <c r="CE35" s="91" t="s">
        <v>4</v>
      </c>
      <c r="CF35" s="118"/>
      <c r="CG35" s="98"/>
      <c r="CH35" s="93" t="s">
        <v>1</v>
      </c>
      <c r="CI35" s="93" t="s">
        <v>2</v>
      </c>
      <c r="CJ35" s="91" t="s">
        <v>3</v>
      </c>
      <c r="CK35" s="108">
        <v>4</v>
      </c>
      <c r="CL35" s="100" t="s">
        <v>5</v>
      </c>
      <c r="CM35" s="100" t="s">
        <v>6</v>
      </c>
      <c r="CN35" s="98" t="s">
        <v>7</v>
      </c>
      <c r="CO35" s="98" t="s">
        <v>38</v>
      </c>
      <c r="CP35" s="101" t="s">
        <v>8</v>
      </c>
      <c r="CQ35" s="98" t="s">
        <v>9</v>
      </c>
      <c r="CR35" s="91" t="s">
        <v>10</v>
      </c>
      <c r="CS35" s="91" t="s">
        <v>39</v>
      </c>
      <c r="CT35" s="98" t="s">
        <v>11</v>
      </c>
      <c r="CU35" s="108" t="s">
        <v>60</v>
      </c>
      <c r="CV35" s="92" t="s">
        <v>13</v>
      </c>
      <c r="CW35" s="95" t="s">
        <v>14</v>
      </c>
      <c r="CX35" s="98" t="s">
        <v>15</v>
      </c>
      <c r="CY35" s="91" t="s">
        <v>16</v>
      </c>
      <c r="CZ35" s="91" t="s">
        <v>17</v>
      </c>
      <c r="DA35" s="102" t="s">
        <v>18</v>
      </c>
      <c r="DB35" s="92" t="s">
        <v>19</v>
      </c>
      <c r="DC35" s="93" t="s">
        <v>20</v>
      </c>
      <c r="DD35" s="95" t="s">
        <v>21</v>
      </c>
      <c r="DE35" s="95" t="s">
        <v>22</v>
      </c>
      <c r="DF35" s="95" t="s">
        <v>17</v>
      </c>
      <c r="DG35" s="91" t="s">
        <v>4</v>
      </c>
      <c r="DH35" s="118"/>
      <c r="DI35" s="98"/>
      <c r="DJ35" s="93" t="s">
        <v>1</v>
      </c>
      <c r="DK35" s="93" t="s">
        <v>2</v>
      </c>
      <c r="DL35" s="108">
        <v>4</v>
      </c>
      <c r="DM35" s="100" t="s">
        <v>5</v>
      </c>
      <c r="DN35" s="100" t="s">
        <v>6</v>
      </c>
      <c r="DO35" s="91" t="s">
        <v>3</v>
      </c>
      <c r="DP35" s="98" t="s">
        <v>7</v>
      </c>
      <c r="DQ35" s="98" t="s">
        <v>38</v>
      </c>
      <c r="DR35" s="101" t="s">
        <v>8</v>
      </c>
      <c r="DS35" s="98" t="s">
        <v>9</v>
      </c>
      <c r="DT35" s="91" t="s">
        <v>10</v>
      </c>
      <c r="DU35" s="91" t="s">
        <v>39</v>
      </c>
      <c r="DV35" s="98" t="s">
        <v>11</v>
      </c>
      <c r="DW35" s="108" t="s">
        <v>60</v>
      </c>
      <c r="DX35" s="92" t="s">
        <v>13</v>
      </c>
      <c r="DY35" s="95" t="s">
        <v>14</v>
      </c>
      <c r="DZ35" s="98" t="s">
        <v>15</v>
      </c>
      <c r="EA35" s="91" t="s">
        <v>16</v>
      </c>
      <c r="EB35" s="91" t="s">
        <v>17</v>
      </c>
      <c r="EC35" s="102" t="s">
        <v>18</v>
      </c>
      <c r="ED35" s="92" t="s">
        <v>19</v>
      </c>
      <c r="EE35" s="93" t="s">
        <v>20</v>
      </c>
      <c r="EF35" s="95" t="s">
        <v>21</v>
      </c>
      <c r="EG35" s="95" t="s">
        <v>22</v>
      </c>
      <c r="EH35" s="95" t="s">
        <v>17</v>
      </c>
      <c r="EI35" s="91" t="s">
        <v>4</v>
      </c>
      <c r="EJ35" s="118"/>
      <c r="EK35" s="96" t="s">
        <v>0</v>
      </c>
      <c r="EL35" s="92" t="s">
        <v>161</v>
      </c>
      <c r="EM35" s="104" t="s">
        <v>155</v>
      </c>
      <c r="EN35" s="105" t="s">
        <v>162</v>
      </c>
      <c r="EO35" s="99" t="s">
        <v>1</v>
      </c>
      <c r="EP35" s="99" t="s">
        <v>152</v>
      </c>
      <c r="EQ35" s="91" t="s">
        <v>3</v>
      </c>
      <c r="ER35" s="106" t="s">
        <v>163</v>
      </c>
      <c r="ES35" s="92" t="s">
        <v>38</v>
      </c>
      <c r="ET35" s="99" t="s">
        <v>156</v>
      </c>
      <c r="EU35" s="107" t="s">
        <v>157</v>
      </c>
      <c r="EV35" s="91" t="s">
        <v>10</v>
      </c>
      <c r="EW35" s="104" t="s">
        <v>39</v>
      </c>
      <c r="EX35" s="106" t="s">
        <v>158</v>
      </c>
      <c r="EY35" s="108" t="s">
        <v>164</v>
      </c>
      <c r="EZ35" s="92" t="s">
        <v>13</v>
      </c>
      <c r="FA35" s="93" t="s">
        <v>14</v>
      </c>
      <c r="FB35" s="106" t="s">
        <v>159</v>
      </c>
      <c r="FC35" s="92" t="s">
        <v>16</v>
      </c>
      <c r="FD35" s="92" t="s">
        <v>17</v>
      </c>
      <c r="FE35" s="104" t="s">
        <v>160</v>
      </c>
      <c r="FF35" s="91" t="s">
        <v>19</v>
      </c>
      <c r="FG35" s="93" t="s">
        <v>20</v>
      </c>
      <c r="FH35" s="93" t="s">
        <v>21</v>
      </c>
      <c r="FI35" s="94" t="s">
        <v>22</v>
      </c>
      <c r="FJ35" s="94" t="s">
        <v>17</v>
      </c>
      <c r="FK35" s="91" t="s">
        <v>4</v>
      </c>
      <c r="FL35" s="118"/>
      <c r="FM35" s="96" t="s">
        <v>0</v>
      </c>
      <c r="FN35" s="92" t="s">
        <v>161</v>
      </c>
      <c r="FO35" s="104" t="s">
        <v>155</v>
      </c>
      <c r="FP35" s="105" t="s">
        <v>162</v>
      </c>
      <c r="FQ35" s="99" t="s">
        <v>1</v>
      </c>
      <c r="FR35" s="99" t="s">
        <v>152</v>
      </c>
      <c r="FS35" s="91" t="s">
        <v>3</v>
      </c>
      <c r="FT35" s="106" t="s">
        <v>163</v>
      </c>
      <c r="FU35" s="92" t="s">
        <v>38</v>
      </c>
      <c r="FV35" s="99" t="s">
        <v>156</v>
      </c>
      <c r="FW35" s="107" t="s">
        <v>157</v>
      </c>
      <c r="FX35" s="91" t="s">
        <v>10</v>
      </c>
      <c r="FY35" s="104" t="s">
        <v>39</v>
      </c>
      <c r="FZ35" s="106" t="s">
        <v>158</v>
      </c>
      <c r="GA35" s="108" t="s">
        <v>164</v>
      </c>
      <c r="GB35" s="92" t="s">
        <v>13</v>
      </c>
      <c r="GC35" s="93" t="s">
        <v>14</v>
      </c>
      <c r="GD35" s="106" t="s">
        <v>159</v>
      </c>
      <c r="GE35" s="92" t="s">
        <v>16</v>
      </c>
      <c r="GF35" s="92" t="s">
        <v>17</v>
      </c>
      <c r="GG35" s="104" t="s">
        <v>160</v>
      </c>
      <c r="GH35" s="91" t="s">
        <v>19</v>
      </c>
      <c r="GI35" s="93" t="s">
        <v>20</v>
      </c>
      <c r="GJ35" s="93" t="s">
        <v>21</v>
      </c>
      <c r="GK35" s="94" t="s">
        <v>22</v>
      </c>
      <c r="GL35" s="94" t="s">
        <v>17</v>
      </c>
      <c r="GM35" s="91" t="s">
        <v>4</v>
      </c>
      <c r="GN35" s="118"/>
      <c r="GO35" s="96" t="s">
        <v>0</v>
      </c>
      <c r="GP35" s="92" t="s">
        <v>161</v>
      </c>
      <c r="GQ35" s="104" t="s">
        <v>155</v>
      </c>
      <c r="GR35" s="105" t="s">
        <v>162</v>
      </c>
      <c r="GS35" s="99" t="s">
        <v>1</v>
      </c>
      <c r="GT35" s="99" t="s">
        <v>152</v>
      </c>
      <c r="GU35" s="91" t="s">
        <v>3</v>
      </c>
      <c r="GV35" s="106" t="s">
        <v>163</v>
      </c>
      <c r="GW35" s="92" t="s">
        <v>38</v>
      </c>
      <c r="GX35" s="99" t="s">
        <v>156</v>
      </c>
      <c r="GY35" s="107" t="s">
        <v>157</v>
      </c>
      <c r="GZ35" s="91" t="s">
        <v>10</v>
      </c>
      <c r="HA35" s="104" t="s">
        <v>39</v>
      </c>
      <c r="HB35" s="106" t="s">
        <v>158</v>
      </c>
      <c r="HC35" s="108" t="s">
        <v>164</v>
      </c>
      <c r="HD35" s="92" t="s">
        <v>13</v>
      </c>
      <c r="HE35" s="93" t="s">
        <v>14</v>
      </c>
      <c r="HF35" s="106" t="s">
        <v>159</v>
      </c>
      <c r="HG35" s="92" t="s">
        <v>16</v>
      </c>
      <c r="HH35" s="92" t="s">
        <v>17</v>
      </c>
      <c r="HI35" s="104" t="s">
        <v>160</v>
      </c>
      <c r="HJ35" s="91" t="s">
        <v>19</v>
      </c>
      <c r="HK35" s="93" t="s">
        <v>20</v>
      </c>
      <c r="HL35" s="93" t="s">
        <v>21</v>
      </c>
      <c r="HM35" s="94" t="s">
        <v>22</v>
      </c>
      <c r="HN35" s="94" t="s">
        <v>17</v>
      </c>
      <c r="HO35" s="91" t="s">
        <v>4</v>
      </c>
      <c r="HP35" s="118"/>
      <c r="HQ35" s="96" t="s">
        <v>0</v>
      </c>
      <c r="HR35" s="92" t="s">
        <v>161</v>
      </c>
      <c r="HS35" s="104" t="s">
        <v>155</v>
      </c>
      <c r="HT35" s="105" t="s">
        <v>162</v>
      </c>
      <c r="HU35" s="99" t="s">
        <v>1</v>
      </c>
      <c r="HV35" s="99" t="s">
        <v>152</v>
      </c>
      <c r="HW35" s="91" t="s">
        <v>3</v>
      </c>
      <c r="HX35" s="106" t="s">
        <v>163</v>
      </c>
      <c r="HY35" s="92" t="s">
        <v>38</v>
      </c>
      <c r="HZ35" s="99" t="s">
        <v>156</v>
      </c>
      <c r="IA35" s="107" t="s">
        <v>157</v>
      </c>
      <c r="IB35" s="91" t="s">
        <v>10</v>
      </c>
      <c r="IC35" s="104" t="s">
        <v>39</v>
      </c>
      <c r="ID35" s="106" t="s">
        <v>158</v>
      </c>
      <c r="IE35" s="108" t="s">
        <v>164</v>
      </c>
      <c r="IF35" s="92" t="s">
        <v>13</v>
      </c>
      <c r="IG35" s="93" t="s">
        <v>14</v>
      </c>
      <c r="IH35" s="106" t="s">
        <v>159</v>
      </c>
      <c r="II35" s="92" t="s">
        <v>16</v>
      </c>
      <c r="IJ35" s="92" t="s">
        <v>17</v>
      </c>
      <c r="IK35" s="104" t="s">
        <v>160</v>
      </c>
      <c r="IL35" s="91" t="s">
        <v>19</v>
      </c>
      <c r="IM35" s="93" t="s">
        <v>20</v>
      </c>
      <c r="IN35" s="93" t="s">
        <v>21</v>
      </c>
      <c r="IO35" s="94" t="s">
        <v>22</v>
      </c>
      <c r="IP35" s="94" t="s">
        <v>17</v>
      </c>
      <c r="IQ35" s="91" t="s">
        <v>4</v>
      </c>
      <c r="IR35" s="118"/>
      <c r="IS35" s="96" t="s">
        <v>0</v>
      </c>
      <c r="IT35" s="92" t="s">
        <v>161</v>
      </c>
      <c r="IU35" s="104" t="s">
        <v>155</v>
      </c>
      <c r="IV35" s="105" t="s">
        <v>162</v>
      </c>
      <c r="IW35" s="99" t="s">
        <v>1</v>
      </c>
      <c r="IX35" s="99" t="s">
        <v>152</v>
      </c>
      <c r="IY35" s="91" t="s">
        <v>3</v>
      </c>
      <c r="IZ35" s="106" t="s">
        <v>163</v>
      </c>
      <c r="JA35" s="92" t="s">
        <v>38</v>
      </c>
      <c r="JB35" s="99" t="s">
        <v>156</v>
      </c>
      <c r="JC35" s="107" t="s">
        <v>157</v>
      </c>
      <c r="JD35" s="91" t="s">
        <v>10</v>
      </c>
      <c r="JE35" s="104" t="s">
        <v>39</v>
      </c>
      <c r="JF35" s="106" t="s">
        <v>158</v>
      </c>
      <c r="JG35" s="108" t="s">
        <v>164</v>
      </c>
      <c r="JH35" s="92" t="s">
        <v>13</v>
      </c>
      <c r="JI35" s="93" t="s">
        <v>14</v>
      </c>
      <c r="JJ35" s="106" t="s">
        <v>159</v>
      </c>
      <c r="JK35" s="92" t="s">
        <v>16</v>
      </c>
      <c r="JL35" s="92" t="s">
        <v>17</v>
      </c>
      <c r="JM35" s="104" t="s">
        <v>160</v>
      </c>
      <c r="JN35" s="91" t="s">
        <v>19</v>
      </c>
      <c r="JO35" s="93" t="s">
        <v>20</v>
      </c>
      <c r="JP35" s="93" t="s">
        <v>21</v>
      </c>
      <c r="JQ35" s="94" t="s">
        <v>22</v>
      </c>
      <c r="JR35" s="94" t="s">
        <v>17</v>
      </c>
      <c r="JS35" s="91" t="s">
        <v>4</v>
      </c>
      <c r="JT35" s="118"/>
      <c r="JU35" s="96" t="s">
        <v>0</v>
      </c>
      <c r="JV35" s="92" t="s">
        <v>161</v>
      </c>
      <c r="JW35" s="104" t="s">
        <v>155</v>
      </c>
      <c r="JX35" s="105" t="s">
        <v>162</v>
      </c>
      <c r="JY35" s="99" t="s">
        <v>1</v>
      </c>
      <c r="JZ35" s="99" t="s">
        <v>152</v>
      </c>
      <c r="KA35" s="91" t="s">
        <v>3</v>
      </c>
      <c r="KB35" s="106" t="s">
        <v>163</v>
      </c>
      <c r="KC35" s="92" t="s">
        <v>38</v>
      </c>
      <c r="KD35" s="99" t="s">
        <v>156</v>
      </c>
      <c r="KE35" s="107" t="s">
        <v>157</v>
      </c>
      <c r="KF35" s="91" t="s">
        <v>10</v>
      </c>
      <c r="KG35" s="104" t="s">
        <v>39</v>
      </c>
      <c r="KH35" s="106" t="s">
        <v>158</v>
      </c>
      <c r="KI35" s="108" t="s">
        <v>164</v>
      </c>
      <c r="KJ35" s="92" t="s">
        <v>13</v>
      </c>
      <c r="KK35" s="93" t="s">
        <v>14</v>
      </c>
      <c r="KL35" s="106" t="s">
        <v>159</v>
      </c>
      <c r="KM35" s="92" t="s">
        <v>16</v>
      </c>
      <c r="KN35" s="92" t="s">
        <v>17</v>
      </c>
      <c r="KO35" s="104" t="s">
        <v>160</v>
      </c>
      <c r="KP35" s="91" t="s">
        <v>19</v>
      </c>
      <c r="KQ35" s="93" t="s">
        <v>20</v>
      </c>
      <c r="KR35" s="93" t="s">
        <v>21</v>
      </c>
      <c r="KS35" s="94" t="s">
        <v>22</v>
      </c>
      <c r="KT35" s="94" t="s">
        <v>17</v>
      </c>
      <c r="KU35" s="91" t="s">
        <v>4</v>
      </c>
      <c r="KV35" s="118"/>
      <c r="KW35" s="96" t="s">
        <v>0</v>
      </c>
      <c r="KX35" s="92" t="s">
        <v>161</v>
      </c>
      <c r="KY35" s="104" t="s">
        <v>155</v>
      </c>
      <c r="KZ35" s="105" t="s">
        <v>162</v>
      </c>
      <c r="LA35" s="99" t="s">
        <v>1</v>
      </c>
      <c r="LB35" s="99" t="s">
        <v>152</v>
      </c>
      <c r="LC35" s="91" t="s">
        <v>3</v>
      </c>
      <c r="LD35" s="106" t="s">
        <v>163</v>
      </c>
      <c r="LE35" s="92" t="s">
        <v>38</v>
      </c>
      <c r="LF35" s="99" t="s">
        <v>156</v>
      </c>
      <c r="LG35" s="107" t="s">
        <v>157</v>
      </c>
      <c r="LH35" s="91" t="s">
        <v>10</v>
      </c>
      <c r="LI35" s="104" t="s">
        <v>39</v>
      </c>
      <c r="LJ35" s="106" t="s">
        <v>158</v>
      </c>
      <c r="LK35" s="108" t="s">
        <v>164</v>
      </c>
      <c r="LL35" s="92" t="s">
        <v>13</v>
      </c>
      <c r="LM35" s="93" t="s">
        <v>14</v>
      </c>
      <c r="LN35" s="106" t="s">
        <v>159</v>
      </c>
      <c r="LO35" s="92" t="s">
        <v>16</v>
      </c>
      <c r="LP35" s="92" t="s">
        <v>17</v>
      </c>
      <c r="LQ35" s="104" t="s">
        <v>160</v>
      </c>
      <c r="LR35" s="91" t="s">
        <v>19</v>
      </c>
      <c r="LS35" s="93" t="s">
        <v>20</v>
      </c>
      <c r="LT35" s="93" t="s">
        <v>21</v>
      </c>
      <c r="LU35" s="94" t="s">
        <v>22</v>
      </c>
      <c r="LV35" s="94" t="s">
        <v>17</v>
      </c>
      <c r="LW35" s="91" t="s">
        <v>4</v>
      </c>
      <c r="LX35" s="118"/>
    </row>
  </sheetData>
  <mergeCells count="12">
    <mergeCell ref="KB2:KH2"/>
    <mergeCell ref="LD2:LJ2"/>
    <mergeCell ref="IZ2:JF2"/>
    <mergeCell ref="HX2:ID2"/>
    <mergeCell ref="H2:N2"/>
    <mergeCell ref="AJ2:AP2"/>
    <mergeCell ref="CN2:CT2"/>
    <mergeCell ref="DP2:DV2"/>
    <mergeCell ref="BL2:BR2"/>
    <mergeCell ref="ER2:EX2"/>
    <mergeCell ref="FT2:FZ2"/>
    <mergeCell ref="GV2:H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198B-B032-4E49-8466-7E6988B02A44}">
  <dimension ref="A1:IR35"/>
  <sheetViews>
    <sheetView tabSelected="1" topLeftCell="BR1" workbookViewId="0">
      <selection activeCell="CH4" sqref="CH4"/>
    </sheetView>
  </sheetViews>
  <sheetFormatPr defaultRowHeight="14.4" x14ac:dyDescent="0.3"/>
  <cols>
    <col min="1" max="1" width="9.5546875" bestFit="1" customWidth="1"/>
    <col min="11" max="11" width="10.109375" customWidth="1"/>
    <col min="20" max="20" width="12.21875" customWidth="1"/>
    <col min="21" max="21" width="8.88671875" style="121"/>
    <col min="23" max="23" width="10.109375" customWidth="1"/>
    <col min="26" max="26" width="12.5546875" customWidth="1"/>
    <col min="28" max="28" width="2.88671875" customWidth="1"/>
    <col min="29" max="29" width="10.109375" bestFit="1" customWidth="1"/>
    <col min="39" max="39" width="10.21875" customWidth="1"/>
    <col min="49" max="49" width="8.88671875" style="121"/>
    <col min="51" max="51" width="9.88671875" customWidth="1"/>
    <col min="56" max="56" width="3.21875" customWidth="1"/>
    <col min="57" max="57" width="9.5546875" bestFit="1" customWidth="1"/>
    <col min="73" max="73" width="8.88671875" style="141"/>
    <col min="76" max="76" width="18" customWidth="1"/>
    <col min="77" max="77" width="8.88671875" style="140"/>
    <col min="84" max="84" width="2.6640625" customWidth="1"/>
    <col min="85" max="85" width="10.109375" customWidth="1"/>
  </cols>
  <sheetData>
    <row r="1" spans="1:252" ht="41.4" x14ac:dyDescent="0.3">
      <c r="A1" s="96" t="s">
        <v>0</v>
      </c>
      <c r="B1" s="92" t="s">
        <v>161</v>
      </c>
      <c r="C1" s="104" t="s">
        <v>155</v>
      </c>
      <c r="D1" s="105" t="s">
        <v>162</v>
      </c>
      <c r="E1" s="99" t="s">
        <v>1</v>
      </c>
      <c r="F1" s="99" t="s">
        <v>152</v>
      </c>
      <c r="G1" s="91" t="s">
        <v>3</v>
      </c>
      <c r="H1" s="106" t="s">
        <v>163</v>
      </c>
      <c r="I1" s="92" t="s">
        <v>38</v>
      </c>
      <c r="J1" s="99" t="s">
        <v>156</v>
      </c>
      <c r="K1" s="107" t="s">
        <v>157</v>
      </c>
      <c r="L1" s="91" t="s">
        <v>10</v>
      </c>
      <c r="M1" s="104" t="s">
        <v>39</v>
      </c>
      <c r="N1" s="106" t="s">
        <v>158</v>
      </c>
      <c r="O1" s="108" t="s">
        <v>164</v>
      </c>
      <c r="P1" s="92" t="s">
        <v>13</v>
      </c>
      <c r="Q1" s="93" t="s">
        <v>14</v>
      </c>
      <c r="R1" s="106" t="s">
        <v>159</v>
      </c>
      <c r="S1" s="92" t="s">
        <v>16</v>
      </c>
      <c r="T1" s="92" t="s">
        <v>17</v>
      </c>
      <c r="U1" s="104" t="s">
        <v>160</v>
      </c>
      <c r="V1" s="91" t="s">
        <v>19</v>
      </c>
      <c r="W1" s="93" t="s">
        <v>20</v>
      </c>
      <c r="X1" s="93" t="s">
        <v>21</v>
      </c>
      <c r="Y1" s="94" t="s">
        <v>22</v>
      </c>
      <c r="Z1" s="94" t="s">
        <v>17</v>
      </c>
      <c r="AA1" s="91" t="s">
        <v>4</v>
      </c>
      <c r="AB1" s="103"/>
      <c r="AC1" s="96" t="s">
        <v>0</v>
      </c>
      <c r="AD1" s="92" t="s">
        <v>161</v>
      </c>
      <c r="AE1" s="104" t="s">
        <v>155</v>
      </c>
      <c r="AF1" s="105" t="s">
        <v>162</v>
      </c>
      <c r="AG1" s="99" t="s">
        <v>1</v>
      </c>
      <c r="AH1" s="99" t="s">
        <v>152</v>
      </c>
      <c r="AI1" s="91" t="s">
        <v>3</v>
      </c>
      <c r="AJ1" s="106" t="s">
        <v>163</v>
      </c>
      <c r="AK1" s="92" t="s">
        <v>38</v>
      </c>
      <c r="AL1" s="99" t="s">
        <v>156</v>
      </c>
      <c r="AM1" s="107" t="s">
        <v>157</v>
      </c>
      <c r="AN1" s="91" t="s">
        <v>10</v>
      </c>
      <c r="AO1" s="104" t="s">
        <v>39</v>
      </c>
      <c r="AP1" s="106" t="s">
        <v>158</v>
      </c>
      <c r="AQ1" s="108" t="s">
        <v>164</v>
      </c>
      <c r="AR1" s="92" t="s">
        <v>13</v>
      </c>
      <c r="AS1" s="93" t="s">
        <v>14</v>
      </c>
      <c r="AT1" s="106" t="s">
        <v>159</v>
      </c>
      <c r="AU1" s="92" t="s">
        <v>16</v>
      </c>
      <c r="AV1" s="92" t="s">
        <v>17</v>
      </c>
      <c r="AW1" s="104" t="s">
        <v>160</v>
      </c>
      <c r="AX1" s="91" t="s">
        <v>19</v>
      </c>
      <c r="AY1" s="93" t="s">
        <v>20</v>
      </c>
      <c r="AZ1" s="93" t="s">
        <v>21</v>
      </c>
      <c r="BA1" s="94" t="s">
        <v>22</v>
      </c>
      <c r="BB1" s="94" t="s">
        <v>17</v>
      </c>
      <c r="BC1" s="91" t="s">
        <v>4</v>
      </c>
      <c r="BD1" s="91"/>
      <c r="BE1" s="96" t="s">
        <v>0</v>
      </c>
      <c r="BF1" s="92" t="s">
        <v>144</v>
      </c>
      <c r="BG1" s="97" t="s">
        <v>5</v>
      </c>
      <c r="BH1" s="97" t="s">
        <v>6</v>
      </c>
      <c r="BI1" s="93" t="s">
        <v>1</v>
      </c>
      <c r="BJ1" s="93" t="s">
        <v>2</v>
      </c>
      <c r="BK1" s="91" t="s">
        <v>3</v>
      </c>
      <c r="BL1" s="98" t="s">
        <v>7</v>
      </c>
      <c r="BM1" s="98" t="s">
        <v>38</v>
      </c>
      <c r="BN1" s="99" t="s">
        <v>8</v>
      </c>
      <c r="BO1" s="98" t="s">
        <v>9</v>
      </c>
      <c r="BP1" s="91" t="s">
        <v>10</v>
      </c>
      <c r="BQ1" s="91" t="s">
        <v>39</v>
      </c>
      <c r="BR1" s="98" t="s">
        <v>11</v>
      </c>
      <c r="BS1" s="92" t="s">
        <v>37</v>
      </c>
      <c r="BT1" s="92" t="s">
        <v>13</v>
      </c>
      <c r="BU1" s="93" t="s">
        <v>14</v>
      </c>
      <c r="BV1" s="98" t="s">
        <v>15</v>
      </c>
      <c r="BW1" s="91" t="s">
        <v>16</v>
      </c>
      <c r="BX1" s="91" t="s">
        <v>17</v>
      </c>
      <c r="BY1" s="134" t="s">
        <v>18</v>
      </c>
      <c r="BZ1" s="92" t="s">
        <v>19</v>
      </c>
      <c r="CA1" s="93" t="s">
        <v>20</v>
      </c>
      <c r="CB1" s="95" t="s">
        <v>21</v>
      </c>
      <c r="CC1" s="91" t="s">
        <v>22</v>
      </c>
      <c r="CD1" s="95" t="s">
        <v>17</v>
      </c>
      <c r="CE1" s="91" t="s">
        <v>4</v>
      </c>
      <c r="CF1" s="103"/>
      <c r="CG1" s="96" t="s">
        <v>0</v>
      </c>
      <c r="CH1" s="92" t="s">
        <v>161</v>
      </c>
      <c r="CI1" s="104" t="s">
        <v>155</v>
      </c>
      <c r="CJ1" s="105" t="s">
        <v>162</v>
      </c>
      <c r="CK1" s="99" t="s">
        <v>1</v>
      </c>
      <c r="CL1" s="99" t="s">
        <v>152</v>
      </c>
      <c r="CM1" s="91" t="s">
        <v>3</v>
      </c>
      <c r="CN1" s="106" t="s">
        <v>163</v>
      </c>
      <c r="CO1" s="92" t="s">
        <v>38</v>
      </c>
      <c r="CP1" s="99" t="s">
        <v>156</v>
      </c>
      <c r="CQ1" s="107" t="s">
        <v>157</v>
      </c>
      <c r="CR1" s="91" t="s">
        <v>10</v>
      </c>
      <c r="CS1" s="104" t="s">
        <v>39</v>
      </c>
      <c r="CT1" s="106" t="s">
        <v>158</v>
      </c>
      <c r="CU1" s="108" t="s">
        <v>164</v>
      </c>
      <c r="CV1" s="92" t="s">
        <v>13</v>
      </c>
      <c r="CW1" s="93" t="s">
        <v>14</v>
      </c>
      <c r="CX1" s="106" t="s">
        <v>159</v>
      </c>
      <c r="CY1" s="92" t="s">
        <v>16</v>
      </c>
      <c r="CZ1" s="92" t="s">
        <v>17</v>
      </c>
      <c r="DA1" s="104" t="s">
        <v>160</v>
      </c>
      <c r="DB1" s="91" t="s">
        <v>19</v>
      </c>
      <c r="DC1" s="93" t="s">
        <v>20</v>
      </c>
      <c r="DD1" s="93" t="s">
        <v>21</v>
      </c>
      <c r="DE1" s="94" t="s">
        <v>22</v>
      </c>
      <c r="DF1" s="94" t="s">
        <v>17</v>
      </c>
      <c r="DG1" s="91" t="s">
        <v>4</v>
      </c>
      <c r="DH1" s="103"/>
      <c r="DI1" s="96" t="s">
        <v>0</v>
      </c>
      <c r="DJ1" s="92" t="s">
        <v>161</v>
      </c>
      <c r="DK1" s="104" t="s">
        <v>155</v>
      </c>
      <c r="DL1" s="105" t="s">
        <v>162</v>
      </c>
      <c r="DM1" s="99" t="s">
        <v>1</v>
      </c>
      <c r="DN1" s="99" t="s">
        <v>152</v>
      </c>
      <c r="DO1" s="91" t="s">
        <v>3</v>
      </c>
      <c r="DP1" s="106" t="s">
        <v>163</v>
      </c>
      <c r="DQ1" s="92" t="s">
        <v>38</v>
      </c>
      <c r="DR1" s="99" t="s">
        <v>156</v>
      </c>
      <c r="DS1" s="107" t="s">
        <v>157</v>
      </c>
      <c r="DT1" s="91" t="s">
        <v>10</v>
      </c>
      <c r="DU1" s="104" t="s">
        <v>39</v>
      </c>
      <c r="DV1" s="106" t="s">
        <v>158</v>
      </c>
      <c r="DW1" s="108" t="s">
        <v>164</v>
      </c>
      <c r="DX1" s="92" t="s">
        <v>13</v>
      </c>
      <c r="DY1" s="93" t="s">
        <v>14</v>
      </c>
      <c r="DZ1" s="106" t="s">
        <v>159</v>
      </c>
      <c r="EA1" s="92" t="s">
        <v>16</v>
      </c>
      <c r="EB1" s="92" t="s">
        <v>17</v>
      </c>
      <c r="EC1" s="104" t="s">
        <v>160</v>
      </c>
      <c r="ED1" s="91" t="s">
        <v>19</v>
      </c>
      <c r="EE1" s="93" t="s">
        <v>20</v>
      </c>
      <c r="EF1" s="93" t="s">
        <v>21</v>
      </c>
      <c r="EG1" s="94" t="s">
        <v>22</v>
      </c>
      <c r="EH1" s="94" t="s">
        <v>17</v>
      </c>
      <c r="EI1" s="91" t="s">
        <v>4</v>
      </c>
      <c r="EJ1" s="103"/>
      <c r="EK1" s="96" t="s">
        <v>0</v>
      </c>
      <c r="EL1" s="92" t="s">
        <v>161</v>
      </c>
      <c r="EM1" s="104" t="s">
        <v>155</v>
      </c>
      <c r="EN1" s="105" t="s">
        <v>162</v>
      </c>
      <c r="EO1" s="99" t="s">
        <v>1</v>
      </c>
      <c r="EP1" s="99" t="s">
        <v>152</v>
      </c>
      <c r="EQ1" s="91" t="s">
        <v>3</v>
      </c>
      <c r="ER1" s="106" t="s">
        <v>163</v>
      </c>
      <c r="ES1" s="92" t="s">
        <v>38</v>
      </c>
      <c r="ET1" s="99" t="s">
        <v>156</v>
      </c>
      <c r="EU1" s="107" t="s">
        <v>157</v>
      </c>
      <c r="EV1" s="91" t="s">
        <v>10</v>
      </c>
      <c r="EW1" s="104" t="s">
        <v>39</v>
      </c>
      <c r="EX1" s="106" t="s">
        <v>158</v>
      </c>
      <c r="EY1" s="108" t="s">
        <v>164</v>
      </c>
      <c r="EZ1" s="92" t="s">
        <v>13</v>
      </c>
      <c r="FA1" s="93" t="s">
        <v>14</v>
      </c>
      <c r="FB1" s="106" t="s">
        <v>159</v>
      </c>
      <c r="FC1" s="92" t="s">
        <v>16</v>
      </c>
      <c r="FD1" s="92" t="s">
        <v>17</v>
      </c>
      <c r="FE1" s="104" t="s">
        <v>160</v>
      </c>
      <c r="FF1" s="91" t="s">
        <v>19</v>
      </c>
      <c r="FG1" s="93" t="s">
        <v>20</v>
      </c>
      <c r="FH1" s="93" t="s">
        <v>21</v>
      </c>
      <c r="FI1" s="94" t="s">
        <v>22</v>
      </c>
      <c r="FJ1" s="94" t="s">
        <v>17</v>
      </c>
      <c r="FK1" s="91" t="s">
        <v>4</v>
      </c>
      <c r="FL1" s="103"/>
      <c r="FM1" s="96" t="s">
        <v>0</v>
      </c>
      <c r="FN1" s="92" t="s">
        <v>161</v>
      </c>
      <c r="FO1" s="104" t="s">
        <v>155</v>
      </c>
      <c r="FP1" s="105" t="s">
        <v>162</v>
      </c>
      <c r="FQ1" s="99" t="s">
        <v>1</v>
      </c>
      <c r="FR1" s="99" t="s">
        <v>152</v>
      </c>
      <c r="FS1" s="91" t="s">
        <v>3</v>
      </c>
      <c r="FT1" s="106" t="s">
        <v>163</v>
      </c>
      <c r="FU1" s="92" t="s">
        <v>38</v>
      </c>
      <c r="FV1" s="99" t="s">
        <v>156</v>
      </c>
      <c r="FW1" s="107" t="s">
        <v>157</v>
      </c>
      <c r="FX1" s="91" t="s">
        <v>10</v>
      </c>
      <c r="FY1" s="104" t="s">
        <v>39</v>
      </c>
      <c r="FZ1" s="106" t="s">
        <v>158</v>
      </c>
      <c r="GA1" s="108" t="s">
        <v>164</v>
      </c>
      <c r="GB1" s="92" t="s">
        <v>13</v>
      </c>
      <c r="GC1" s="93" t="s">
        <v>14</v>
      </c>
      <c r="GD1" s="106" t="s">
        <v>159</v>
      </c>
      <c r="GE1" s="92" t="s">
        <v>16</v>
      </c>
      <c r="GF1" s="92" t="s">
        <v>17</v>
      </c>
      <c r="GG1" s="104" t="s">
        <v>160</v>
      </c>
      <c r="GH1" s="91" t="s">
        <v>19</v>
      </c>
      <c r="GI1" s="93" t="s">
        <v>20</v>
      </c>
      <c r="GJ1" s="93" t="s">
        <v>21</v>
      </c>
      <c r="GK1" s="94" t="s">
        <v>22</v>
      </c>
      <c r="GL1" s="94" t="s">
        <v>17</v>
      </c>
      <c r="GM1" s="91" t="s">
        <v>4</v>
      </c>
      <c r="GN1" s="103"/>
      <c r="GO1" s="96" t="s">
        <v>0</v>
      </c>
      <c r="GP1" s="92" t="s">
        <v>161</v>
      </c>
      <c r="GQ1" s="104" t="s">
        <v>155</v>
      </c>
      <c r="GR1" s="105" t="s">
        <v>162</v>
      </c>
      <c r="GS1" s="99" t="s">
        <v>1</v>
      </c>
      <c r="GT1" s="99" t="s">
        <v>152</v>
      </c>
      <c r="GU1" s="91" t="s">
        <v>3</v>
      </c>
      <c r="GV1" s="106" t="s">
        <v>163</v>
      </c>
      <c r="GW1" s="92" t="s">
        <v>38</v>
      </c>
      <c r="GX1" s="99" t="s">
        <v>156</v>
      </c>
      <c r="GY1" s="107" t="s">
        <v>157</v>
      </c>
      <c r="GZ1" s="91" t="s">
        <v>10</v>
      </c>
      <c r="HA1" s="104" t="s">
        <v>39</v>
      </c>
      <c r="HB1" s="106" t="s">
        <v>158</v>
      </c>
      <c r="HC1" s="108" t="s">
        <v>164</v>
      </c>
      <c r="HD1" s="92" t="s">
        <v>13</v>
      </c>
      <c r="HE1" s="93" t="s">
        <v>14</v>
      </c>
      <c r="HF1" s="106" t="s">
        <v>159</v>
      </c>
      <c r="HG1" s="92" t="s">
        <v>16</v>
      </c>
      <c r="HH1" s="92" t="s">
        <v>17</v>
      </c>
      <c r="HI1" s="104" t="s">
        <v>160</v>
      </c>
      <c r="HJ1" s="91" t="s">
        <v>19</v>
      </c>
      <c r="HK1" s="93" t="s">
        <v>20</v>
      </c>
      <c r="HL1" s="93" t="s">
        <v>21</v>
      </c>
      <c r="HM1" s="94" t="s">
        <v>22</v>
      </c>
      <c r="HN1" s="94" t="s">
        <v>17</v>
      </c>
      <c r="HO1" s="91" t="s">
        <v>4</v>
      </c>
      <c r="HP1" s="103"/>
      <c r="HQ1" s="96" t="s">
        <v>0</v>
      </c>
      <c r="HR1" s="92" t="s">
        <v>161</v>
      </c>
      <c r="HS1" s="104" t="s">
        <v>155</v>
      </c>
      <c r="HT1" s="105" t="s">
        <v>162</v>
      </c>
      <c r="HU1" s="99" t="s">
        <v>1</v>
      </c>
      <c r="HV1" s="99" t="s">
        <v>152</v>
      </c>
      <c r="HW1" s="91" t="s">
        <v>3</v>
      </c>
      <c r="HX1" s="106" t="s">
        <v>163</v>
      </c>
      <c r="HY1" s="92" t="s">
        <v>38</v>
      </c>
      <c r="HZ1" s="99" t="s">
        <v>156</v>
      </c>
      <c r="IA1" s="107" t="s">
        <v>157</v>
      </c>
      <c r="IB1" s="91" t="s">
        <v>10</v>
      </c>
      <c r="IC1" s="104" t="s">
        <v>39</v>
      </c>
      <c r="ID1" s="106" t="s">
        <v>158</v>
      </c>
      <c r="IE1" s="108" t="s">
        <v>164</v>
      </c>
      <c r="IF1" s="92" t="s">
        <v>13</v>
      </c>
      <c r="IG1" s="93" t="s">
        <v>14</v>
      </c>
      <c r="IH1" s="106" t="s">
        <v>159</v>
      </c>
      <c r="II1" s="92" t="s">
        <v>16</v>
      </c>
      <c r="IJ1" s="92" t="s">
        <v>17</v>
      </c>
      <c r="IK1" s="104" t="s">
        <v>160</v>
      </c>
      <c r="IL1" s="91" t="s">
        <v>19</v>
      </c>
      <c r="IM1" s="93" t="s">
        <v>20</v>
      </c>
      <c r="IN1" s="93" t="s">
        <v>21</v>
      </c>
      <c r="IO1" s="94" t="s">
        <v>22</v>
      </c>
      <c r="IP1" s="94" t="s">
        <v>17</v>
      </c>
      <c r="IQ1" s="91" t="s">
        <v>4</v>
      </c>
      <c r="IR1" s="109"/>
    </row>
    <row r="2" spans="1:252" x14ac:dyDescent="0.3">
      <c r="A2" s="17"/>
      <c r="B2" s="20"/>
      <c r="C2" s="76"/>
      <c r="D2" s="76"/>
      <c r="E2" s="65"/>
      <c r="F2" s="65"/>
      <c r="G2" s="79"/>
      <c r="H2" s="142" t="s">
        <v>181</v>
      </c>
      <c r="I2" s="142"/>
      <c r="J2" s="142"/>
      <c r="K2" s="142"/>
      <c r="L2" s="142"/>
      <c r="M2" s="142"/>
      <c r="N2" s="142"/>
      <c r="O2" s="20"/>
      <c r="P2" s="20"/>
      <c r="Q2" s="88"/>
      <c r="R2" s="17"/>
      <c r="S2" s="19"/>
      <c r="T2" s="19"/>
      <c r="U2" s="23"/>
      <c r="V2" s="20"/>
      <c r="W2" s="23"/>
      <c r="X2" s="17"/>
      <c r="Y2" s="19"/>
      <c r="Z2" s="17"/>
      <c r="AA2" s="19"/>
      <c r="AB2" s="24"/>
      <c r="AC2" s="17"/>
      <c r="AD2" s="20"/>
      <c r="AE2" s="76"/>
      <c r="AF2" s="76"/>
      <c r="AG2" s="65"/>
      <c r="AH2" s="65"/>
      <c r="AI2" s="79"/>
      <c r="AJ2" s="142" t="s">
        <v>45</v>
      </c>
      <c r="AK2" s="142"/>
      <c r="AL2" s="142"/>
      <c r="AM2" s="142"/>
      <c r="AN2" s="142"/>
      <c r="AO2" s="142"/>
      <c r="AP2" s="142"/>
      <c r="AQ2" s="20"/>
      <c r="AR2" s="20"/>
      <c r="AS2" s="88"/>
      <c r="AT2" s="17"/>
      <c r="AU2" s="19"/>
      <c r="AV2" s="19"/>
      <c r="AW2" s="23"/>
      <c r="AX2" s="20"/>
      <c r="AY2" s="23"/>
      <c r="AZ2" s="17"/>
      <c r="BA2" s="19"/>
      <c r="BB2" s="17"/>
      <c r="BC2" s="19"/>
      <c r="BD2" s="57"/>
      <c r="BE2" s="17"/>
      <c r="BF2" s="20"/>
      <c r="BG2" s="76"/>
      <c r="BH2" s="76"/>
      <c r="BI2" s="65"/>
      <c r="BJ2" s="65"/>
      <c r="BK2" s="79"/>
      <c r="BL2" s="142" t="s">
        <v>45</v>
      </c>
      <c r="BM2" s="142"/>
      <c r="BN2" s="142"/>
      <c r="BO2" s="142"/>
      <c r="BP2" s="142"/>
      <c r="BQ2" s="142"/>
      <c r="BR2" s="142"/>
      <c r="BS2" s="20"/>
      <c r="BT2" s="20"/>
      <c r="BU2" s="89"/>
      <c r="BV2" s="17"/>
      <c r="BW2" s="19"/>
      <c r="BX2" s="19"/>
      <c r="BY2" s="81"/>
      <c r="BZ2" s="20"/>
      <c r="CA2" s="23"/>
      <c r="CB2" s="17"/>
      <c r="CC2" s="19"/>
      <c r="CD2" s="17"/>
      <c r="CE2" s="19"/>
      <c r="CF2" s="24"/>
      <c r="CG2" s="17"/>
      <c r="CH2" s="20"/>
      <c r="CI2" s="76"/>
      <c r="CJ2" s="76"/>
      <c r="CK2" s="65"/>
      <c r="CL2" s="65"/>
      <c r="CM2" s="79"/>
      <c r="CN2" s="142" t="s">
        <v>45</v>
      </c>
      <c r="CO2" s="142"/>
      <c r="CP2" s="142"/>
      <c r="CQ2" s="142"/>
      <c r="CR2" s="142"/>
      <c r="CS2" s="142"/>
      <c r="CT2" s="142"/>
      <c r="CU2" s="20"/>
      <c r="CV2" s="20"/>
      <c r="CW2" s="88"/>
      <c r="CX2" s="17"/>
      <c r="CY2" s="19"/>
      <c r="CZ2" s="19"/>
      <c r="DA2" s="22"/>
      <c r="DB2" s="20"/>
      <c r="DC2" s="23"/>
      <c r="DD2" s="17"/>
      <c r="DE2" s="19"/>
      <c r="DF2" s="17"/>
      <c r="DG2" s="19"/>
      <c r="DH2" s="24"/>
      <c r="DI2" s="17"/>
      <c r="DJ2" s="20"/>
      <c r="DK2" s="76"/>
      <c r="DL2" s="76"/>
      <c r="DM2" s="65"/>
      <c r="DN2" s="65"/>
      <c r="DO2" s="79"/>
      <c r="DP2" s="142" t="s">
        <v>45</v>
      </c>
      <c r="DQ2" s="142"/>
      <c r="DR2" s="142"/>
      <c r="DS2" s="142"/>
      <c r="DT2" s="142"/>
      <c r="DU2" s="142"/>
      <c r="DV2" s="142"/>
      <c r="DW2" s="20"/>
      <c r="DX2" s="20"/>
      <c r="DY2" s="88"/>
      <c r="DZ2" s="17"/>
      <c r="EA2" s="19"/>
      <c r="EB2" s="19"/>
      <c r="EC2" s="22"/>
      <c r="ED2" s="20"/>
      <c r="EE2" s="23"/>
      <c r="EF2" s="17"/>
      <c r="EG2" s="19"/>
      <c r="EH2" s="17"/>
      <c r="EI2" s="19"/>
      <c r="EJ2" s="24"/>
      <c r="EK2" s="17"/>
      <c r="EL2" s="20"/>
      <c r="EM2" s="76"/>
      <c r="EN2" s="76"/>
      <c r="EO2" s="65"/>
      <c r="EP2" s="65"/>
      <c r="EQ2" s="79"/>
      <c r="ER2" s="142" t="s">
        <v>45</v>
      </c>
      <c r="ES2" s="142"/>
      <c r="ET2" s="142"/>
      <c r="EU2" s="142"/>
      <c r="EV2" s="142"/>
      <c r="EW2" s="142"/>
      <c r="EX2" s="142"/>
      <c r="EY2" s="20"/>
      <c r="EZ2" s="20"/>
      <c r="FA2" s="88"/>
      <c r="FB2" s="17"/>
      <c r="FC2" s="19"/>
      <c r="FD2" s="19"/>
      <c r="FE2" s="22"/>
      <c r="FF2" s="20"/>
      <c r="FG2" s="23"/>
      <c r="FH2" s="17"/>
      <c r="FI2" s="19"/>
      <c r="FJ2" s="17"/>
      <c r="FK2" s="19"/>
      <c r="FL2" s="24"/>
      <c r="FM2" s="17"/>
      <c r="FN2" s="20"/>
      <c r="FO2" s="76"/>
      <c r="FP2" s="76"/>
      <c r="FQ2" s="65"/>
      <c r="FR2" s="65"/>
      <c r="FS2" s="79"/>
      <c r="FT2" s="142" t="s">
        <v>45</v>
      </c>
      <c r="FU2" s="142"/>
      <c r="FV2" s="142"/>
      <c r="FW2" s="142"/>
      <c r="FX2" s="142"/>
      <c r="FY2" s="142"/>
      <c r="FZ2" s="142"/>
      <c r="GA2" s="20"/>
      <c r="GB2" s="20"/>
      <c r="GC2" s="88"/>
      <c r="GD2" s="17"/>
      <c r="GE2" s="19"/>
      <c r="GF2" s="19"/>
      <c r="GG2" s="22"/>
      <c r="GH2" s="20"/>
      <c r="GI2" s="23"/>
      <c r="GJ2" s="17"/>
      <c r="GK2" s="19"/>
      <c r="GL2" s="17"/>
      <c r="GM2" s="19"/>
      <c r="GN2" s="24"/>
      <c r="GO2" s="17"/>
      <c r="GP2" s="20"/>
      <c r="GQ2" s="76"/>
      <c r="GR2" s="76"/>
      <c r="GS2" s="65"/>
      <c r="GT2" s="65"/>
      <c r="GU2" s="79"/>
      <c r="GV2" s="142" t="s">
        <v>45</v>
      </c>
      <c r="GW2" s="142"/>
      <c r="GX2" s="142"/>
      <c r="GY2" s="142"/>
      <c r="GZ2" s="142"/>
      <c r="HA2" s="142"/>
      <c r="HB2" s="142"/>
      <c r="HC2" s="20"/>
      <c r="HD2" s="20"/>
      <c r="HE2" s="88"/>
      <c r="HF2" s="17"/>
      <c r="HG2" s="19"/>
      <c r="HH2" s="19"/>
      <c r="HI2" s="22"/>
      <c r="HJ2" s="20"/>
      <c r="HK2" s="23"/>
      <c r="HL2" s="17"/>
      <c r="HM2" s="19"/>
      <c r="HN2" s="17"/>
      <c r="HO2" s="19"/>
      <c r="HP2" s="24"/>
      <c r="HQ2" s="17"/>
      <c r="HR2" s="20"/>
      <c r="HS2" s="76"/>
      <c r="HT2" s="76"/>
      <c r="HU2" s="65"/>
      <c r="HV2" s="65"/>
      <c r="HW2" s="79"/>
      <c r="HX2" s="142" t="s">
        <v>45</v>
      </c>
      <c r="HY2" s="142"/>
      <c r="HZ2" s="142"/>
      <c r="IA2" s="142"/>
      <c r="IB2" s="142"/>
      <c r="IC2" s="142"/>
      <c r="ID2" s="142"/>
      <c r="IE2" s="20"/>
      <c r="IF2" s="20"/>
      <c r="IG2" s="88"/>
      <c r="IH2" s="17"/>
      <c r="II2" s="19"/>
      <c r="IJ2" s="19"/>
      <c r="IK2" s="22"/>
      <c r="IL2" s="20"/>
      <c r="IM2" s="23"/>
      <c r="IN2" s="17"/>
      <c r="IO2" s="19"/>
      <c r="IP2" s="17"/>
      <c r="IQ2" s="19"/>
      <c r="IR2" s="111"/>
    </row>
    <row r="3" spans="1:252" x14ac:dyDescent="0.3">
      <c r="A3" s="25">
        <v>46113</v>
      </c>
      <c r="B3" s="28">
        <v>2534</v>
      </c>
      <c r="C3" s="75">
        <v>3756</v>
      </c>
      <c r="D3" s="75">
        <v>7</v>
      </c>
      <c r="E3" s="26">
        <v>0</v>
      </c>
      <c r="F3" s="26">
        <v>0</v>
      </c>
      <c r="G3" s="32">
        <f t="shared" ref="G3:G33" si="0">SUM(H3:Y3)</f>
        <v>0</v>
      </c>
      <c r="H3" s="30" t="s">
        <v>32</v>
      </c>
      <c r="I3" s="30"/>
      <c r="J3" s="26" t="s">
        <v>32</v>
      </c>
      <c r="K3" s="30" t="s">
        <v>32</v>
      </c>
      <c r="L3" s="32" t="s">
        <v>32</v>
      </c>
      <c r="M3" s="30"/>
      <c r="N3" s="30"/>
      <c r="O3" s="28"/>
      <c r="P3" s="28" t="s">
        <v>32</v>
      </c>
      <c r="Q3" s="82" t="s">
        <v>32</v>
      </c>
      <c r="R3" s="30" t="s">
        <v>32</v>
      </c>
      <c r="S3" s="32" t="s">
        <v>32</v>
      </c>
      <c r="T3" s="32" t="s">
        <v>32</v>
      </c>
      <c r="U3" s="75" t="s">
        <v>32</v>
      </c>
      <c r="V3" s="28" t="s">
        <v>32</v>
      </c>
      <c r="W3" s="26" t="s">
        <v>32</v>
      </c>
      <c r="X3" s="30" t="s">
        <v>32</v>
      </c>
      <c r="Y3" s="32" t="s">
        <v>32</v>
      </c>
      <c r="Z3" s="30"/>
      <c r="AA3" s="33">
        <f>SUM(H3:Y3)</f>
        <v>0</v>
      </c>
      <c r="AB3" s="24"/>
      <c r="AC3" s="25">
        <v>46143</v>
      </c>
      <c r="AD3" s="28">
        <v>2233</v>
      </c>
      <c r="AE3" s="75">
        <v>661</v>
      </c>
      <c r="AF3" s="75">
        <v>1</v>
      </c>
      <c r="AG3" s="26">
        <v>0</v>
      </c>
      <c r="AH3" s="26">
        <v>0</v>
      </c>
      <c r="AI3" s="32">
        <f t="shared" ref="AI3:AI33" si="1">SUM(AJ3:BA3)</f>
        <v>0</v>
      </c>
      <c r="AJ3" s="30" t="s">
        <v>32</v>
      </c>
      <c r="AK3" s="30"/>
      <c r="AL3" s="26" t="s">
        <v>32</v>
      </c>
      <c r="AM3" s="30" t="s">
        <v>32</v>
      </c>
      <c r="AN3" s="32" t="s">
        <v>32</v>
      </c>
      <c r="AO3" s="30"/>
      <c r="AP3" s="30"/>
      <c r="AQ3" s="28"/>
      <c r="AR3" s="28" t="s">
        <v>32</v>
      </c>
      <c r="AS3" s="82" t="s">
        <v>32</v>
      </c>
      <c r="AT3" s="30" t="s">
        <v>32</v>
      </c>
      <c r="AU3" s="32" t="s">
        <v>32</v>
      </c>
      <c r="AV3" s="32" t="s">
        <v>32</v>
      </c>
      <c r="AW3" s="75" t="s">
        <v>32</v>
      </c>
      <c r="AX3" s="28" t="s">
        <v>32</v>
      </c>
      <c r="AY3" s="26" t="s">
        <v>32</v>
      </c>
      <c r="AZ3" s="30" t="s">
        <v>32</v>
      </c>
      <c r="BA3" s="32" t="s">
        <v>32</v>
      </c>
      <c r="BB3" s="30"/>
      <c r="BC3" s="33">
        <f>SUM(AJ3:BA3)</f>
        <v>0</v>
      </c>
      <c r="BD3" s="129"/>
      <c r="BE3" s="25">
        <v>46174</v>
      </c>
      <c r="BF3" s="28">
        <v>0</v>
      </c>
      <c r="BG3" s="75">
        <v>1720</v>
      </c>
      <c r="BH3" s="75">
        <v>2.5</v>
      </c>
      <c r="BI3" s="26">
        <v>0</v>
      </c>
      <c r="BJ3" s="26">
        <v>0</v>
      </c>
      <c r="BK3" s="32">
        <f t="shared" ref="BK3:BK33" si="2">SUM(BL3:CC3)</f>
        <v>0</v>
      </c>
      <c r="BL3" s="30" t="s">
        <v>32</v>
      </c>
      <c r="BM3" s="30"/>
      <c r="BN3" s="26" t="s">
        <v>32</v>
      </c>
      <c r="BO3" s="30" t="s">
        <v>32</v>
      </c>
      <c r="BP3" s="32" t="s">
        <v>32</v>
      </c>
      <c r="BQ3" s="30"/>
      <c r="BR3" s="30"/>
      <c r="BS3" s="28"/>
      <c r="BT3" s="28" t="s">
        <v>32</v>
      </c>
      <c r="BU3" s="26" t="s">
        <v>32</v>
      </c>
      <c r="BV3" s="30" t="s">
        <v>32</v>
      </c>
      <c r="BW3" s="32" t="s">
        <v>32</v>
      </c>
      <c r="BX3" s="32" t="s">
        <v>32</v>
      </c>
      <c r="BY3" s="82" t="s">
        <v>32</v>
      </c>
      <c r="BZ3" s="28" t="s">
        <v>32</v>
      </c>
      <c r="CA3" s="26" t="s">
        <v>32</v>
      </c>
      <c r="CB3" s="30" t="s">
        <v>32</v>
      </c>
      <c r="CC3" s="32" t="s">
        <v>32</v>
      </c>
      <c r="CD3" s="30"/>
      <c r="CE3" s="33">
        <f>SUM(BL3:CC3)</f>
        <v>0</v>
      </c>
      <c r="CF3" s="24"/>
      <c r="CG3" s="25">
        <v>46204</v>
      </c>
      <c r="CH3" s="28">
        <v>3347</v>
      </c>
      <c r="CI3" s="75">
        <v>0</v>
      </c>
      <c r="CJ3" s="75">
        <v>7</v>
      </c>
      <c r="CK3" s="26">
        <v>0</v>
      </c>
      <c r="CL3" s="26">
        <v>0</v>
      </c>
      <c r="CM3" s="32">
        <f t="shared" ref="CM3:CM33" si="3">SUM(CN3:DE3)</f>
        <v>0</v>
      </c>
      <c r="CN3" s="30" t="s">
        <v>32</v>
      </c>
      <c r="CO3" s="30"/>
      <c r="CP3" s="26" t="s">
        <v>32</v>
      </c>
      <c r="CQ3" s="30" t="s">
        <v>32</v>
      </c>
      <c r="CR3" s="32" t="s">
        <v>32</v>
      </c>
      <c r="CS3" s="30"/>
      <c r="CT3" s="30"/>
      <c r="CU3" s="28"/>
      <c r="CV3" s="28" t="s">
        <v>32</v>
      </c>
      <c r="CW3" s="82" t="s">
        <v>32</v>
      </c>
      <c r="CX3" s="30" t="s">
        <v>32</v>
      </c>
      <c r="CY3" s="32" t="s">
        <v>32</v>
      </c>
      <c r="CZ3" s="32" t="s">
        <v>32</v>
      </c>
      <c r="DA3" s="29" t="s">
        <v>32</v>
      </c>
      <c r="DB3" s="28" t="s">
        <v>32</v>
      </c>
      <c r="DC3" s="26" t="s">
        <v>32</v>
      </c>
      <c r="DD3" s="30" t="s">
        <v>32</v>
      </c>
      <c r="DE3" s="32" t="s">
        <v>32</v>
      </c>
      <c r="DF3" s="30"/>
      <c r="DG3" s="33">
        <f>SUM(CN3:DE3)</f>
        <v>0</v>
      </c>
      <c r="DH3" s="24"/>
      <c r="DI3" s="25" t="s">
        <v>32</v>
      </c>
      <c r="DJ3" s="28" t="s">
        <v>32</v>
      </c>
      <c r="DK3" s="75" t="s">
        <v>32</v>
      </c>
      <c r="DL3" s="75" t="s">
        <v>32</v>
      </c>
      <c r="DM3" s="26" t="s">
        <v>32</v>
      </c>
      <c r="DN3" s="26"/>
      <c r="DO3" s="32">
        <f t="shared" ref="DO3:DO33" si="4">SUM(DP3:EG3)</f>
        <v>0</v>
      </c>
      <c r="DP3" s="30" t="s">
        <v>32</v>
      </c>
      <c r="DQ3" s="30"/>
      <c r="DR3" s="26" t="s">
        <v>32</v>
      </c>
      <c r="DS3" s="30" t="s">
        <v>32</v>
      </c>
      <c r="DT3" s="32" t="s">
        <v>32</v>
      </c>
      <c r="DU3" s="30"/>
      <c r="DV3" s="30"/>
      <c r="DW3" s="28"/>
      <c r="DX3" s="28" t="s">
        <v>32</v>
      </c>
      <c r="DY3" s="82" t="s">
        <v>32</v>
      </c>
      <c r="DZ3" s="30" t="s">
        <v>32</v>
      </c>
      <c r="EA3" s="32" t="s">
        <v>32</v>
      </c>
      <c r="EB3" s="32" t="s">
        <v>32</v>
      </c>
      <c r="EC3" s="29" t="s">
        <v>32</v>
      </c>
      <c r="ED3" s="28" t="s">
        <v>32</v>
      </c>
      <c r="EE3" s="26" t="s">
        <v>32</v>
      </c>
      <c r="EF3" s="30" t="s">
        <v>32</v>
      </c>
      <c r="EG3" s="32" t="s">
        <v>32</v>
      </c>
      <c r="EH3" s="30"/>
      <c r="EI3" s="33">
        <f>SUM(DP3:EG3)</f>
        <v>0</v>
      </c>
      <c r="EJ3" s="24"/>
      <c r="EK3" s="25" t="s">
        <v>32</v>
      </c>
      <c r="EL3" s="28" t="s">
        <v>32</v>
      </c>
      <c r="EM3" s="75" t="s">
        <v>32</v>
      </c>
      <c r="EN3" s="75" t="s">
        <v>32</v>
      </c>
      <c r="EO3" s="26" t="s">
        <v>32</v>
      </c>
      <c r="EP3" s="26"/>
      <c r="EQ3" s="32">
        <f t="shared" ref="EQ3:EQ33" si="5">SUM(ER3:FI3)</f>
        <v>0</v>
      </c>
      <c r="ER3" s="30" t="s">
        <v>32</v>
      </c>
      <c r="ES3" s="30"/>
      <c r="ET3" s="26" t="s">
        <v>32</v>
      </c>
      <c r="EU3" s="30" t="s">
        <v>32</v>
      </c>
      <c r="EV3" s="32" t="s">
        <v>32</v>
      </c>
      <c r="EW3" s="30"/>
      <c r="EX3" s="30"/>
      <c r="EY3" s="28"/>
      <c r="EZ3" s="28" t="s">
        <v>32</v>
      </c>
      <c r="FA3" s="82" t="s">
        <v>32</v>
      </c>
      <c r="FB3" s="30" t="s">
        <v>32</v>
      </c>
      <c r="FC3" s="32" t="s">
        <v>32</v>
      </c>
      <c r="FD3" s="32" t="s">
        <v>32</v>
      </c>
      <c r="FE3" s="29" t="s">
        <v>32</v>
      </c>
      <c r="FF3" s="28" t="s">
        <v>32</v>
      </c>
      <c r="FG3" s="26" t="s">
        <v>32</v>
      </c>
      <c r="FH3" s="30" t="s">
        <v>32</v>
      </c>
      <c r="FI3" s="32" t="s">
        <v>32</v>
      </c>
      <c r="FJ3" s="30"/>
      <c r="FK3" s="33">
        <f>SUM(ER3:FI3)</f>
        <v>0</v>
      </c>
      <c r="FL3" s="24"/>
      <c r="FM3" s="25" t="s">
        <v>32</v>
      </c>
      <c r="FN3" s="28" t="s">
        <v>32</v>
      </c>
      <c r="FO3" s="75" t="s">
        <v>32</v>
      </c>
      <c r="FP3" s="75" t="s">
        <v>32</v>
      </c>
      <c r="FQ3" s="26" t="s">
        <v>32</v>
      </c>
      <c r="FR3" s="26"/>
      <c r="FS3" s="32">
        <f t="shared" ref="FS3:FS33" si="6">SUM(FT3:GK3)</f>
        <v>0</v>
      </c>
      <c r="FT3" s="30" t="s">
        <v>32</v>
      </c>
      <c r="FU3" s="30"/>
      <c r="FV3" s="26" t="s">
        <v>32</v>
      </c>
      <c r="FW3" s="30" t="s">
        <v>32</v>
      </c>
      <c r="FX3" s="32" t="s">
        <v>32</v>
      </c>
      <c r="FY3" s="30"/>
      <c r="FZ3" s="30"/>
      <c r="GA3" s="28"/>
      <c r="GB3" s="28" t="s">
        <v>32</v>
      </c>
      <c r="GC3" s="82" t="s">
        <v>32</v>
      </c>
      <c r="GD3" s="30" t="s">
        <v>32</v>
      </c>
      <c r="GE3" s="32" t="s">
        <v>32</v>
      </c>
      <c r="GF3" s="32" t="s">
        <v>32</v>
      </c>
      <c r="GG3" s="29" t="s">
        <v>32</v>
      </c>
      <c r="GH3" s="28" t="s">
        <v>32</v>
      </c>
      <c r="GI3" s="26" t="s">
        <v>32</v>
      </c>
      <c r="GJ3" s="30" t="s">
        <v>32</v>
      </c>
      <c r="GK3" s="32" t="s">
        <v>32</v>
      </c>
      <c r="GL3" s="30"/>
      <c r="GM3" s="33">
        <f>SUM(FT3:GK3)</f>
        <v>0</v>
      </c>
      <c r="GN3" s="24"/>
      <c r="GO3" s="25" t="s">
        <v>32</v>
      </c>
      <c r="GP3" s="28" t="s">
        <v>32</v>
      </c>
      <c r="GQ3" s="75" t="s">
        <v>32</v>
      </c>
      <c r="GR3" s="75" t="s">
        <v>32</v>
      </c>
      <c r="GS3" s="26" t="s">
        <v>32</v>
      </c>
      <c r="GT3" s="26"/>
      <c r="GU3" s="32">
        <f t="shared" ref="GU3:GU33" si="7">SUM(GV3:HM3)</f>
        <v>0</v>
      </c>
      <c r="GV3" s="30" t="s">
        <v>32</v>
      </c>
      <c r="GW3" s="30"/>
      <c r="GX3" s="26" t="s">
        <v>32</v>
      </c>
      <c r="GY3" s="30" t="s">
        <v>32</v>
      </c>
      <c r="GZ3" s="32" t="s">
        <v>32</v>
      </c>
      <c r="HA3" s="30"/>
      <c r="HB3" s="30"/>
      <c r="HC3" s="28"/>
      <c r="HD3" s="28" t="s">
        <v>32</v>
      </c>
      <c r="HE3" s="82" t="s">
        <v>32</v>
      </c>
      <c r="HF3" s="30" t="s">
        <v>32</v>
      </c>
      <c r="HG3" s="32" t="s">
        <v>32</v>
      </c>
      <c r="HH3" s="32" t="s">
        <v>32</v>
      </c>
      <c r="HI3" s="29" t="s">
        <v>32</v>
      </c>
      <c r="HJ3" s="28" t="s">
        <v>32</v>
      </c>
      <c r="HK3" s="26" t="s">
        <v>32</v>
      </c>
      <c r="HL3" s="30" t="s">
        <v>32</v>
      </c>
      <c r="HM3" s="32" t="s">
        <v>32</v>
      </c>
      <c r="HN3" s="30"/>
      <c r="HO3" s="33">
        <f>SUM(GV3:HM3)</f>
        <v>0</v>
      </c>
      <c r="HP3" s="24"/>
      <c r="HQ3" s="25" t="s">
        <v>32</v>
      </c>
      <c r="HR3" s="28" t="s">
        <v>32</v>
      </c>
      <c r="HS3" s="75" t="s">
        <v>32</v>
      </c>
      <c r="HT3" s="75" t="s">
        <v>32</v>
      </c>
      <c r="HU3" s="26" t="s">
        <v>32</v>
      </c>
      <c r="HV3" s="26"/>
      <c r="HW3" s="32">
        <f t="shared" ref="HW3:HW33" si="8">SUM(HX3:IO3)</f>
        <v>0</v>
      </c>
      <c r="HX3" s="30" t="s">
        <v>32</v>
      </c>
      <c r="HY3" s="30"/>
      <c r="HZ3" s="26" t="s">
        <v>32</v>
      </c>
      <c r="IA3" s="30" t="s">
        <v>32</v>
      </c>
      <c r="IB3" s="32" t="s">
        <v>32</v>
      </c>
      <c r="IC3" s="30"/>
      <c r="ID3" s="30"/>
      <c r="IE3" s="28"/>
      <c r="IF3" s="28" t="s">
        <v>32</v>
      </c>
      <c r="IG3" s="82" t="s">
        <v>32</v>
      </c>
      <c r="IH3" s="30" t="s">
        <v>32</v>
      </c>
      <c r="II3" s="32" t="s">
        <v>32</v>
      </c>
      <c r="IJ3" s="32" t="s">
        <v>32</v>
      </c>
      <c r="IK3" s="29" t="s">
        <v>32</v>
      </c>
      <c r="IL3" s="28" t="s">
        <v>32</v>
      </c>
      <c r="IM3" s="26" t="s">
        <v>32</v>
      </c>
      <c r="IN3" s="30" t="s">
        <v>32</v>
      </c>
      <c r="IO3" s="32" t="s">
        <v>32</v>
      </c>
      <c r="IP3" s="30"/>
      <c r="IQ3" s="33">
        <f>SUM(HX3:IO3)</f>
        <v>0</v>
      </c>
      <c r="IR3" s="111"/>
    </row>
    <row r="4" spans="1:252" x14ac:dyDescent="0.3">
      <c r="A4" s="25">
        <v>46114</v>
      </c>
      <c r="B4" s="28">
        <v>2630</v>
      </c>
      <c r="C4" s="75">
        <v>969</v>
      </c>
      <c r="D4" s="75">
        <v>13</v>
      </c>
      <c r="E4" s="26">
        <v>13403</v>
      </c>
      <c r="F4" s="26">
        <v>508402</v>
      </c>
      <c r="G4" s="32">
        <f t="shared" si="0"/>
        <v>51830</v>
      </c>
      <c r="H4" s="34" t="s">
        <v>32</v>
      </c>
      <c r="I4" s="34"/>
      <c r="J4" s="26" t="s">
        <v>32</v>
      </c>
      <c r="K4" s="34" t="s">
        <v>32</v>
      </c>
      <c r="L4" s="32">
        <v>17700</v>
      </c>
      <c r="M4" s="32">
        <v>6200</v>
      </c>
      <c r="N4" s="34">
        <v>21190</v>
      </c>
      <c r="O4" s="28" t="s">
        <v>32</v>
      </c>
      <c r="P4" s="28" t="s">
        <v>32</v>
      </c>
      <c r="Q4" s="82">
        <v>1740</v>
      </c>
      <c r="R4" s="34" t="s">
        <v>32</v>
      </c>
      <c r="S4" s="32">
        <v>5000</v>
      </c>
      <c r="T4" s="32" t="s">
        <v>32</v>
      </c>
      <c r="U4" s="75" t="s">
        <v>32</v>
      </c>
      <c r="V4" s="28"/>
      <c r="W4" s="26" t="s">
        <v>32</v>
      </c>
      <c r="X4" s="34" t="s">
        <v>32</v>
      </c>
      <c r="Y4" s="32" t="s">
        <v>32</v>
      </c>
      <c r="Z4" s="34" t="s">
        <v>32</v>
      </c>
      <c r="AA4" s="33">
        <f>SUM(H4:Y4)</f>
        <v>51830</v>
      </c>
      <c r="AB4" s="24"/>
      <c r="AC4" s="25">
        <v>46144</v>
      </c>
      <c r="AD4" s="28">
        <v>1355</v>
      </c>
      <c r="AE4" s="75">
        <v>1526</v>
      </c>
      <c r="AF4" s="75">
        <v>7</v>
      </c>
      <c r="AG4" s="26">
        <v>0</v>
      </c>
      <c r="AH4" s="26">
        <v>0</v>
      </c>
      <c r="AI4" s="32">
        <f t="shared" si="1"/>
        <v>0</v>
      </c>
      <c r="AJ4" s="34" t="s">
        <v>32</v>
      </c>
      <c r="AK4" s="34"/>
      <c r="AL4" s="26" t="s">
        <v>32</v>
      </c>
      <c r="AM4" s="34" t="s">
        <v>32</v>
      </c>
      <c r="AN4" s="32" t="s">
        <v>32</v>
      </c>
      <c r="AO4" s="32"/>
      <c r="AP4" s="34" t="s">
        <v>32</v>
      </c>
      <c r="AQ4" s="28" t="s">
        <v>32</v>
      </c>
      <c r="AR4" s="28" t="s">
        <v>32</v>
      </c>
      <c r="AS4" s="82" t="s">
        <v>32</v>
      </c>
      <c r="AT4" s="34" t="s">
        <v>32</v>
      </c>
      <c r="AU4" s="32" t="s">
        <v>32</v>
      </c>
      <c r="AV4" s="32" t="s">
        <v>32</v>
      </c>
      <c r="AW4" s="75" t="s">
        <v>32</v>
      </c>
      <c r="AX4" s="28"/>
      <c r="AY4" s="26" t="s">
        <v>32</v>
      </c>
      <c r="AZ4" s="34" t="s">
        <v>32</v>
      </c>
      <c r="BA4" s="32" t="s">
        <v>32</v>
      </c>
      <c r="BB4" s="34" t="s">
        <v>32</v>
      </c>
      <c r="BC4" s="33">
        <f>SUM(AJ4:BA4)</f>
        <v>0</v>
      </c>
      <c r="BD4" s="129"/>
      <c r="BE4" s="25">
        <v>46175</v>
      </c>
      <c r="BF4" s="28">
        <v>652</v>
      </c>
      <c r="BG4" s="75">
        <v>6624</v>
      </c>
      <c r="BH4" s="75">
        <v>15</v>
      </c>
      <c r="BI4" s="26">
        <v>2358</v>
      </c>
      <c r="BJ4" s="26">
        <v>169475</v>
      </c>
      <c r="BK4" s="32">
        <f t="shared" si="2"/>
        <v>28165</v>
      </c>
      <c r="BL4" s="34" t="s">
        <v>32</v>
      </c>
      <c r="BM4" s="34"/>
      <c r="BN4" s="26" t="s">
        <v>32</v>
      </c>
      <c r="BO4" s="34" t="s">
        <v>32</v>
      </c>
      <c r="BP4" s="32" t="s">
        <v>32</v>
      </c>
      <c r="BQ4" s="32"/>
      <c r="BR4" s="34">
        <v>24350</v>
      </c>
      <c r="BS4" s="28" t="s">
        <v>32</v>
      </c>
      <c r="BT4" s="28" t="s">
        <v>32</v>
      </c>
      <c r="BU4" s="26">
        <v>2715</v>
      </c>
      <c r="BV4" s="34" t="s">
        <v>32</v>
      </c>
      <c r="BW4" s="32" t="s">
        <v>32</v>
      </c>
      <c r="BX4" s="32" t="s">
        <v>32</v>
      </c>
      <c r="BY4" s="82">
        <v>1100</v>
      </c>
      <c r="BZ4" s="28"/>
      <c r="CA4" s="26" t="s">
        <v>32</v>
      </c>
      <c r="CB4" s="34" t="s">
        <v>32</v>
      </c>
      <c r="CC4" s="32" t="s">
        <v>32</v>
      </c>
      <c r="CD4" s="34" t="s">
        <v>32</v>
      </c>
      <c r="CE4" s="33">
        <f>SUM(BL4:CC4)</f>
        <v>28165</v>
      </c>
      <c r="CF4" s="24"/>
      <c r="CG4" s="25">
        <v>46205</v>
      </c>
      <c r="CH4" s="28" t="s">
        <v>32</v>
      </c>
      <c r="CI4" s="75" t="s">
        <v>32</v>
      </c>
      <c r="CJ4" s="75" t="s">
        <v>32</v>
      </c>
      <c r="CK4" s="26"/>
      <c r="CL4" s="26"/>
      <c r="CM4" s="32">
        <f t="shared" si="3"/>
        <v>0</v>
      </c>
      <c r="CN4" s="34" t="s">
        <v>32</v>
      </c>
      <c r="CO4" s="34"/>
      <c r="CP4" s="26" t="s">
        <v>32</v>
      </c>
      <c r="CQ4" s="34" t="s">
        <v>32</v>
      </c>
      <c r="CR4" s="32" t="s">
        <v>32</v>
      </c>
      <c r="CS4" s="32"/>
      <c r="CT4" s="34" t="s">
        <v>32</v>
      </c>
      <c r="CU4" s="28" t="s">
        <v>32</v>
      </c>
      <c r="CV4" s="28" t="s">
        <v>32</v>
      </c>
      <c r="CW4" s="82" t="s">
        <v>32</v>
      </c>
      <c r="CX4" s="34" t="s">
        <v>32</v>
      </c>
      <c r="CY4" s="32" t="s">
        <v>32</v>
      </c>
      <c r="CZ4" s="32" t="s">
        <v>32</v>
      </c>
      <c r="DA4" s="29" t="s">
        <v>32</v>
      </c>
      <c r="DB4" s="28"/>
      <c r="DC4" s="26" t="s">
        <v>32</v>
      </c>
      <c r="DD4" s="34" t="s">
        <v>32</v>
      </c>
      <c r="DE4" s="32" t="s">
        <v>32</v>
      </c>
      <c r="DF4" s="34" t="s">
        <v>32</v>
      </c>
      <c r="DG4" s="33">
        <f>SUM(CN4:DE4)</f>
        <v>0</v>
      </c>
      <c r="DH4" s="24"/>
      <c r="DI4" s="25" t="s">
        <v>32</v>
      </c>
      <c r="DJ4" s="28" t="s">
        <v>32</v>
      </c>
      <c r="DK4" s="75" t="s">
        <v>32</v>
      </c>
      <c r="DL4" s="75" t="s">
        <v>32</v>
      </c>
      <c r="DM4" s="26"/>
      <c r="DN4" s="26"/>
      <c r="DO4" s="32">
        <f t="shared" si="4"/>
        <v>0</v>
      </c>
      <c r="DP4" s="34" t="s">
        <v>32</v>
      </c>
      <c r="DQ4" s="34"/>
      <c r="DR4" s="26" t="s">
        <v>32</v>
      </c>
      <c r="DS4" s="34" t="s">
        <v>32</v>
      </c>
      <c r="DT4" s="32" t="s">
        <v>32</v>
      </c>
      <c r="DU4" s="32"/>
      <c r="DV4" s="34" t="s">
        <v>32</v>
      </c>
      <c r="DW4" s="28" t="s">
        <v>32</v>
      </c>
      <c r="DX4" s="28" t="s">
        <v>32</v>
      </c>
      <c r="DY4" s="82" t="s">
        <v>32</v>
      </c>
      <c r="DZ4" s="34" t="s">
        <v>32</v>
      </c>
      <c r="EA4" s="32" t="s">
        <v>32</v>
      </c>
      <c r="EB4" s="32" t="s">
        <v>32</v>
      </c>
      <c r="EC4" s="29" t="s">
        <v>32</v>
      </c>
      <c r="ED4" s="28"/>
      <c r="EE4" s="26" t="s">
        <v>32</v>
      </c>
      <c r="EF4" s="34" t="s">
        <v>32</v>
      </c>
      <c r="EG4" s="32" t="s">
        <v>32</v>
      </c>
      <c r="EH4" s="34" t="s">
        <v>32</v>
      </c>
      <c r="EI4" s="33">
        <f>SUM(DP4:EG4)</f>
        <v>0</v>
      </c>
      <c r="EJ4" s="24"/>
      <c r="EK4" s="25" t="s">
        <v>32</v>
      </c>
      <c r="EL4" s="28" t="s">
        <v>32</v>
      </c>
      <c r="EM4" s="75" t="s">
        <v>32</v>
      </c>
      <c r="EN4" s="75" t="s">
        <v>32</v>
      </c>
      <c r="EO4" s="26"/>
      <c r="EP4" s="26"/>
      <c r="EQ4" s="32">
        <f t="shared" si="5"/>
        <v>0</v>
      </c>
      <c r="ER4" s="34" t="s">
        <v>32</v>
      </c>
      <c r="ES4" s="34"/>
      <c r="ET4" s="26" t="s">
        <v>32</v>
      </c>
      <c r="EU4" s="34" t="s">
        <v>32</v>
      </c>
      <c r="EV4" s="32" t="s">
        <v>32</v>
      </c>
      <c r="EW4" s="32"/>
      <c r="EX4" s="34" t="s">
        <v>32</v>
      </c>
      <c r="EY4" s="28" t="s">
        <v>32</v>
      </c>
      <c r="EZ4" s="28" t="s">
        <v>32</v>
      </c>
      <c r="FA4" s="82" t="s">
        <v>32</v>
      </c>
      <c r="FB4" s="34" t="s">
        <v>32</v>
      </c>
      <c r="FC4" s="32" t="s">
        <v>32</v>
      </c>
      <c r="FD4" s="32" t="s">
        <v>32</v>
      </c>
      <c r="FE4" s="29" t="s">
        <v>32</v>
      </c>
      <c r="FF4" s="28"/>
      <c r="FG4" s="26" t="s">
        <v>32</v>
      </c>
      <c r="FH4" s="34" t="s">
        <v>32</v>
      </c>
      <c r="FI4" s="32" t="s">
        <v>32</v>
      </c>
      <c r="FJ4" s="34" t="s">
        <v>32</v>
      </c>
      <c r="FK4" s="33">
        <f>SUM(ER4:FI4)</f>
        <v>0</v>
      </c>
      <c r="FL4" s="24"/>
      <c r="FM4" s="25" t="s">
        <v>32</v>
      </c>
      <c r="FN4" s="28" t="s">
        <v>32</v>
      </c>
      <c r="FO4" s="75" t="s">
        <v>32</v>
      </c>
      <c r="FP4" s="75" t="s">
        <v>32</v>
      </c>
      <c r="FQ4" s="26"/>
      <c r="FR4" s="26"/>
      <c r="FS4" s="32">
        <f t="shared" si="6"/>
        <v>0</v>
      </c>
      <c r="FT4" s="34" t="s">
        <v>32</v>
      </c>
      <c r="FU4" s="34"/>
      <c r="FV4" s="26" t="s">
        <v>32</v>
      </c>
      <c r="FW4" s="34" t="s">
        <v>32</v>
      </c>
      <c r="FX4" s="32" t="s">
        <v>32</v>
      </c>
      <c r="FY4" s="32"/>
      <c r="FZ4" s="34" t="s">
        <v>32</v>
      </c>
      <c r="GA4" s="28" t="s">
        <v>32</v>
      </c>
      <c r="GB4" s="28" t="s">
        <v>32</v>
      </c>
      <c r="GC4" s="82" t="s">
        <v>32</v>
      </c>
      <c r="GD4" s="34" t="s">
        <v>32</v>
      </c>
      <c r="GE4" s="32" t="s">
        <v>32</v>
      </c>
      <c r="GF4" s="32" t="s">
        <v>32</v>
      </c>
      <c r="GG4" s="29" t="s">
        <v>32</v>
      </c>
      <c r="GH4" s="28"/>
      <c r="GI4" s="26" t="s">
        <v>32</v>
      </c>
      <c r="GJ4" s="34" t="s">
        <v>32</v>
      </c>
      <c r="GK4" s="32" t="s">
        <v>32</v>
      </c>
      <c r="GL4" s="34" t="s">
        <v>32</v>
      </c>
      <c r="GM4" s="33">
        <f>SUM(FT4:GK4)</f>
        <v>0</v>
      </c>
      <c r="GN4" s="24"/>
      <c r="GO4" s="25" t="s">
        <v>32</v>
      </c>
      <c r="GP4" s="28" t="s">
        <v>32</v>
      </c>
      <c r="GQ4" s="75" t="s">
        <v>32</v>
      </c>
      <c r="GR4" s="75" t="s">
        <v>32</v>
      </c>
      <c r="GS4" s="26"/>
      <c r="GT4" s="26"/>
      <c r="GU4" s="32">
        <f t="shared" si="7"/>
        <v>0</v>
      </c>
      <c r="GV4" s="34" t="s">
        <v>32</v>
      </c>
      <c r="GW4" s="34"/>
      <c r="GX4" s="26" t="s">
        <v>32</v>
      </c>
      <c r="GY4" s="34" t="s">
        <v>32</v>
      </c>
      <c r="GZ4" s="32" t="s">
        <v>32</v>
      </c>
      <c r="HA4" s="32"/>
      <c r="HB4" s="34" t="s">
        <v>32</v>
      </c>
      <c r="HC4" s="28" t="s">
        <v>32</v>
      </c>
      <c r="HD4" s="28" t="s">
        <v>32</v>
      </c>
      <c r="HE4" s="82" t="s">
        <v>32</v>
      </c>
      <c r="HF4" s="34" t="s">
        <v>32</v>
      </c>
      <c r="HG4" s="32" t="s">
        <v>32</v>
      </c>
      <c r="HH4" s="32" t="s">
        <v>32</v>
      </c>
      <c r="HI4" s="29" t="s">
        <v>32</v>
      </c>
      <c r="HJ4" s="28"/>
      <c r="HK4" s="26" t="s">
        <v>32</v>
      </c>
      <c r="HL4" s="34" t="s">
        <v>32</v>
      </c>
      <c r="HM4" s="32" t="s">
        <v>32</v>
      </c>
      <c r="HN4" s="34" t="s">
        <v>32</v>
      </c>
      <c r="HO4" s="33">
        <f>SUM(GV4:HM4)</f>
        <v>0</v>
      </c>
      <c r="HP4" s="24"/>
      <c r="HQ4" s="25" t="s">
        <v>32</v>
      </c>
      <c r="HR4" s="28" t="s">
        <v>32</v>
      </c>
      <c r="HS4" s="75" t="s">
        <v>32</v>
      </c>
      <c r="HT4" s="75" t="s">
        <v>32</v>
      </c>
      <c r="HU4" s="26"/>
      <c r="HV4" s="26"/>
      <c r="HW4" s="32">
        <f t="shared" si="8"/>
        <v>0</v>
      </c>
      <c r="HX4" s="34" t="s">
        <v>32</v>
      </c>
      <c r="HY4" s="34"/>
      <c r="HZ4" s="26" t="s">
        <v>32</v>
      </c>
      <c r="IA4" s="34" t="s">
        <v>32</v>
      </c>
      <c r="IB4" s="32" t="s">
        <v>32</v>
      </c>
      <c r="IC4" s="32"/>
      <c r="ID4" s="34" t="s">
        <v>32</v>
      </c>
      <c r="IE4" s="28" t="s">
        <v>32</v>
      </c>
      <c r="IF4" s="28" t="s">
        <v>32</v>
      </c>
      <c r="IG4" s="82" t="s">
        <v>32</v>
      </c>
      <c r="IH4" s="34" t="s">
        <v>32</v>
      </c>
      <c r="II4" s="32" t="s">
        <v>32</v>
      </c>
      <c r="IJ4" s="32" t="s">
        <v>32</v>
      </c>
      <c r="IK4" s="29" t="s">
        <v>32</v>
      </c>
      <c r="IL4" s="28"/>
      <c r="IM4" s="26" t="s">
        <v>32</v>
      </c>
      <c r="IN4" s="34" t="s">
        <v>32</v>
      </c>
      <c r="IO4" s="32" t="s">
        <v>32</v>
      </c>
      <c r="IP4" s="34" t="s">
        <v>32</v>
      </c>
      <c r="IQ4" s="33">
        <f>SUM(HX4:IO4)</f>
        <v>0</v>
      </c>
      <c r="IR4" s="111"/>
    </row>
    <row r="5" spans="1:252" x14ac:dyDescent="0.3">
      <c r="A5" s="25">
        <v>46115</v>
      </c>
      <c r="B5" s="28">
        <v>3435</v>
      </c>
      <c r="C5" s="75">
        <v>5953</v>
      </c>
      <c r="D5" s="75">
        <v>13.25</v>
      </c>
      <c r="E5" s="26">
        <v>0</v>
      </c>
      <c r="F5" s="26">
        <v>0</v>
      </c>
      <c r="G5" s="32">
        <f t="shared" si="0"/>
        <v>0</v>
      </c>
      <c r="H5" s="34" t="s">
        <v>32</v>
      </c>
      <c r="I5" s="34"/>
      <c r="J5" s="26" t="s">
        <v>32</v>
      </c>
      <c r="K5" s="34" t="s">
        <v>32</v>
      </c>
      <c r="L5" s="32" t="s">
        <v>32</v>
      </c>
      <c r="M5" s="32"/>
      <c r="N5" s="34" t="s">
        <v>32</v>
      </c>
      <c r="O5" s="28" t="s">
        <v>32</v>
      </c>
      <c r="P5" s="28" t="s">
        <v>32</v>
      </c>
      <c r="Q5" s="82" t="s">
        <v>32</v>
      </c>
      <c r="R5" s="34" t="s">
        <v>32</v>
      </c>
      <c r="S5" s="32" t="s">
        <v>32</v>
      </c>
      <c r="T5" s="32" t="s">
        <v>32</v>
      </c>
      <c r="U5" s="75" t="s">
        <v>32</v>
      </c>
      <c r="V5" s="28" t="s">
        <v>32</v>
      </c>
      <c r="W5" s="26" t="s">
        <v>32</v>
      </c>
      <c r="X5" s="34" t="s">
        <v>32</v>
      </c>
      <c r="Y5" s="32" t="s">
        <v>32</v>
      </c>
      <c r="Z5" s="34" t="s">
        <v>32</v>
      </c>
      <c r="AA5" s="33">
        <f>SUM(H5:Z5)</f>
        <v>0</v>
      </c>
      <c r="AB5" s="24"/>
      <c r="AC5" s="25">
        <v>46145</v>
      </c>
      <c r="AD5" s="28">
        <v>3659</v>
      </c>
      <c r="AE5" s="75">
        <v>0</v>
      </c>
      <c r="AF5" s="75">
        <v>5.5</v>
      </c>
      <c r="AG5" s="26">
        <v>4469</v>
      </c>
      <c r="AH5" s="26">
        <v>231800</v>
      </c>
      <c r="AI5" s="32">
        <f t="shared" si="1"/>
        <v>210260</v>
      </c>
      <c r="AJ5" s="34">
        <v>24410</v>
      </c>
      <c r="AK5" s="34">
        <v>18290</v>
      </c>
      <c r="AL5" s="26">
        <v>109300</v>
      </c>
      <c r="AM5" s="34" t="s">
        <v>32</v>
      </c>
      <c r="AN5" s="32" t="s">
        <v>32</v>
      </c>
      <c r="AO5" s="32"/>
      <c r="AP5" s="34">
        <v>56800</v>
      </c>
      <c r="AQ5" s="28" t="s">
        <v>32</v>
      </c>
      <c r="AR5" s="28" t="s">
        <v>32</v>
      </c>
      <c r="AS5" s="82">
        <v>1460</v>
      </c>
      <c r="AT5" s="34" t="s">
        <v>32</v>
      </c>
      <c r="AU5" s="32" t="s">
        <v>32</v>
      </c>
      <c r="AV5" s="32" t="s">
        <v>32</v>
      </c>
      <c r="AW5" s="75" t="s">
        <v>32</v>
      </c>
      <c r="AX5" s="28" t="s">
        <v>32</v>
      </c>
      <c r="AY5" s="26" t="s">
        <v>32</v>
      </c>
      <c r="AZ5" s="34" t="s">
        <v>32</v>
      </c>
      <c r="BA5" s="32" t="s">
        <v>32</v>
      </c>
      <c r="BB5" s="34" t="s">
        <v>32</v>
      </c>
      <c r="BC5" s="33">
        <f>SUM(AJ5:BB5)</f>
        <v>210260</v>
      </c>
      <c r="BD5" s="129"/>
      <c r="BE5" s="25">
        <v>46176</v>
      </c>
      <c r="BF5" s="28">
        <v>1755</v>
      </c>
      <c r="BG5" s="75">
        <v>3228</v>
      </c>
      <c r="BH5" s="75">
        <v>11</v>
      </c>
      <c r="BI5" s="26">
        <v>0</v>
      </c>
      <c r="BJ5" s="26">
        <v>0</v>
      </c>
      <c r="BK5" s="32">
        <f t="shared" si="2"/>
        <v>0</v>
      </c>
      <c r="BL5" s="34" t="s">
        <v>32</v>
      </c>
      <c r="BM5" s="34"/>
      <c r="BN5" s="26" t="s">
        <v>32</v>
      </c>
      <c r="BO5" s="34" t="s">
        <v>32</v>
      </c>
      <c r="BP5" s="32" t="s">
        <v>32</v>
      </c>
      <c r="BQ5" s="32"/>
      <c r="BR5" s="34" t="s">
        <v>32</v>
      </c>
      <c r="BS5" s="28" t="s">
        <v>32</v>
      </c>
      <c r="BT5" s="28" t="s">
        <v>32</v>
      </c>
      <c r="BU5" s="26" t="s">
        <v>32</v>
      </c>
      <c r="BV5" s="34" t="s">
        <v>32</v>
      </c>
      <c r="BW5" s="32" t="s">
        <v>32</v>
      </c>
      <c r="BX5" s="32" t="s">
        <v>32</v>
      </c>
      <c r="BY5" s="82" t="s">
        <v>32</v>
      </c>
      <c r="BZ5" s="28" t="s">
        <v>32</v>
      </c>
      <c r="CA5" s="26" t="s">
        <v>32</v>
      </c>
      <c r="CB5" s="34" t="s">
        <v>32</v>
      </c>
      <c r="CC5" s="32" t="s">
        <v>32</v>
      </c>
      <c r="CD5" s="34" t="s">
        <v>32</v>
      </c>
      <c r="CE5" s="33">
        <f>SUM(BL5:CD5)</f>
        <v>0</v>
      </c>
      <c r="CF5" s="24"/>
      <c r="CG5" s="25">
        <v>46206</v>
      </c>
      <c r="CH5" s="28" t="s">
        <v>32</v>
      </c>
      <c r="CI5" s="75" t="s">
        <v>32</v>
      </c>
      <c r="CJ5" s="75" t="s">
        <v>32</v>
      </c>
      <c r="CK5" s="26"/>
      <c r="CL5" s="26"/>
      <c r="CM5" s="32">
        <f t="shared" si="3"/>
        <v>0</v>
      </c>
      <c r="CN5" s="34" t="s">
        <v>32</v>
      </c>
      <c r="CO5" s="34"/>
      <c r="CP5" s="26" t="s">
        <v>32</v>
      </c>
      <c r="CQ5" s="34" t="s">
        <v>32</v>
      </c>
      <c r="CR5" s="32" t="s">
        <v>32</v>
      </c>
      <c r="CS5" s="32"/>
      <c r="CT5" s="34" t="s">
        <v>32</v>
      </c>
      <c r="CU5" s="28" t="s">
        <v>32</v>
      </c>
      <c r="CV5" s="28" t="s">
        <v>32</v>
      </c>
      <c r="CW5" s="82" t="s">
        <v>32</v>
      </c>
      <c r="CX5" s="34" t="s">
        <v>32</v>
      </c>
      <c r="CY5" s="32" t="s">
        <v>32</v>
      </c>
      <c r="CZ5" s="32" t="s">
        <v>32</v>
      </c>
      <c r="DA5" s="29" t="s">
        <v>32</v>
      </c>
      <c r="DB5" s="28" t="s">
        <v>32</v>
      </c>
      <c r="DC5" s="26" t="s">
        <v>32</v>
      </c>
      <c r="DD5" s="34" t="s">
        <v>32</v>
      </c>
      <c r="DE5" s="32" t="s">
        <v>32</v>
      </c>
      <c r="DF5" s="34" t="s">
        <v>32</v>
      </c>
      <c r="DG5" s="33">
        <f>SUM(CN5:DF5)</f>
        <v>0</v>
      </c>
      <c r="DH5" s="24"/>
      <c r="DI5" s="25" t="s">
        <v>32</v>
      </c>
      <c r="DJ5" s="28" t="s">
        <v>32</v>
      </c>
      <c r="DK5" s="75" t="s">
        <v>32</v>
      </c>
      <c r="DL5" s="75" t="s">
        <v>32</v>
      </c>
      <c r="DM5" s="26"/>
      <c r="DN5" s="26"/>
      <c r="DO5" s="32">
        <f t="shared" si="4"/>
        <v>0</v>
      </c>
      <c r="DP5" s="34" t="s">
        <v>32</v>
      </c>
      <c r="DQ5" s="34"/>
      <c r="DR5" s="26" t="s">
        <v>32</v>
      </c>
      <c r="DS5" s="34" t="s">
        <v>32</v>
      </c>
      <c r="DT5" s="32" t="s">
        <v>32</v>
      </c>
      <c r="DU5" s="32"/>
      <c r="DV5" s="34" t="s">
        <v>32</v>
      </c>
      <c r="DW5" s="28" t="s">
        <v>32</v>
      </c>
      <c r="DX5" s="28" t="s">
        <v>32</v>
      </c>
      <c r="DY5" s="82" t="s">
        <v>32</v>
      </c>
      <c r="DZ5" s="34" t="s">
        <v>32</v>
      </c>
      <c r="EA5" s="32" t="s">
        <v>32</v>
      </c>
      <c r="EB5" s="32" t="s">
        <v>32</v>
      </c>
      <c r="EC5" s="29" t="s">
        <v>32</v>
      </c>
      <c r="ED5" s="28" t="s">
        <v>32</v>
      </c>
      <c r="EE5" s="26" t="s">
        <v>32</v>
      </c>
      <c r="EF5" s="34" t="s">
        <v>32</v>
      </c>
      <c r="EG5" s="32" t="s">
        <v>32</v>
      </c>
      <c r="EH5" s="34" t="s">
        <v>32</v>
      </c>
      <c r="EI5" s="33">
        <f>SUM(DP5:EH5)</f>
        <v>0</v>
      </c>
      <c r="EJ5" s="24"/>
      <c r="EK5" s="25" t="s">
        <v>32</v>
      </c>
      <c r="EL5" s="28" t="s">
        <v>32</v>
      </c>
      <c r="EM5" s="75" t="s">
        <v>32</v>
      </c>
      <c r="EN5" s="75" t="s">
        <v>32</v>
      </c>
      <c r="EO5" s="26"/>
      <c r="EP5" s="26"/>
      <c r="EQ5" s="32">
        <f t="shared" si="5"/>
        <v>0</v>
      </c>
      <c r="ER5" s="34" t="s">
        <v>32</v>
      </c>
      <c r="ES5" s="34"/>
      <c r="ET5" s="26" t="s">
        <v>32</v>
      </c>
      <c r="EU5" s="34" t="s">
        <v>32</v>
      </c>
      <c r="EV5" s="32" t="s">
        <v>32</v>
      </c>
      <c r="EW5" s="32"/>
      <c r="EX5" s="34" t="s">
        <v>32</v>
      </c>
      <c r="EY5" s="28" t="s">
        <v>32</v>
      </c>
      <c r="EZ5" s="28" t="s">
        <v>32</v>
      </c>
      <c r="FA5" s="82" t="s">
        <v>32</v>
      </c>
      <c r="FB5" s="34" t="s">
        <v>32</v>
      </c>
      <c r="FC5" s="32" t="s">
        <v>32</v>
      </c>
      <c r="FD5" s="32" t="s">
        <v>32</v>
      </c>
      <c r="FE5" s="29" t="s">
        <v>32</v>
      </c>
      <c r="FF5" s="28" t="s">
        <v>32</v>
      </c>
      <c r="FG5" s="26" t="s">
        <v>32</v>
      </c>
      <c r="FH5" s="34" t="s">
        <v>32</v>
      </c>
      <c r="FI5" s="32" t="s">
        <v>32</v>
      </c>
      <c r="FJ5" s="34" t="s">
        <v>32</v>
      </c>
      <c r="FK5" s="33">
        <f>SUM(ER5:FJ5)</f>
        <v>0</v>
      </c>
      <c r="FL5" s="24"/>
      <c r="FM5" s="25" t="s">
        <v>32</v>
      </c>
      <c r="FN5" s="28" t="s">
        <v>32</v>
      </c>
      <c r="FO5" s="75" t="s">
        <v>32</v>
      </c>
      <c r="FP5" s="75" t="s">
        <v>32</v>
      </c>
      <c r="FQ5" s="26"/>
      <c r="FR5" s="26"/>
      <c r="FS5" s="32">
        <f t="shared" si="6"/>
        <v>0</v>
      </c>
      <c r="FT5" s="34" t="s">
        <v>32</v>
      </c>
      <c r="FU5" s="34"/>
      <c r="FV5" s="26" t="s">
        <v>32</v>
      </c>
      <c r="FW5" s="34" t="s">
        <v>32</v>
      </c>
      <c r="FX5" s="32" t="s">
        <v>32</v>
      </c>
      <c r="FY5" s="32"/>
      <c r="FZ5" s="34" t="s">
        <v>32</v>
      </c>
      <c r="GA5" s="28" t="s">
        <v>32</v>
      </c>
      <c r="GB5" s="28" t="s">
        <v>32</v>
      </c>
      <c r="GC5" s="82" t="s">
        <v>32</v>
      </c>
      <c r="GD5" s="34" t="s">
        <v>32</v>
      </c>
      <c r="GE5" s="32" t="s">
        <v>32</v>
      </c>
      <c r="GF5" s="32" t="s">
        <v>32</v>
      </c>
      <c r="GG5" s="29" t="s">
        <v>32</v>
      </c>
      <c r="GH5" s="28" t="s">
        <v>32</v>
      </c>
      <c r="GI5" s="26" t="s">
        <v>32</v>
      </c>
      <c r="GJ5" s="34" t="s">
        <v>32</v>
      </c>
      <c r="GK5" s="32" t="s">
        <v>32</v>
      </c>
      <c r="GL5" s="34" t="s">
        <v>32</v>
      </c>
      <c r="GM5" s="33">
        <f>SUM(FT5:GL5)</f>
        <v>0</v>
      </c>
      <c r="GN5" s="24"/>
      <c r="GO5" s="25" t="s">
        <v>32</v>
      </c>
      <c r="GP5" s="28" t="s">
        <v>32</v>
      </c>
      <c r="GQ5" s="75" t="s">
        <v>32</v>
      </c>
      <c r="GR5" s="75" t="s">
        <v>32</v>
      </c>
      <c r="GS5" s="26"/>
      <c r="GT5" s="26"/>
      <c r="GU5" s="32">
        <f t="shared" si="7"/>
        <v>0</v>
      </c>
      <c r="GV5" s="34" t="s">
        <v>32</v>
      </c>
      <c r="GW5" s="34"/>
      <c r="GX5" s="26" t="s">
        <v>32</v>
      </c>
      <c r="GY5" s="34" t="s">
        <v>32</v>
      </c>
      <c r="GZ5" s="32" t="s">
        <v>32</v>
      </c>
      <c r="HA5" s="32"/>
      <c r="HB5" s="34" t="s">
        <v>32</v>
      </c>
      <c r="HC5" s="28" t="s">
        <v>32</v>
      </c>
      <c r="HD5" s="28" t="s">
        <v>32</v>
      </c>
      <c r="HE5" s="82" t="s">
        <v>32</v>
      </c>
      <c r="HF5" s="34" t="s">
        <v>32</v>
      </c>
      <c r="HG5" s="32" t="s">
        <v>32</v>
      </c>
      <c r="HH5" s="32" t="s">
        <v>32</v>
      </c>
      <c r="HI5" s="29" t="s">
        <v>32</v>
      </c>
      <c r="HJ5" s="28" t="s">
        <v>32</v>
      </c>
      <c r="HK5" s="26" t="s">
        <v>32</v>
      </c>
      <c r="HL5" s="34" t="s">
        <v>32</v>
      </c>
      <c r="HM5" s="32" t="s">
        <v>32</v>
      </c>
      <c r="HN5" s="34" t="s">
        <v>32</v>
      </c>
      <c r="HO5" s="33">
        <f>SUM(GV5:HN5)</f>
        <v>0</v>
      </c>
      <c r="HP5" s="24"/>
      <c r="HQ5" s="25" t="s">
        <v>32</v>
      </c>
      <c r="HR5" s="28" t="s">
        <v>32</v>
      </c>
      <c r="HS5" s="75" t="s">
        <v>32</v>
      </c>
      <c r="HT5" s="75" t="s">
        <v>32</v>
      </c>
      <c r="HU5" s="26"/>
      <c r="HV5" s="26"/>
      <c r="HW5" s="32">
        <f t="shared" si="8"/>
        <v>0</v>
      </c>
      <c r="HX5" s="34" t="s">
        <v>32</v>
      </c>
      <c r="HY5" s="34"/>
      <c r="HZ5" s="26" t="s">
        <v>32</v>
      </c>
      <c r="IA5" s="34" t="s">
        <v>32</v>
      </c>
      <c r="IB5" s="32" t="s">
        <v>32</v>
      </c>
      <c r="IC5" s="32"/>
      <c r="ID5" s="34" t="s">
        <v>32</v>
      </c>
      <c r="IE5" s="28" t="s">
        <v>32</v>
      </c>
      <c r="IF5" s="28" t="s">
        <v>32</v>
      </c>
      <c r="IG5" s="82" t="s">
        <v>32</v>
      </c>
      <c r="IH5" s="34" t="s">
        <v>32</v>
      </c>
      <c r="II5" s="32" t="s">
        <v>32</v>
      </c>
      <c r="IJ5" s="32" t="s">
        <v>32</v>
      </c>
      <c r="IK5" s="29" t="s">
        <v>32</v>
      </c>
      <c r="IL5" s="28" t="s">
        <v>32</v>
      </c>
      <c r="IM5" s="26" t="s">
        <v>32</v>
      </c>
      <c r="IN5" s="34" t="s">
        <v>32</v>
      </c>
      <c r="IO5" s="32" t="s">
        <v>32</v>
      </c>
      <c r="IP5" s="34" t="s">
        <v>32</v>
      </c>
      <c r="IQ5" s="33">
        <f>SUM(HX5:IP5)</f>
        <v>0</v>
      </c>
      <c r="IR5" s="111"/>
    </row>
    <row r="6" spans="1:252" x14ac:dyDescent="0.3">
      <c r="A6" s="25">
        <v>46116</v>
      </c>
      <c r="B6" s="28">
        <v>3106</v>
      </c>
      <c r="C6" s="75">
        <v>3276</v>
      </c>
      <c r="D6" s="75">
        <v>12</v>
      </c>
      <c r="E6" s="26">
        <v>7123</v>
      </c>
      <c r="F6" s="26">
        <v>287657</v>
      </c>
      <c r="G6" s="32">
        <f t="shared" si="0"/>
        <v>40690</v>
      </c>
      <c r="H6" s="34" t="s">
        <v>32</v>
      </c>
      <c r="I6" s="34"/>
      <c r="J6" s="26" t="s">
        <v>32</v>
      </c>
      <c r="K6" s="34" t="s">
        <v>32</v>
      </c>
      <c r="L6" s="32">
        <v>5000</v>
      </c>
      <c r="M6" s="32"/>
      <c r="N6" s="34">
        <v>15000</v>
      </c>
      <c r="O6" s="28"/>
      <c r="P6" s="28" t="s">
        <v>32</v>
      </c>
      <c r="Q6" s="82">
        <v>690</v>
      </c>
      <c r="R6" s="34" t="s">
        <v>32</v>
      </c>
      <c r="S6" s="32" t="s">
        <v>32</v>
      </c>
      <c r="T6" s="32" t="s">
        <v>32</v>
      </c>
      <c r="U6" s="76">
        <v>20000</v>
      </c>
      <c r="V6" s="28" t="s">
        <v>32</v>
      </c>
      <c r="W6" s="26" t="s">
        <v>32</v>
      </c>
      <c r="X6" s="34" t="s">
        <v>32</v>
      </c>
      <c r="Y6" s="32" t="s">
        <v>32</v>
      </c>
      <c r="Z6" s="34"/>
      <c r="AA6" s="33">
        <f>SUM(H6:Y6)</f>
        <v>40690</v>
      </c>
      <c r="AB6" s="24"/>
      <c r="AC6" s="25">
        <v>46146</v>
      </c>
      <c r="AD6" s="28">
        <v>1950</v>
      </c>
      <c r="AE6" s="75">
        <v>0</v>
      </c>
      <c r="AF6" s="75">
        <v>3</v>
      </c>
      <c r="AG6" s="26">
        <v>576</v>
      </c>
      <c r="AH6" s="26">
        <v>29952</v>
      </c>
      <c r="AI6" s="32">
        <f t="shared" si="1"/>
        <v>62015</v>
      </c>
      <c r="AJ6" s="34">
        <v>24800</v>
      </c>
      <c r="AK6" s="34">
        <v>22500</v>
      </c>
      <c r="AL6" s="26" t="s">
        <v>32</v>
      </c>
      <c r="AM6" s="34" t="s">
        <v>32</v>
      </c>
      <c r="AN6" s="32" t="s">
        <v>32</v>
      </c>
      <c r="AO6" s="32"/>
      <c r="AP6" s="34">
        <v>5000</v>
      </c>
      <c r="AQ6" s="28"/>
      <c r="AR6" s="28" t="s">
        <v>32</v>
      </c>
      <c r="AS6" s="82">
        <v>1715</v>
      </c>
      <c r="AT6" s="34" t="s">
        <v>32</v>
      </c>
      <c r="AU6" s="32" t="s">
        <v>32</v>
      </c>
      <c r="AV6" s="32" t="s">
        <v>32</v>
      </c>
      <c r="AW6" s="76" t="s">
        <v>32</v>
      </c>
      <c r="AX6" s="28" t="s">
        <v>32</v>
      </c>
      <c r="AY6" s="26">
        <v>8000</v>
      </c>
      <c r="AZ6" s="34" t="s">
        <v>68</v>
      </c>
      <c r="BA6" s="32" t="s">
        <v>32</v>
      </c>
      <c r="BB6" s="34"/>
      <c r="BC6" s="33">
        <f>SUM(AJ6:BA6)</f>
        <v>62015</v>
      </c>
      <c r="BD6" s="129"/>
      <c r="BE6" s="25">
        <v>46177</v>
      </c>
      <c r="BF6" s="28">
        <v>1565</v>
      </c>
      <c r="BG6" s="75">
        <v>3644</v>
      </c>
      <c r="BH6" s="75">
        <v>8.5</v>
      </c>
      <c r="BI6" s="26">
        <v>4635</v>
      </c>
      <c r="BJ6" s="26">
        <v>257011</v>
      </c>
      <c r="BK6" s="32">
        <f t="shared" si="2"/>
        <v>246110</v>
      </c>
      <c r="BL6" s="34" t="s">
        <v>32</v>
      </c>
      <c r="BM6" s="34"/>
      <c r="BN6" s="26">
        <v>196600</v>
      </c>
      <c r="BO6" s="34" t="s">
        <v>32</v>
      </c>
      <c r="BP6" s="32" t="s">
        <v>32</v>
      </c>
      <c r="BQ6" s="32">
        <v>32400</v>
      </c>
      <c r="BR6" s="34">
        <v>10000</v>
      </c>
      <c r="BS6" s="28">
        <v>6180</v>
      </c>
      <c r="BT6" s="28" t="s">
        <v>32</v>
      </c>
      <c r="BU6" s="26">
        <v>930</v>
      </c>
      <c r="BV6" s="34" t="s">
        <v>32</v>
      </c>
      <c r="BW6" s="32" t="s">
        <v>32</v>
      </c>
      <c r="BX6" s="32" t="s">
        <v>32</v>
      </c>
      <c r="BY6" s="139" t="s">
        <v>32</v>
      </c>
      <c r="BZ6" s="28" t="s">
        <v>32</v>
      </c>
      <c r="CA6" s="26" t="s">
        <v>32</v>
      </c>
      <c r="CB6" s="34" t="s">
        <v>32</v>
      </c>
      <c r="CC6" s="32" t="s">
        <v>32</v>
      </c>
      <c r="CD6" s="34"/>
      <c r="CE6" s="33">
        <f>SUM(BL6:CC6)</f>
        <v>246110</v>
      </c>
      <c r="CF6" s="24"/>
      <c r="CG6" s="25">
        <v>46207</v>
      </c>
      <c r="CH6" s="28" t="s">
        <v>32</v>
      </c>
      <c r="CI6" s="75" t="s">
        <v>32</v>
      </c>
      <c r="CJ6" s="75" t="s">
        <v>32</v>
      </c>
      <c r="CK6" s="26"/>
      <c r="CL6" s="26"/>
      <c r="CM6" s="32">
        <f t="shared" si="3"/>
        <v>0</v>
      </c>
      <c r="CN6" s="34" t="s">
        <v>32</v>
      </c>
      <c r="CO6" s="34"/>
      <c r="CP6" s="26" t="s">
        <v>32</v>
      </c>
      <c r="CQ6" s="34" t="s">
        <v>32</v>
      </c>
      <c r="CR6" s="32" t="s">
        <v>32</v>
      </c>
      <c r="CS6" s="32"/>
      <c r="CT6" s="34"/>
      <c r="CU6" s="28"/>
      <c r="CV6" s="28" t="s">
        <v>32</v>
      </c>
      <c r="CW6" s="82" t="s">
        <v>32</v>
      </c>
      <c r="CX6" s="34" t="s">
        <v>32</v>
      </c>
      <c r="CY6" s="32" t="s">
        <v>32</v>
      </c>
      <c r="CZ6" s="32" t="s">
        <v>32</v>
      </c>
      <c r="DA6" s="21" t="s">
        <v>32</v>
      </c>
      <c r="DB6" s="28" t="s">
        <v>32</v>
      </c>
      <c r="DC6" s="26" t="s">
        <v>32</v>
      </c>
      <c r="DD6" s="34" t="s">
        <v>32</v>
      </c>
      <c r="DE6" s="32" t="s">
        <v>32</v>
      </c>
      <c r="DF6" s="34"/>
      <c r="DG6" s="33">
        <f>SUM(CN6:DE6)</f>
        <v>0</v>
      </c>
      <c r="DH6" s="24"/>
      <c r="DI6" s="25" t="s">
        <v>32</v>
      </c>
      <c r="DJ6" s="28" t="s">
        <v>32</v>
      </c>
      <c r="DK6" s="75" t="s">
        <v>32</v>
      </c>
      <c r="DL6" s="75" t="s">
        <v>32</v>
      </c>
      <c r="DM6" s="26"/>
      <c r="DN6" s="26"/>
      <c r="DO6" s="32">
        <f t="shared" si="4"/>
        <v>0</v>
      </c>
      <c r="DP6" s="34" t="s">
        <v>32</v>
      </c>
      <c r="DQ6" s="34"/>
      <c r="DR6" s="26" t="s">
        <v>32</v>
      </c>
      <c r="DS6" s="34" t="s">
        <v>32</v>
      </c>
      <c r="DT6" s="32" t="s">
        <v>32</v>
      </c>
      <c r="DU6" s="32"/>
      <c r="DV6" s="34"/>
      <c r="DW6" s="28"/>
      <c r="DX6" s="28" t="s">
        <v>32</v>
      </c>
      <c r="DY6" s="82" t="s">
        <v>32</v>
      </c>
      <c r="DZ6" s="34" t="s">
        <v>32</v>
      </c>
      <c r="EA6" s="32" t="s">
        <v>32</v>
      </c>
      <c r="EB6" s="32" t="s">
        <v>32</v>
      </c>
      <c r="EC6" s="21" t="s">
        <v>32</v>
      </c>
      <c r="ED6" s="28" t="s">
        <v>32</v>
      </c>
      <c r="EE6" s="26" t="s">
        <v>32</v>
      </c>
      <c r="EF6" s="34" t="s">
        <v>32</v>
      </c>
      <c r="EG6" s="32" t="s">
        <v>32</v>
      </c>
      <c r="EH6" s="34"/>
      <c r="EI6" s="33">
        <f>SUM(DP6:EG6)</f>
        <v>0</v>
      </c>
      <c r="EJ6" s="24"/>
      <c r="EK6" s="25" t="s">
        <v>32</v>
      </c>
      <c r="EL6" s="28" t="s">
        <v>32</v>
      </c>
      <c r="EM6" s="75" t="s">
        <v>32</v>
      </c>
      <c r="EN6" s="75" t="s">
        <v>32</v>
      </c>
      <c r="EO6" s="26"/>
      <c r="EP6" s="26"/>
      <c r="EQ6" s="32">
        <f t="shared" si="5"/>
        <v>0</v>
      </c>
      <c r="ER6" s="34" t="s">
        <v>32</v>
      </c>
      <c r="ES6" s="34"/>
      <c r="ET6" s="26" t="s">
        <v>32</v>
      </c>
      <c r="EU6" s="34" t="s">
        <v>32</v>
      </c>
      <c r="EV6" s="32" t="s">
        <v>32</v>
      </c>
      <c r="EW6" s="32"/>
      <c r="EX6" s="34"/>
      <c r="EY6" s="28"/>
      <c r="EZ6" s="28" t="s">
        <v>32</v>
      </c>
      <c r="FA6" s="82" t="s">
        <v>32</v>
      </c>
      <c r="FB6" s="34" t="s">
        <v>32</v>
      </c>
      <c r="FC6" s="32" t="s">
        <v>32</v>
      </c>
      <c r="FD6" s="32" t="s">
        <v>32</v>
      </c>
      <c r="FE6" s="21" t="s">
        <v>32</v>
      </c>
      <c r="FF6" s="28" t="s">
        <v>32</v>
      </c>
      <c r="FG6" s="26" t="s">
        <v>32</v>
      </c>
      <c r="FH6" s="34" t="s">
        <v>32</v>
      </c>
      <c r="FI6" s="32" t="s">
        <v>32</v>
      </c>
      <c r="FJ6" s="34"/>
      <c r="FK6" s="33">
        <f>SUM(ER6:FI6)</f>
        <v>0</v>
      </c>
      <c r="FL6" s="24"/>
      <c r="FM6" s="25" t="s">
        <v>32</v>
      </c>
      <c r="FN6" s="28" t="s">
        <v>32</v>
      </c>
      <c r="FO6" s="75" t="s">
        <v>32</v>
      </c>
      <c r="FP6" s="75" t="s">
        <v>32</v>
      </c>
      <c r="FQ6" s="26"/>
      <c r="FR6" s="26"/>
      <c r="FS6" s="32">
        <f t="shared" si="6"/>
        <v>0</v>
      </c>
      <c r="FT6" s="34" t="s">
        <v>32</v>
      </c>
      <c r="FU6" s="34"/>
      <c r="FV6" s="26" t="s">
        <v>32</v>
      </c>
      <c r="FW6" s="34" t="s">
        <v>32</v>
      </c>
      <c r="FX6" s="32" t="s">
        <v>32</v>
      </c>
      <c r="FY6" s="32"/>
      <c r="FZ6" s="34"/>
      <c r="GA6" s="28"/>
      <c r="GB6" s="28" t="s">
        <v>32</v>
      </c>
      <c r="GC6" s="82" t="s">
        <v>32</v>
      </c>
      <c r="GD6" s="34" t="s">
        <v>32</v>
      </c>
      <c r="GE6" s="32" t="s">
        <v>32</v>
      </c>
      <c r="GF6" s="32" t="s">
        <v>32</v>
      </c>
      <c r="GG6" s="21" t="s">
        <v>32</v>
      </c>
      <c r="GH6" s="28" t="s">
        <v>32</v>
      </c>
      <c r="GI6" s="26" t="s">
        <v>32</v>
      </c>
      <c r="GJ6" s="34" t="s">
        <v>32</v>
      </c>
      <c r="GK6" s="32" t="s">
        <v>32</v>
      </c>
      <c r="GL6" s="34"/>
      <c r="GM6" s="33">
        <f>SUM(FT6:GK6)</f>
        <v>0</v>
      </c>
      <c r="GN6" s="24"/>
      <c r="GO6" s="25" t="s">
        <v>32</v>
      </c>
      <c r="GP6" s="28" t="s">
        <v>32</v>
      </c>
      <c r="GQ6" s="75" t="s">
        <v>32</v>
      </c>
      <c r="GR6" s="75" t="s">
        <v>32</v>
      </c>
      <c r="GS6" s="26"/>
      <c r="GT6" s="26"/>
      <c r="GU6" s="32">
        <f t="shared" si="7"/>
        <v>0</v>
      </c>
      <c r="GV6" s="34" t="s">
        <v>32</v>
      </c>
      <c r="GW6" s="34"/>
      <c r="GX6" s="26" t="s">
        <v>32</v>
      </c>
      <c r="GY6" s="34" t="s">
        <v>32</v>
      </c>
      <c r="GZ6" s="32" t="s">
        <v>32</v>
      </c>
      <c r="HA6" s="32"/>
      <c r="HB6" s="34"/>
      <c r="HC6" s="28"/>
      <c r="HD6" s="28" t="s">
        <v>32</v>
      </c>
      <c r="HE6" s="82" t="s">
        <v>32</v>
      </c>
      <c r="HF6" s="34" t="s">
        <v>32</v>
      </c>
      <c r="HG6" s="32" t="s">
        <v>32</v>
      </c>
      <c r="HH6" s="32" t="s">
        <v>32</v>
      </c>
      <c r="HI6" s="21" t="s">
        <v>32</v>
      </c>
      <c r="HJ6" s="28" t="s">
        <v>32</v>
      </c>
      <c r="HK6" s="26" t="s">
        <v>32</v>
      </c>
      <c r="HL6" s="34" t="s">
        <v>32</v>
      </c>
      <c r="HM6" s="32" t="s">
        <v>32</v>
      </c>
      <c r="HN6" s="34"/>
      <c r="HO6" s="33">
        <f>SUM(GV6:HM6)</f>
        <v>0</v>
      </c>
      <c r="HP6" s="24"/>
      <c r="HQ6" s="25" t="s">
        <v>32</v>
      </c>
      <c r="HR6" s="28" t="s">
        <v>32</v>
      </c>
      <c r="HS6" s="75" t="s">
        <v>32</v>
      </c>
      <c r="HT6" s="75" t="s">
        <v>32</v>
      </c>
      <c r="HU6" s="26"/>
      <c r="HV6" s="26"/>
      <c r="HW6" s="32">
        <f t="shared" si="8"/>
        <v>0</v>
      </c>
      <c r="HX6" s="34" t="s">
        <v>32</v>
      </c>
      <c r="HY6" s="34"/>
      <c r="HZ6" s="26" t="s">
        <v>32</v>
      </c>
      <c r="IA6" s="34" t="s">
        <v>32</v>
      </c>
      <c r="IB6" s="32" t="s">
        <v>32</v>
      </c>
      <c r="IC6" s="32"/>
      <c r="ID6" s="34"/>
      <c r="IE6" s="28"/>
      <c r="IF6" s="28" t="s">
        <v>32</v>
      </c>
      <c r="IG6" s="82" t="s">
        <v>32</v>
      </c>
      <c r="IH6" s="34" t="s">
        <v>32</v>
      </c>
      <c r="II6" s="32" t="s">
        <v>32</v>
      </c>
      <c r="IJ6" s="32" t="s">
        <v>32</v>
      </c>
      <c r="IK6" s="21" t="s">
        <v>32</v>
      </c>
      <c r="IL6" s="28" t="s">
        <v>32</v>
      </c>
      <c r="IM6" s="26" t="s">
        <v>32</v>
      </c>
      <c r="IN6" s="34" t="s">
        <v>32</v>
      </c>
      <c r="IO6" s="32" t="s">
        <v>32</v>
      </c>
      <c r="IP6" s="34"/>
      <c r="IQ6" s="33">
        <f>SUM(HX6:IO6)</f>
        <v>0</v>
      </c>
      <c r="IR6" s="111"/>
    </row>
    <row r="7" spans="1:252" x14ac:dyDescent="0.3">
      <c r="A7" s="25">
        <v>46117</v>
      </c>
      <c r="B7" s="28">
        <v>3159</v>
      </c>
      <c r="C7" s="75">
        <v>3567</v>
      </c>
      <c r="D7" s="75">
        <v>11</v>
      </c>
      <c r="E7" s="26">
        <v>0</v>
      </c>
      <c r="F7" s="26">
        <v>0</v>
      </c>
      <c r="G7" s="32">
        <f t="shared" si="0"/>
        <v>0</v>
      </c>
      <c r="H7" s="34" t="s">
        <v>32</v>
      </c>
      <c r="I7" s="34"/>
      <c r="J7" s="26" t="s">
        <v>32</v>
      </c>
      <c r="K7" s="34" t="s">
        <v>32</v>
      </c>
      <c r="L7" s="32" t="s">
        <v>32</v>
      </c>
      <c r="M7" s="32" t="s">
        <v>32</v>
      </c>
      <c r="N7" s="34" t="s">
        <v>32</v>
      </c>
      <c r="O7" s="28" t="s">
        <v>32</v>
      </c>
      <c r="P7" s="28" t="s">
        <v>32</v>
      </c>
      <c r="Q7" s="82" t="s">
        <v>32</v>
      </c>
      <c r="R7" s="34" t="s">
        <v>32</v>
      </c>
      <c r="S7" s="32" t="s">
        <v>32</v>
      </c>
      <c r="T7" s="32" t="s">
        <v>33</v>
      </c>
      <c r="U7" s="75" t="s">
        <v>32</v>
      </c>
      <c r="V7" s="28" t="s">
        <v>32</v>
      </c>
      <c r="W7" s="26" t="s">
        <v>32</v>
      </c>
      <c r="X7" s="34" t="s">
        <v>32</v>
      </c>
      <c r="Y7" s="32" t="s">
        <v>32</v>
      </c>
      <c r="Z7" s="34" t="s">
        <v>32</v>
      </c>
      <c r="AA7" s="33">
        <f>SUM(H7:Z7)</f>
        <v>0</v>
      </c>
      <c r="AB7" s="24"/>
      <c r="AC7" s="25">
        <v>46147</v>
      </c>
      <c r="AD7" s="28">
        <v>2773</v>
      </c>
      <c r="AE7" s="75">
        <v>0</v>
      </c>
      <c r="AF7" s="75">
        <v>2.75</v>
      </c>
      <c r="AG7" s="26">
        <v>1643</v>
      </c>
      <c r="AH7" s="26">
        <v>84200</v>
      </c>
      <c r="AI7" s="32">
        <f t="shared" si="1"/>
        <v>203594</v>
      </c>
      <c r="AJ7" s="34">
        <v>41787</v>
      </c>
      <c r="AK7" s="34">
        <v>33347</v>
      </c>
      <c r="AL7" s="26">
        <v>78000</v>
      </c>
      <c r="AM7" s="34">
        <v>25000</v>
      </c>
      <c r="AN7" s="32" t="s">
        <v>32</v>
      </c>
      <c r="AO7" s="32" t="s">
        <v>32</v>
      </c>
      <c r="AP7" s="34">
        <v>25000</v>
      </c>
      <c r="AQ7" s="28" t="s">
        <v>32</v>
      </c>
      <c r="AR7" s="28" t="s">
        <v>32</v>
      </c>
      <c r="AS7" s="82">
        <v>460</v>
      </c>
      <c r="AT7" s="34" t="s">
        <v>32</v>
      </c>
      <c r="AU7" s="32" t="s">
        <v>32</v>
      </c>
      <c r="AV7" s="32" t="s">
        <v>33</v>
      </c>
      <c r="AW7" s="75" t="s">
        <v>32</v>
      </c>
      <c r="AX7" s="28" t="s">
        <v>32</v>
      </c>
      <c r="AY7" s="26" t="s">
        <v>32</v>
      </c>
      <c r="AZ7" s="34" t="s">
        <v>32</v>
      </c>
      <c r="BA7" s="32" t="s">
        <v>32</v>
      </c>
      <c r="BB7" s="34" t="s">
        <v>32</v>
      </c>
      <c r="BC7" s="33">
        <f>SUM(AJ7:BB7)</f>
        <v>203594</v>
      </c>
      <c r="BD7" s="129"/>
      <c r="BE7" s="25">
        <v>46178</v>
      </c>
      <c r="BF7" s="28">
        <v>2193</v>
      </c>
      <c r="BG7" s="75">
        <v>958</v>
      </c>
      <c r="BH7" s="75">
        <v>1.5</v>
      </c>
      <c r="BI7" s="26">
        <v>0</v>
      </c>
      <c r="BJ7" s="26">
        <v>0</v>
      </c>
      <c r="BK7" s="32">
        <f t="shared" si="2"/>
        <v>0</v>
      </c>
      <c r="BL7" s="34" t="s">
        <v>32</v>
      </c>
      <c r="BM7" s="34"/>
      <c r="BN7" s="26" t="s">
        <v>32</v>
      </c>
      <c r="BO7" s="34" t="s">
        <v>32</v>
      </c>
      <c r="BP7" s="32" t="s">
        <v>32</v>
      </c>
      <c r="BQ7" s="32" t="s">
        <v>32</v>
      </c>
      <c r="BR7" s="34" t="s">
        <v>32</v>
      </c>
      <c r="BS7" s="28" t="s">
        <v>32</v>
      </c>
      <c r="BT7" s="28" t="s">
        <v>32</v>
      </c>
      <c r="BU7" s="26" t="s">
        <v>32</v>
      </c>
      <c r="BV7" s="34" t="s">
        <v>32</v>
      </c>
      <c r="BW7" s="32" t="s">
        <v>32</v>
      </c>
      <c r="BX7" s="32" t="s">
        <v>33</v>
      </c>
      <c r="BY7" s="82" t="s">
        <v>32</v>
      </c>
      <c r="BZ7" s="28" t="s">
        <v>32</v>
      </c>
      <c r="CA7" s="26" t="s">
        <v>32</v>
      </c>
      <c r="CB7" s="34" t="s">
        <v>32</v>
      </c>
      <c r="CC7" s="32" t="s">
        <v>32</v>
      </c>
      <c r="CD7" s="34" t="s">
        <v>32</v>
      </c>
      <c r="CE7" s="33">
        <f>SUM(BL7:CD7)</f>
        <v>0</v>
      </c>
      <c r="CF7" s="24"/>
      <c r="CG7" s="25">
        <v>46208</v>
      </c>
      <c r="CH7" s="28" t="s">
        <v>32</v>
      </c>
      <c r="CI7" s="75" t="s">
        <v>32</v>
      </c>
      <c r="CJ7" s="75" t="s">
        <v>32</v>
      </c>
      <c r="CK7" s="26" t="s">
        <v>32</v>
      </c>
      <c r="CL7" s="26" t="s">
        <v>32</v>
      </c>
      <c r="CM7" s="32">
        <f t="shared" si="3"/>
        <v>0</v>
      </c>
      <c r="CN7" s="34" t="s">
        <v>32</v>
      </c>
      <c r="CO7" s="34"/>
      <c r="CP7" s="26" t="s">
        <v>32</v>
      </c>
      <c r="CQ7" s="34" t="s">
        <v>32</v>
      </c>
      <c r="CR7" s="32" t="s">
        <v>32</v>
      </c>
      <c r="CS7" s="32" t="s">
        <v>32</v>
      </c>
      <c r="CT7" s="34" t="s">
        <v>32</v>
      </c>
      <c r="CU7" s="28" t="s">
        <v>32</v>
      </c>
      <c r="CV7" s="28" t="s">
        <v>32</v>
      </c>
      <c r="CW7" s="82" t="s">
        <v>32</v>
      </c>
      <c r="CX7" s="34" t="s">
        <v>32</v>
      </c>
      <c r="CY7" s="32" t="s">
        <v>32</v>
      </c>
      <c r="CZ7" s="32" t="s">
        <v>33</v>
      </c>
      <c r="DA7" s="29" t="s">
        <v>32</v>
      </c>
      <c r="DB7" s="28" t="s">
        <v>32</v>
      </c>
      <c r="DC7" s="26" t="s">
        <v>32</v>
      </c>
      <c r="DD7" s="34" t="s">
        <v>32</v>
      </c>
      <c r="DE7" s="32" t="s">
        <v>32</v>
      </c>
      <c r="DF7" s="34" t="s">
        <v>32</v>
      </c>
      <c r="DG7" s="33">
        <f>SUM(CN7:DF7)</f>
        <v>0</v>
      </c>
      <c r="DH7" s="24"/>
      <c r="DI7" s="25" t="s">
        <v>32</v>
      </c>
      <c r="DJ7" s="28" t="s">
        <v>32</v>
      </c>
      <c r="DK7" s="75" t="s">
        <v>32</v>
      </c>
      <c r="DL7" s="75" t="s">
        <v>32</v>
      </c>
      <c r="DM7" s="26" t="s">
        <v>32</v>
      </c>
      <c r="DN7" s="26" t="s">
        <v>32</v>
      </c>
      <c r="DO7" s="32">
        <f t="shared" si="4"/>
        <v>0</v>
      </c>
      <c r="DP7" s="34" t="s">
        <v>32</v>
      </c>
      <c r="DQ7" s="34"/>
      <c r="DR7" s="26" t="s">
        <v>32</v>
      </c>
      <c r="DS7" s="34" t="s">
        <v>32</v>
      </c>
      <c r="DT7" s="32" t="s">
        <v>32</v>
      </c>
      <c r="DU7" s="32" t="s">
        <v>32</v>
      </c>
      <c r="DV7" s="34" t="s">
        <v>32</v>
      </c>
      <c r="DW7" s="28" t="s">
        <v>32</v>
      </c>
      <c r="DX7" s="28" t="s">
        <v>32</v>
      </c>
      <c r="DY7" s="82" t="s">
        <v>32</v>
      </c>
      <c r="DZ7" s="34" t="s">
        <v>32</v>
      </c>
      <c r="EA7" s="32" t="s">
        <v>32</v>
      </c>
      <c r="EB7" s="32" t="s">
        <v>33</v>
      </c>
      <c r="EC7" s="29" t="s">
        <v>32</v>
      </c>
      <c r="ED7" s="28" t="s">
        <v>32</v>
      </c>
      <c r="EE7" s="26" t="s">
        <v>32</v>
      </c>
      <c r="EF7" s="34" t="s">
        <v>32</v>
      </c>
      <c r="EG7" s="32" t="s">
        <v>32</v>
      </c>
      <c r="EH7" s="34" t="s">
        <v>32</v>
      </c>
      <c r="EI7" s="33">
        <f>SUM(DP7:EH7)</f>
        <v>0</v>
      </c>
      <c r="EJ7" s="24"/>
      <c r="EK7" s="25" t="s">
        <v>32</v>
      </c>
      <c r="EL7" s="28" t="s">
        <v>32</v>
      </c>
      <c r="EM7" s="75" t="s">
        <v>32</v>
      </c>
      <c r="EN7" s="75" t="s">
        <v>32</v>
      </c>
      <c r="EO7" s="26" t="s">
        <v>32</v>
      </c>
      <c r="EP7" s="26" t="s">
        <v>32</v>
      </c>
      <c r="EQ7" s="32">
        <f t="shared" si="5"/>
        <v>0</v>
      </c>
      <c r="ER7" s="34" t="s">
        <v>32</v>
      </c>
      <c r="ES7" s="34"/>
      <c r="ET7" s="26" t="s">
        <v>32</v>
      </c>
      <c r="EU7" s="34" t="s">
        <v>32</v>
      </c>
      <c r="EV7" s="32" t="s">
        <v>32</v>
      </c>
      <c r="EW7" s="32" t="s">
        <v>32</v>
      </c>
      <c r="EX7" s="34" t="s">
        <v>32</v>
      </c>
      <c r="EY7" s="28" t="s">
        <v>32</v>
      </c>
      <c r="EZ7" s="28" t="s">
        <v>32</v>
      </c>
      <c r="FA7" s="82" t="s">
        <v>32</v>
      </c>
      <c r="FB7" s="34" t="s">
        <v>32</v>
      </c>
      <c r="FC7" s="32" t="s">
        <v>32</v>
      </c>
      <c r="FD7" s="32" t="s">
        <v>33</v>
      </c>
      <c r="FE7" s="29" t="s">
        <v>32</v>
      </c>
      <c r="FF7" s="28" t="s">
        <v>32</v>
      </c>
      <c r="FG7" s="26" t="s">
        <v>32</v>
      </c>
      <c r="FH7" s="34" t="s">
        <v>32</v>
      </c>
      <c r="FI7" s="32" t="s">
        <v>32</v>
      </c>
      <c r="FJ7" s="34" t="s">
        <v>32</v>
      </c>
      <c r="FK7" s="33">
        <f>SUM(ER7:FJ7)</f>
        <v>0</v>
      </c>
      <c r="FL7" s="24"/>
      <c r="FM7" s="25" t="s">
        <v>32</v>
      </c>
      <c r="FN7" s="28" t="s">
        <v>32</v>
      </c>
      <c r="FO7" s="75" t="s">
        <v>32</v>
      </c>
      <c r="FP7" s="75" t="s">
        <v>32</v>
      </c>
      <c r="FQ7" s="26" t="s">
        <v>32</v>
      </c>
      <c r="FR7" s="26" t="s">
        <v>32</v>
      </c>
      <c r="FS7" s="32">
        <f t="shared" si="6"/>
        <v>0</v>
      </c>
      <c r="FT7" s="34" t="s">
        <v>32</v>
      </c>
      <c r="FU7" s="34"/>
      <c r="FV7" s="26" t="s">
        <v>32</v>
      </c>
      <c r="FW7" s="34" t="s">
        <v>32</v>
      </c>
      <c r="FX7" s="32" t="s">
        <v>32</v>
      </c>
      <c r="FY7" s="32" t="s">
        <v>32</v>
      </c>
      <c r="FZ7" s="34" t="s">
        <v>32</v>
      </c>
      <c r="GA7" s="28" t="s">
        <v>32</v>
      </c>
      <c r="GB7" s="28" t="s">
        <v>32</v>
      </c>
      <c r="GC7" s="82" t="s">
        <v>32</v>
      </c>
      <c r="GD7" s="34" t="s">
        <v>32</v>
      </c>
      <c r="GE7" s="32" t="s">
        <v>32</v>
      </c>
      <c r="GF7" s="32" t="s">
        <v>33</v>
      </c>
      <c r="GG7" s="29" t="s">
        <v>32</v>
      </c>
      <c r="GH7" s="28" t="s">
        <v>32</v>
      </c>
      <c r="GI7" s="26" t="s">
        <v>32</v>
      </c>
      <c r="GJ7" s="34" t="s">
        <v>32</v>
      </c>
      <c r="GK7" s="32" t="s">
        <v>32</v>
      </c>
      <c r="GL7" s="34" t="s">
        <v>32</v>
      </c>
      <c r="GM7" s="33">
        <f>SUM(FT7:GL7)</f>
        <v>0</v>
      </c>
      <c r="GN7" s="24"/>
      <c r="GO7" s="25" t="s">
        <v>32</v>
      </c>
      <c r="GP7" s="28" t="s">
        <v>32</v>
      </c>
      <c r="GQ7" s="75" t="s">
        <v>32</v>
      </c>
      <c r="GR7" s="75" t="s">
        <v>32</v>
      </c>
      <c r="GS7" s="26" t="s">
        <v>32</v>
      </c>
      <c r="GT7" s="26" t="s">
        <v>32</v>
      </c>
      <c r="GU7" s="32">
        <f t="shared" si="7"/>
        <v>0</v>
      </c>
      <c r="GV7" s="34" t="s">
        <v>32</v>
      </c>
      <c r="GW7" s="34"/>
      <c r="GX7" s="26" t="s">
        <v>32</v>
      </c>
      <c r="GY7" s="34" t="s">
        <v>32</v>
      </c>
      <c r="GZ7" s="32" t="s">
        <v>32</v>
      </c>
      <c r="HA7" s="32" t="s">
        <v>32</v>
      </c>
      <c r="HB7" s="34" t="s">
        <v>32</v>
      </c>
      <c r="HC7" s="28" t="s">
        <v>32</v>
      </c>
      <c r="HD7" s="28" t="s">
        <v>32</v>
      </c>
      <c r="HE7" s="82" t="s">
        <v>32</v>
      </c>
      <c r="HF7" s="34" t="s">
        <v>32</v>
      </c>
      <c r="HG7" s="32" t="s">
        <v>32</v>
      </c>
      <c r="HH7" s="32" t="s">
        <v>33</v>
      </c>
      <c r="HI7" s="29" t="s">
        <v>32</v>
      </c>
      <c r="HJ7" s="28" t="s">
        <v>32</v>
      </c>
      <c r="HK7" s="26" t="s">
        <v>32</v>
      </c>
      <c r="HL7" s="34" t="s">
        <v>32</v>
      </c>
      <c r="HM7" s="32" t="s">
        <v>32</v>
      </c>
      <c r="HN7" s="34" t="s">
        <v>32</v>
      </c>
      <c r="HO7" s="33">
        <f>SUM(GV7:HN7)</f>
        <v>0</v>
      </c>
      <c r="HP7" s="24"/>
      <c r="HQ7" s="25" t="s">
        <v>32</v>
      </c>
      <c r="HR7" s="28" t="s">
        <v>32</v>
      </c>
      <c r="HS7" s="75" t="s">
        <v>32</v>
      </c>
      <c r="HT7" s="75" t="s">
        <v>32</v>
      </c>
      <c r="HU7" s="26" t="s">
        <v>32</v>
      </c>
      <c r="HV7" s="26" t="s">
        <v>32</v>
      </c>
      <c r="HW7" s="32">
        <f t="shared" si="8"/>
        <v>0</v>
      </c>
      <c r="HX7" s="34" t="s">
        <v>32</v>
      </c>
      <c r="HY7" s="34"/>
      <c r="HZ7" s="26" t="s">
        <v>32</v>
      </c>
      <c r="IA7" s="34" t="s">
        <v>32</v>
      </c>
      <c r="IB7" s="32" t="s">
        <v>32</v>
      </c>
      <c r="IC7" s="32" t="s">
        <v>32</v>
      </c>
      <c r="ID7" s="34" t="s">
        <v>32</v>
      </c>
      <c r="IE7" s="28" t="s">
        <v>32</v>
      </c>
      <c r="IF7" s="28" t="s">
        <v>32</v>
      </c>
      <c r="IG7" s="82" t="s">
        <v>32</v>
      </c>
      <c r="IH7" s="34" t="s">
        <v>32</v>
      </c>
      <c r="II7" s="32" t="s">
        <v>32</v>
      </c>
      <c r="IJ7" s="32" t="s">
        <v>33</v>
      </c>
      <c r="IK7" s="29" t="s">
        <v>32</v>
      </c>
      <c r="IL7" s="28" t="s">
        <v>32</v>
      </c>
      <c r="IM7" s="26" t="s">
        <v>32</v>
      </c>
      <c r="IN7" s="34" t="s">
        <v>32</v>
      </c>
      <c r="IO7" s="32" t="s">
        <v>32</v>
      </c>
      <c r="IP7" s="34" t="s">
        <v>32</v>
      </c>
      <c r="IQ7" s="33">
        <f>SUM(HX7:IP7)</f>
        <v>0</v>
      </c>
      <c r="IR7" s="111"/>
    </row>
    <row r="8" spans="1:252" x14ac:dyDescent="0.3">
      <c r="A8" s="25">
        <v>46118</v>
      </c>
      <c r="B8" s="28">
        <v>3570</v>
      </c>
      <c r="C8" s="75">
        <v>2573</v>
      </c>
      <c r="D8" s="75">
        <v>9.25</v>
      </c>
      <c r="E8" s="26">
        <v>1592</v>
      </c>
      <c r="F8" s="26">
        <v>62200</v>
      </c>
      <c r="G8" s="32">
        <f t="shared" si="0"/>
        <v>700124</v>
      </c>
      <c r="H8" s="34">
        <v>69365</v>
      </c>
      <c r="I8" s="34">
        <v>46735</v>
      </c>
      <c r="J8" s="26">
        <v>262700</v>
      </c>
      <c r="K8" s="34" t="s">
        <v>32</v>
      </c>
      <c r="L8" s="32" t="s">
        <v>32</v>
      </c>
      <c r="M8" s="32">
        <v>17000</v>
      </c>
      <c r="N8" s="34">
        <v>14300</v>
      </c>
      <c r="O8" s="28" t="s">
        <v>32</v>
      </c>
      <c r="P8" s="28" t="s">
        <v>32</v>
      </c>
      <c r="Q8" s="82">
        <v>3330</v>
      </c>
      <c r="R8" s="34" t="s">
        <v>32</v>
      </c>
      <c r="S8" s="32">
        <v>263694</v>
      </c>
      <c r="T8" s="32" t="s">
        <v>182</v>
      </c>
      <c r="U8" s="75">
        <v>3000</v>
      </c>
      <c r="V8" s="28"/>
      <c r="W8" s="26" t="s">
        <v>32</v>
      </c>
      <c r="X8" s="34" t="s">
        <v>32</v>
      </c>
      <c r="Y8" s="32">
        <v>20000</v>
      </c>
      <c r="Z8" s="34"/>
      <c r="AA8" s="33">
        <f t="shared" ref="AA8:AA15" si="9">SUM(H8:Y8)</f>
        <v>700124</v>
      </c>
      <c r="AB8" s="24"/>
      <c r="AC8" s="25">
        <v>46148</v>
      </c>
      <c r="AD8" s="28">
        <v>3390</v>
      </c>
      <c r="AE8" s="75">
        <v>2174</v>
      </c>
      <c r="AF8" s="75">
        <v>4.25</v>
      </c>
      <c r="AG8" s="26">
        <v>0</v>
      </c>
      <c r="AH8" s="26">
        <v>0</v>
      </c>
      <c r="AI8" s="32">
        <f t="shared" si="1"/>
        <v>0</v>
      </c>
      <c r="AJ8" s="34" t="s">
        <v>32</v>
      </c>
      <c r="AK8" s="34"/>
      <c r="AL8" s="26" t="s">
        <v>32</v>
      </c>
      <c r="AM8" s="34" t="s">
        <v>32</v>
      </c>
      <c r="AN8" s="32" t="s">
        <v>32</v>
      </c>
      <c r="AO8" s="32"/>
      <c r="AP8" s="34" t="s">
        <v>32</v>
      </c>
      <c r="AQ8" s="28" t="s">
        <v>32</v>
      </c>
      <c r="AR8" s="28" t="s">
        <v>32</v>
      </c>
      <c r="AS8" s="82" t="s">
        <v>32</v>
      </c>
      <c r="AT8" s="34" t="s">
        <v>32</v>
      </c>
      <c r="AU8" s="32" t="s">
        <v>32</v>
      </c>
      <c r="AV8" s="32" t="s">
        <v>32</v>
      </c>
      <c r="AW8" s="75" t="s">
        <v>32</v>
      </c>
      <c r="AX8" s="28"/>
      <c r="AY8" s="26" t="s">
        <v>32</v>
      </c>
      <c r="AZ8" s="34" t="s">
        <v>32</v>
      </c>
      <c r="BA8" s="32" t="s">
        <v>32</v>
      </c>
      <c r="BB8" s="34"/>
      <c r="BC8" s="33">
        <f t="shared" ref="BC8:BC16" si="10">SUM(AJ8:BA8)</f>
        <v>0</v>
      </c>
      <c r="BD8" s="129"/>
      <c r="BE8" s="25">
        <v>46179</v>
      </c>
      <c r="BF8" s="28">
        <v>2421</v>
      </c>
      <c r="BG8" s="75">
        <v>4386</v>
      </c>
      <c r="BH8" s="75">
        <v>9.5</v>
      </c>
      <c r="BI8" s="26">
        <v>15863</v>
      </c>
      <c r="BJ8" s="26">
        <v>728618</v>
      </c>
      <c r="BK8" s="32">
        <f t="shared" si="2"/>
        <v>301650</v>
      </c>
      <c r="BL8" s="34">
        <v>82487</v>
      </c>
      <c r="BM8" s="34">
        <v>48663</v>
      </c>
      <c r="BN8" s="26">
        <v>169500</v>
      </c>
      <c r="BO8" s="34" t="s">
        <v>32</v>
      </c>
      <c r="BP8" s="32" t="s">
        <v>32</v>
      </c>
      <c r="BQ8" s="32"/>
      <c r="BR8" s="34" t="s">
        <v>32</v>
      </c>
      <c r="BS8" s="28" t="s">
        <v>32</v>
      </c>
      <c r="BT8" s="28" t="s">
        <v>32</v>
      </c>
      <c r="BU8" s="26">
        <v>1000</v>
      </c>
      <c r="BV8" s="34" t="s">
        <v>32</v>
      </c>
      <c r="BW8" s="32" t="s">
        <v>32</v>
      </c>
      <c r="BX8" s="32" t="s">
        <v>32</v>
      </c>
      <c r="BY8" s="82" t="s">
        <v>32</v>
      </c>
      <c r="BZ8" s="28"/>
      <c r="CA8" s="26" t="s">
        <v>32</v>
      </c>
      <c r="CB8" s="34" t="s">
        <v>32</v>
      </c>
      <c r="CC8" s="32" t="s">
        <v>32</v>
      </c>
      <c r="CD8" s="34"/>
      <c r="CE8" s="33">
        <f t="shared" ref="CE8:CE15" si="11">SUM(BL8:CC8)</f>
        <v>301650</v>
      </c>
      <c r="CF8" s="24"/>
      <c r="CG8" s="25">
        <v>46209</v>
      </c>
      <c r="CH8" s="28" t="s">
        <v>32</v>
      </c>
      <c r="CI8" s="75" t="s">
        <v>32</v>
      </c>
      <c r="CJ8" s="75" t="s">
        <v>32</v>
      </c>
      <c r="CK8" s="26"/>
      <c r="CL8" s="26"/>
      <c r="CM8" s="32">
        <f t="shared" si="3"/>
        <v>0</v>
      </c>
      <c r="CN8" s="34" t="s">
        <v>32</v>
      </c>
      <c r="CO8" s="34"/>
      <c r="CP8" s="26" t="s">
        <v>32</v>
      </c>
      <c r="CQ8" s="34" t="s">
        <v>32</v>
      </c>
      <c r="CR8" s="32" t="s">
        <v>32</v>
      </c>
      <c r="CS8" s="32"/>
      <c r="CT8" s="34" t="s">
        <v>32</v>
      </c>
      <c r="CU8" s="28" t="s">
        <v>32</v>
      </c>
      <c r="CV8" s="28" t="s">
        <v>32</v>
      </c>
      <c r="CW8" s="82" t="s">
        <v>32</v>
      </c>
      <c r="CX8" s="34" t="s">
        <v>32</v>
      </c>
      <c r="CY8" s="32" t="s">
        <v>32</v>
      </c>
      <c r="CZ8" s="32" t="s">
        <v>32</v>
      </c>
      <c r="DA8" s="29" t="s">
        <v>32</v>
      </c>
      <c r="DB8" s="28"/>
      <c r="DC8" s="26" t="s">
        <v>32</v>
      </c>
      <c r="DD8" s="34" t="s">
        <v>32</v>
      </c>
      <c r="DE8" s="32" t="s">
        <v>32</v>
      </c>
      <c r="DF8" s="34"/>
      <c r="DG8" s="33">
        <f t="shared" ref="DG8:DG15" si="12">SUM(CN8:DE8)</f>
        <v>0</v>
      </c>
      <c r="DH8" s="24"/>
      <c r="DI8" s="25" t="s">
        <v>32</v>
      </c>
      <c r="DJ8" s="28" t="s">
        <v>32</v>
      </c>
      <c r="DK8" s="75" t="s">
        <v>32</v>
      </c>
      <c r="DL8" s="75" t="s">
        <v>32</v>
      </c>
      <c r="DM8" s="26"/>
      <c r="DN8" s="26"/>
      <c r="DO8" s="32">
        <f t="shared" si="4"/>
        <v>0</v>
      </c>
      <c r="DP8" s="34" t="s">
        <v>32</v>
      </c>
      <c r="DQ8" s="34"/>
      <c r="DR8" s="26" t="s">
        <v>32</v>
      </c>
      <c r="DS8" s="34" t="s">
        <v>32</v>
      </c>
      <c r="DT8" s="32" t="s">
        <v>32</v>
      </c>
      <c r="DU8" s="32"/>
      <c r="DV8" s="34" t="s">
        <v>32</v>
      </c>
      <c r="DW8" s="28" t="s">
        <v>32</v>
      </c>
      <c r="DX8" s="28" t="s">
        <v>32</v>
      </c>
      <c r="DY8" s="82" t="s">
        <v>32</v>
      </c>
      <c r="DZ8" s="34" t="s">
        <v>32</v>
      </c>
      <c r="EA8" s="32" t="s">
        <v>32</v>
      </c>
      <c r="EB8" s="32" t="s">
        <v>32</v>
      </c>
      <c r="EC8" s="29" t="s">
        <v>32</v>
      </c>
      <c r="ED8" s="28"/>
      <c r="EE8" s="26" t="s">
        <v>32</v>
      </c>
      <c r="EF8" s="34" t="s">
        <v>32</v>
      </c>
      <c r="EG8" s="32" t="s">
        <v>32</v>
      </c>
      <c r="EH8" s="34"/>
      <c r="EI8" s="33">
        <f t="shared" ref="EI8:EI15" si="13">SUM(DP8:EG8)</f>
        <v>0</v>
      </c>
      <c r="EJ8" s="24"/>
      <c r="EK8" s="25" t="s">
        <v>32</v>
      </c>
      <c r="EL8" s="28" t="s">
        <v>32</v>
      </c>
      <c r="EM8" s="75" t="s">
        <v>32</v>
      </c>
      <c r="EN8" s="75" t="s">
        <v>32</v>
      </c>
      <c r="EO8" s="26"/>
      <c r="EP8" s="26"/>
      <c r="EQ8" s="32">
        <f t="shared" si="5"/>
        <v>0</v>
      </c>
      <c r="ER8" s="34" t="s">
        <v>32</v>
      </c>
      <c r="ES8" s="34"/>
      <c r="ET8" s="26" t="s">
        <v>32</v>
      </c>
      <c r="EU8" s="34" t="s">
        <v>32</v>
      </c>
      <c r="EV8" s="32" t="s">
        <v>32</v>
      </c>
      <c r="EW8" s="32"/>
      <c r="EX8" s="34" t="s">
        <v>32</v>
      </c>
      <c r="EY8" s="28" t="s">
        <v>32</v>
      </c>
      <c r="EZ8" s="28" t="s">
        <v>32</v>
      </c>
      <c r="FA8" s="82" t="s">
        <v>32</v>
      </c>
      <c r="FB8" s="34" t="s">
        <v>32</v>
      </c>
      <c r="FC8" s="32" t="s">
        <v>32</v>
      </c>
      <c r="FD8" s="32" t="s">
        <v>32</v>
      </c>
      <c r="FE8" s="29" t="s">
        <v>32</v>
      </c>
      <c r="FF8" s="28"/>
      <c r="FG8" s="26" t="s">
        <v>32</v>
      </c>
      <c r="FH8" s="34" t="s">
        <v>32</v>
      </c>
      <c r="FI8" s="32" t="s">
        <v>32</v>
      </c>
      <c r="FJ8" s="34"/>
      <c r="FK8" s="33">
        <f t="shared" ref="FK8:FK15" si="14">SUM(ER8:FI8)</f>
        <v>0</v>
      </c>
      <c r="FL8" s="24"/>
      <c r="FM8" s="25" t="s">
        <v>32</v>
      </c>
      <c r="FN8" s="28" t="s">
        <v>32</v>
      </c>
      <c r="FO8" s="75" t="s">
        <v>32</v>
      </c>
      <c r="FP8" s="75" t="s">
        <v>32</v>
      </c>
      <c r="FQ8" s="26"/>
      <c r="FR8" s="26"/>
      <c r="FS8" s="32">
        <f t="shared" si="6"/>
        <v>0</v>
      </c>
      <c r="FT8" s="34" t="s">
        <v>32</v>
      </c>
      <c r="FU8" s="34"/>
      <c r="FV8" s="26" t="s">
        <v>32</v>
      </c>
      <c r="FW8" s="34" t="s">
        <v>32</v>
      </c>
      <c r="FX8" s="32" t="s">
        <v>32</v>
      </c>
      <c r="FY8" s="32"/>
      <c r="FZ8" s="34" t="s">
        <v>32</v>
      </c>
      <c r="GA8" s="28" t="s">
        <v>32</v>
      </c>
      <c r="GB8" s="28" t="s">
        <v>32</v>
      </c>
      <c r="GC8" s="82" t="s">
        <v>32</v>
      </c>
      <c r="GD8" s="34" t="s">
        <v>32</v>
      </c>
      <c r="GE8" s="32" t="s">
        <v>32</v>
      </c>
      <c r="GF8" s="32" t="s">
        <v>32</v>
      </c>
      <c r="GG8" s="29" t="s">
        <v>32</v>
      </c>
      <c r="GH8" s="28"/>
      <c r="GI8" s="26" t="s">
        <v>32</v>
      </c>
      <c r="GJ8" s="34" t="s">
        <v>32</v>
      </c>
      <c r="GK8" s="32" t="s">
        <v>32</v>
      </c>
      <c r="GL8" s="34"/>
      <c r="GM8" s="33">
        <f t="shared" ref="GM8:GM15" si="15">SUM(FT8:GK8)</f>
        <v>0</v>
      </c>
      <c r="GN8" s="24"/>
      <c r="GO8" s="25" t="s">
        <v>32</v>
      </c>
      <c r="GP8" s="28" t="s">
        <v>32</v>
      </c>
      <c r="GQ8" s="75" t="s">
        <v>32</v>
      </c>
      <c r="GR8" s="75" t="s">
        <v>32</v>
      </c>
      <c r="GS8" s="26"/>
      <c r="GT8" s="26"/>
      <c r="GU8" s="32">
        <f t="shared" si="7"/>
        <v>0</v>
      </c>
      <c r="GV8" s="34" t="s">
        <v>32</v>
      </c>
      <c r="GW8" s="34"/>
      <c r="GX8" s="26" t="s">
        <v>32</v>
      </c>
      <c r="GY8" s="34" t="s">
        <v>32</v>
      </c>
      <c r="GZ8" s="32" t="s">
        <v>32</v>
      </c>
      <c r="HA8" s="32"/>
      <c r="HB8" s="34" t="s">
        <v>32</v>
      </c>
      <c r="HC8" s="28" t="s">
        <v>32</v>
      </c>
      <c r="HD8" s="28" t="s">
        <v>32</v>
      </c>
      <c r="HE8" s="82" t="s">
        <v>32</v>
      </c>
      <c r="HF8" s="34" t="s">
        <v>32</v>
      </c>
      <c r="HG8" s="32" t="s">
        <v>32</v>
      </c>
      <c r="HH8" s="32" t="s">
        <v>32</v>
      </c>
      <c r="HI8" s="29" t="s">
        <v>32</v>
      </c>
      <c r="HJ8" s="28"/>
      <c r="HK8" s="26" t="s">
        <v>32</v>
      </c>
      <c r="HL8" s="34" t="s">
        <v>32</v>
      </c>
      <c r="HM8" s="32" t="s">
        <v>32</v>
      </c>
      <c r="HN8" s="34"/>
      <c r="HO8" s="33">
        <f t="shared" ref="HO8:HO15" si="16">SUM(GV8:HM8)</f>
        <v>0</v>
      </c>
      <c r="HP8" s="24"/>
      <c r="HQ8" s="25" t="s">
        <v>32</v>
      </c>
      <c r="HR8" s="28" t="s">
        <v>32</v>
      </c>
      <c r="HS8" s="75" t="s">
        <v>32</v>
      </c>
      <c r="HT8" s="75" t="s">
        <v>32</v>
      </c>
      <c r="HU8" s="26"/>
      <c r="HV8" s="26"/>
      <c r="HW8" s="32">
        <f t="shared" si="8"/>
        <v>0</v>
      </c>
      <c r="HX8" s="34" t="s">
        <v>32</v>
      </c>
      <c r="HY8" s="34"/>
      <c r="HZ8" s="26" t="s">
        <v>32</v>
      </c>
      <c r="IA8" s="34" t="s">
        <v>32</v>
      </c>
      <c r="IB8" s="32" t="s">
        <v>32</v>
      </c>
      <c r="IC8" s="32"/>
      <c r="ID8" s="34" t="s">
        <v>32</v>
      </c>
      <c r="IE8" s="28" t="s">
        <v>32</v>
      </c>
      <c r="IF8" s="28" t="s">
        <v>32</v>
      </c>
      <c r="IG8" s="82" t="s">
        <v>32</v>
      </c>
      <c r="IH8" s="34" t="s">
        <v>32</v>
      </c>
      <c r="II8" s="32" t="s">
        <v>32</v>
      </c>
      <c r="IJ8" s="32" t="s">
        <v>32</v>
      </c>
      <c r="IK8" s="29" t="s">
        <v>32</v>
      </c>
      <c r="IL8" s="28"/>
      <c r="IM8" s="26" t="s">
        <v>32</v>
      </c>
      <c r="IN8" s="34" t="s">
        <v>32</v>
      </c>
      <c r="IO8" s="32" t="s">
        <v>32</v>
      </c>
      <c r="IP8" s="34"/>
      <c r="IQ8" s="33">
        <f t="shared" ref="IQ8:IQ15" si="17">SUM(HX8:IO8)</f>
        <v>0</v>
      </c>
      <c r="IR8" s="111"/>
    </row>
    <row r="9" spans="1:252" x14ac:dyDescent="0.3">
      <c r="A9" s="25">
        <v>46119</v>
      </c>
      <c r="B9" s="28">
        <v>2777</v>
      </c>
      <c r="C9" s="75">
        <v>0</v>
      </c>
      <c r="D9" s="75">
        <v>4</v>
      </c>
      <c r="E9" s="26">
        <v>0</v>
      </c>
      <c r="F9" s="26">
        <v>0</v>
      </c>
      <c r="G9" s="32">
        <f t="shared" si="0"/>
        <v>0</v>
      </c>
      <c r="H9" s="34" t="s">
        <v>32</v>
      </c>
      <c r="I9" s="34"/>
      <c r="J9" s="26" t="s">
        <v>32</v>
      </c>
      <c r="K9" s="34" t="s">
        <v>32</v>
      </c>
      <c r="L9" s="32" t="s">
        <v>32</v>
      </c>
      <c r="M9" s="32" t="s">
        <v>32</v>
      </c>
      <c r="N9" s="34" t="s">
        <v>32</v>
      </c>
      <c r="O9" s="28" t="s">
        <v>32</v>
      </c>
      <c r="P9" s="28" t="s">
        <v>32</v>
      </c>
      <c r="Q9" s="82" t="s">
        <v>32</v>
      </c>
      <c r="R9" s="34" t="s">
        <v>32</v>
      </c>
      <c r="S9" s="32" t="s">
        <v>32</v>
      </c>
      <c r="T9" s="32" t="s">
        <v>32</v>
      </c>
      <c r="U9" s="75" t="s">
        <v>32</v>
      </c>
      <c r="V9" s="28" t="s">
        <v>32</v>
      </c>
      <c r="W9" s="26" t="s">
        <v>32</v>
      </c>
      <c r="X9" s="34" t="s">
        <v>32</v>
      </c>
      <c r="Y9" s="32" t="s">
        <v>32</v>
      </c>
      <c r="Z9" s="34" t="s">
        <v>32</v>
      </c>
      <c r="AA9" s="33">
        <f t="shared" si="9"/>
        <v>0</v>
      </c>
      <c r="AB9" s="24"/>
      <c r="AC9" s="25">
        <v>46149</v>
      </c>
      <c r="AD9" s="28">
        <v>2545</v>
      </c>
      <c r="AE9" s="75">
        <v>0</v>
      </c>
      <c r="AF9" s="75">
        <v>7.25</v>
      </c>
      <c r="AG9" s="26">
        <v>460</v>
      </c>
      <c r="AH9" s="26">
        <v>27375</v>
      </c>
      <c r="AI9" s="32">
        <f t="shared" si="1"/>
        <v>311241</v>
      </c>
      <c r="AJ9" s="34"/>
      <c r="AK9" s="34"/>
      <c r="AL9" s="26">
        <v>7480</v>
      </c>
      <c r="AM9" s="34">
        <v>4100</v>
      </c>
      <c r="AN9" s="32"/>
      <c r="AO9" s="32"/>
      <c r="AP9" s="34">
        <v>34850</v>
      </c>
      <c r="AQ9" s="28"/>
      <c r="AR9" s="28"/>
      <c r="AS9" s="82">
        <v>1359</v>
      </c>
      <c r="AT9" s="34"/>
      <c r="AU9" s="32">
        <v>262952</v>
      </c>
      <c r="AV9" s="32" t="s">
        <v>189</v>
      </c>
      <c r="AW9" s="75"/>
      <c r="AX9" s="28"/>
      <c r="AY9" s="26">
        <v>500</v>
      </c>
      <c r="AZ9" s="34" t="s">
        <v>68</v>
      </c>
      <c r="BA9" s="32"/>
      <c r="BB9" s="34"/>
      <c r="BC9" s="33"/>
      <c r="BD9" s="129"/>
      <c r="BE9" s="25">
        <v>46180</v>
      </c>
      <c r="BF9" s="28">
        <v>3008</v>
      </c>
      <c r="BG9" s="75">
        <v>1463</v>
      </c>
      <c r="BH9" s="75">
        <v>9</v>
      </c>
      <c r="BI9" s="26">
        <v>0</v>
      </c>
      <c r="BJ9" s="26">
        <v>0</v>
      </c>
      <c r="BK9" s="32">
        <f t="shared" si="2"/>
        <v>0</v>
      </c>
      <c r="BL9" s="34" t="s">
        <v>32</v>
      </c>
      <c r="BM9" s="34"/>
      <c r="BN9" s="26" t="s">
        <v>32</v>
      </c>
      <c r="BO9" s="34" t="s">
        <v>32</v>
      </c>
      <c r="BP9" s="32" t="s">
        <v>32</v>
      </c>
      <c r="BQ9" s="32" t="s">
        <v>32</v>
      </c>
      <c r="BR9" s="34" t="s">
        <v>32</v>
      </c>
      <c r="BS9" s="28" t="s">
        <v>32</v>
      </c>
      <c r="BT9" s="28" t="s">
        <v>32</v>
      </c>
      <c r="BU9" s="26" t="s">
        <v>32</v>
      </c>
      <c r="BV9" s="34" t="s">
        <v>32</v>
      </c>
      <c r="BW9" s="32" t="s">
        <v>32</v>
      </c>
      <c r="BX9" s="32" t="s">
        <v>32</v>
      </c>
      <c r="BY9" s="82" t="s">
        <v>32</v>
      </c>
      <c r="BZ9" s="28" t="s">
        <v>32</v>
      </c>
      <c r="CA9" s="26" t="s">
        <v>32</v>
      </c>
      <c r="CB9" s="34" t="s">
        <v>32</v>
      </c>
      <c r="CC9" s="32" t="s">
        <v>32</v>
      </c>
      <c r="CD9" s="34" t="s">
        <v>32</v>
      </c>
      <c r="CE9" s="33">
        <f t="shared" si="11"/>
        <v>0</v>
      </c>
      <c r="CF9" s="24"/>
      <c r="CG9" s="25">
        <v>46210</v>
      </c>
      <c r="CH9" s="28" t="s">
        <v>32</v>
      </c>
      <c r="CI9" s="75" t="s">
        <v>32</v>
      </c>
      <c r="CJ9" s="75" t="s">
        <v>32</v>
      </c>
      <c r="CK9" s="26"/>
      <c r="CL9" s="26"/>
      <c r="CM9" s="32">
        <f t="shared" si="3"/>
        <v>0</v>
      </c>
      <c r="CN9" s="34" t="s">
        <v>32</v>
      </c>
      <c r="CO9" s="34"/>
      <c r="CP9" s="26" t="s">
        <v>32</v>
      </c>
      <c r="CQ9" s="34" t="s">
        <v>32</v>
      </c>
      <c r="CR9" s="32" t="s">
        <v>32</v>
      </c>
      <c r="CS9" s="32" t="s">
        <v>32</v>
      </c>
      <c r="CT9" s="34" t="s">
        <v>32</v>
      </c>
      <c r="CU9" s="28" t="s">
        <v>32</v>
      </c>
      <c r="CV9" s="28" t="s">
        <v>32</v>
      </c>
      <c r="CW9" s="82" t="s">
        <v>32</v>
      </c>
      <c r="CX9" s="34" t="s">
        <v>32</v>
      </c>
      <c r="CY9" s="32" t="s">
        <v>32</v>
      </c>
      <c r="CZ9" s="32" t="s">
        <v>32</v>
      </c>
      <c r="DA9" s="29" t="s">
        <v>32</v>
      </c>
      <c r="DB9" s="28" t="s">
        <v>32</v>
      </c>
      <c r="DC9" s="26" t="s">
        <v>32</v>
      </c>
      <c r="DD9" s="34" t="s">
        <v>32</v>
      </c>
      <c r="DE9" s="32" t="s">
        <v>32</v>
      </c>
      <c r="DF9" s="34" t="s">
        <v>32</v>
      </c>
      <c r="DG9" s="33">
        <f t="shared" si="12"/>
        <v>0</v>
      </c>
      <c r="DH9" s="24"/>
      <c r="DI9" s="25" t="s">
        <v>32</v>
      </c>
      <c r="DJ9" s="28" t="s">
        <v>32</v>
      </c>
      <c r="DK9" s="75" t="s">
        <v>32</v>
      </c>
      <c r="DL9" s="75" t="s">
        <v>32</v>
      </c>
      <c r="DM9" s="26"/>
      <c r="DN9" s="26"/>
      <c r="DO9" s="32">
        <f t="shared" si="4"/>
        <v>0</v>
      </c>
      <c r="DP9" s="34" t="s">
        <v>32</v>
      </c>
      <c r="DQ9" s="34"/>
      <c r="DR9" s="26" t="s">
        <v>32</v>
      </c>
      <c r="DS9" s="34" t="s">
        <v>32</v>
      </c>
      <c r="DT9" s="32" t="s">
        <v>32</v>
      </c>
      <c r="DU9" s="32" t="s">
        <v>32</v>
      </c>
      <c r="DV9" s="34" t="s">
        <v>32</v>
      </c>
      <c r="DW9" s="28" t="s">
        <v>32</v>
      </c>
      <c r="DX9" s="28" t="s">
        <v>32</v>
      </c>
      <c r="DY9" s="82" t="s">
        <v>32</v>
      </c>
      <c r="DZ9" s="34" t="s">
        <v>32</v>
      </c>
      <c r="EA9" s="32" t="s">
        <v>32</v>
      </c>
      <c r="EB9" s="32" t="s">
        <v>32</v>
      </c>
      <c r="EC9" s="29" t="s">
        <v>32</v>
      </c>
      <c r="ED9" s="28" t="s">
        <v>32</v>
      </c>
      <c r="EE9" s="26" t="s">
        <v>32</v>
      </c>
      <c r="EF9" s="34" t="s">
        <v>32</v>
      </c>
      <c r="EG9" s="32" t="s">
        <v>32</v>
      </c>
      <c r="EH9" s="34" t="s">
        <v>32</v>
      </c>
      <c r="EI9" s="33">
        <f t="shared" si="13"/>
        <v>0</v>
      </c>
      <c r="EJ9" s="24"/>
      <c r="EK9" s="25" t="s">
        <v>32</v>
      </c>
      <c r="EL9" s="28" t="s">
        <v>32</v>
      </c>
      <c r="EM9" s="75" t="s">
        <v>32</v>
      </c>
      <c r="EN9" s="75" t="s">
        <v>32</v>
      </c>
      <c r="EO9" s="26"/>
      <c r="EP9" s="26"/>
      <c r="EQ9" s="32">
        <f t="shared" si="5"/>
        <v>0</v>
      </c>
      <c r="ER9" s="34" t="s">
        <v>32</v>
      </c>
      <c r="ES9" s="34"/>
      <c r="ET9" s="26" t="s">
        <v>32</v>
      </c>
      <c r="EU9" s="34" t="s">
        <v>32</v>
      </c>
      <c r="EV9" s="32" t="s">
        <v>32</v>
      </c>
      <c r="EW9" s="32" t="s">
        <v>32</v>
      </c>
      <c r="EX9" s="34" t="s">
        <v>32</v>
      </c>
      <c r="EY9" s="28" t="s">
        <v>32</v>
      </c>
      <c r="EZ9" s="28" t="s">
        <v>32</v>
      </c>
      <c r="FA9" s="82" t="s">
        <v>32</v>
      </c>
      <c r="FB9" s="34" t="s">
        <v>32</v>
      </c>
      <c r="FC9" s="32" t="s">
        <v>32</v>
      </c>
      <c r="FD9" s="32" t="s">
        <v>32</v>
      </c>
      <c r="FE9" s="29" t="s">
        <v>32</v>
      </c>
      <c r="FF9" s="28" t="s">
        <v>32</v>
      </c>
      <c r="FG9" s="26" t="s">
        <v>32</v>
      </c>
      <c r="FH9" s="34" t="s">
        <v>32</v>
      </c>
      <c r="FI9" s="32" t="s">
        <v>32</v>
      </c>
      <c r="FJ9" s="34" t="s">
        <v>32</v>
      </c>
      <c r="FK9" s="33">
        <f t="shared" si="14"/>
        <v>0</v>
      </c>
      <c r="FL9" s="24"/>
      <c r="FM9" s="25" t="s">
        <v>32</v>
      </c>
      <c r="FN9" s="28" t="s">
        <v>32</v>
      </c>
      <c r="FO9" s="75" t="s">
        <v>32</v>
      </c>
      <c r="FP9" s="75" t="s">
        <v>32</v>
      </c>
      <c r="FQ9" s="26"/>
      <c r="FR9" s="26"/>
      <c r="FS9" s="32">
        <f t="shared" si="6"/>
        <v>0</v>
      </c>
      <c r="FT9" s="34" t="s">
        <v>32</v>
      </c>
      <c r="FU9" s="34"/>
      <c r="FV9" s="26" t="s">
        <v>32</v>
      </c>
      <c r="FW9" s="34" t="s">
        <v>32</v>
      </c>
      <c r="FX9" s="32" t="s">
        <v>32</v>
      </c>
      <c r="FY9" s="32" t="s">
        <v>32</v>
      </c>
      <c r="FZ9" s="34" t="s">
        <v>32</v>
      </c>
      <c r="GA9" s="28" t="s">
        <v>32</v>
      </c>
      <c r="GB9" s="28" t="s">
        <v>32</v>
      </c>
      <c r="GC9" s="82" t="s">
        <v>32</v>
      </c>
      <c r="GD9" s="34" t="s">
        <v>32</v>
      </c>
      <c r="GE9" s="32" t="s">
        <v>32</v>
      </c>
      <c r="GF9" s="32" t="s">
        <v>32</v>
      </c>
      <c r="GG9" s="29" t="s">
        <v>32</v>
      </c>
      <c r="GH9" s="28" t="s">
        <v>32</v>
      </c>
      <c r="GI9" s="26" t="s">
        <v>32</v>
      </c>
      <c r="GJ9" s="34" t="s">
        <v>32</v>
      </c>
      <c r="GK9" s="32" t="s">
        <v>32</v>
      </c>
      <c r="GL9" s="34" t="s">
        <v>32</v>
      </c>
      <c r="GM9" s="33">
        <f t="shared" si="15"/>
        <v>0</v>
      </c>
      <c r="GN9" s="24"/>
      <c r="GO9" s="25" t="s">
        <v>32</v>
      </c>
      <c r="GP9" s="28" t="s">
        <v>32</v>
      </c>
      <c r="GQ9" s="75" t="s">
        <v>32</v>
      </c>
      <c r="GR9" s="75" t="s">
        <v>32</v>
      </c>
      <c r="GS9" s="26"/>
      <c r="GT9" s="26"/>
      <c r="GU9" s="32">
        <f t="shared" si="7"/>
        <v>0</v>
      </c>
      <c r="GV9" s="34" t="s">
        <v>32</v>
      </c>
      <c r="GW9" s="34"/>
      <c r="GX9" s="26" t="s">
        <v>32</v>
      </c>
      <c r="GY9" s="34" t="s">
        <v>32</v>
      </c>
      <c r="GZ9" s="32" t="s">
        <v>32</v>
      </c>
      <c r="HA9" s="32" t="s">
        <v>32</v>
      </c>
      <c r="HB9" s="34" t="s">
        <v>32</v>
      </c>
      <c r="HC9" s="28" t="s">
        <v>32</v>
      </c>
      <c r="HD9" s="28" t="s">
        <v>32</v>
      </c>
      <c r="HE9" s="82" t="s">
        <v>32</v>
      </c>
      <c r="HF9" s="34" t="s">
        <v>32</v>
      </c>
      <c r="HG9" s="32" t="s">
        <v>32</v>
      </c>
      <c r="HH9" s="32" t="s">
        <v>32</v>
      </c>
      <c r="HI9" s="29" t="s">
        <v>32</v>
      </c>
      <c r="HJ9" s="28" t="s">
        <v>32</v>
      </c>
      <c r="HK9" s="26" t="s">
        <v>32</v>
      </c>
      <c r="HL9" s="34" t="s">
        <v>32</v>
      </c>
      <c r="HM9" s="32" t="s">
        <v>32</v>
      </c>
      <c r="HN9" s="34" t="s">
        <v>32</v>
      </c>
      <c r="HO9" s="33">
        <f t="shared" si="16"/>
        <v>0</v>
      </c>
      <c r="HP9" s="24"/>
      <c r="HQ9" s="25" t="s">
        <v>32</v>
      </c>
      <c r="HR9" s="28" t="s">
        <v>32</v>
      </c>
      <c r="HS9" s="75" t="s">
        <v>32</v>
      </c>
      <c r="HT9" s="75" t="s">
        <v>32</v>
      </c>
      <c r="HU9" s="26"/>
      <c r="HV9" s="26"/>
      <c r="HW9" s="32">
        <f t="shared" si="8"/>
        <v>0</v>
      </c>
      <c r="HX9" s="34" t="s">
        <v>32</v>
      </c>
      <c r="HY9" s="34"/>
      <c r="HZ9" s="26" t="s">
        <v>32</v>
      </c>
      <c r="IA9" s="34" t="s">
        <v>32</v>
      </c>
      <c r="IB9" s="32" t="s">
        <v>32</v>
      </c>
      <c r="IC9" s="32" t="s">
        <v>32</v>
      </c>
      <c r="ID9" s="34" t="s">
        <v>32</v>
      </c>
      <c r="IE9" s="28" t="s">
        <v>32</v>
      </c>
      <c r="IF9" s="28" t="s">
        <v>32</v>
      </c>
      <c r="IG9" s="82" t="s">
        <v>32</v>
      </c>
      <c r="IH9" s="34" t="s">
        <v>32</v>
      </c>
      <c r="II9" s="32" t="s">
        <v>32</v>
      </c>
      <c r="IJ9" s="32" t="s">
        <v>32</v>
      </c>
      <c r="IK9" s="29" t="s">
        <v>32</v>
      </c>
      <c r="IL9" s="28" t="s">
        <v>32</v>
      </c>
      <c r="IM9" s="26" t="s">
        <v>32</v>
      </c>
      <c r="IN9" s="34" t="s">
        <v>32</v>
      </c>
      <c r="IO9" s="32" t="s">
        <v>32</v>
      </c>
      <c r="IP9" s="34" t="s">
        <v>32</v>
      </c>
      <c r="IQ9" s="33">
        <f t="shared" si="17"/>
        <v>0</v>
      </c>
      <c r="IR9" s="111"/>
    </row>
    <row r="10" spans="1:252" x14ac:dyDescent="0.3">
      <c r="A10" s="25">
        <v>46120</v>
      </c>
      <c r="B10" s="28">
        <v>3513</v>
      </c>
      <c r="C10" s="75">
        <v>2241</v>
      </c>
      <c r="D10" s="75">
        <v>7.75</v>
      </c>
      <c r="E10" s="26">
        <v>8349</v>
      </c>
      <c r="F10" s="26">
        <v>380706</v>
      </c>
      <c r="G10" s="32">
        <f t="shared" si="0"/>
        <v>135440</v>
      </c>
      <c r="H10" s="34">
        <v>31800</v>
      </c>
      <c r="I10" s="34">
        <v>15000</v>
      </c>
      <c r="J10" s="26">
        <v>45100</v>
      </c>
      <c r="K10" s="34" t="s">
        <v>32</v>
      </c>
      <c r="L10" s="32" t="s">
        <v>32</v>
      </c>
      <c r="M10" s="32" t="s">
        <v>32</v>
      </c>
      <c r="N10" s="34">
        <v>42800</v>
      </c>
      <c r="O10" s="28"/>
      <c r="P10" s="28" t="s">
        <v>32</v>
      </c>
      <c r="Q10" s="82">
        <v>740</v>
      </c>
      <c r="R10" s="34" t="s">
        <v>32</v>
      </c>
      <c r="S10" s="32" t="s">
        <v>32</v>
      </c>
      <c r="T10" s="32" t="s">
        <v>32</v>
      </c>
      <c r="U10" s="75" t="s">
        <v>32</v>
      </c>
      <c r="V10" s="28" t="s">
        <v>32</v>
      </c>
      <c r="W10" s="26" t="s">
        <v>32</v>
      </c>
      <c r="X10" s="34" t="s">
        <v>32</v>
      </c>
      <c r="Y10" s="32" t="s">
        <v>32</v>
      </c>
      <c r="Z10" s="34"/>
      <c r="AA10" s="33">
        <f t="shared" si="9"/>
        <v>135440</v>
      </c>
      <c r="AB10" s="24"/>
      <c r="AC10" s="25">
        <v>46150</v>
      </c>
      <c r="AD10" s="28">
        <v>4113</v>
      </c>
      <c r="AE10" s="75">
        <v>1608</v>
      </c>
      <c r="AF10" s="75">
        <v>7</v>
      </c>
      <c r="AG10" s="26">
        <v>0</v>
      </c>
      <c r="AH10" s="26">
        <v>0</v>
      </c>
      <c r="AI10" s="32">
        <f t="shared" si="1"/>
        <v>0</v>
      </c>
      <c r="AJ10" s="34" t="s">
        <v>32</v>
      </c>
      <c r="AK10" s="34"/>
      <c r="AL10" s="26" t="s">
        <v>32</v>
      </c>
      <c r="AM10" s="34" t="s">
        <v>32</v>
      </c>
      <c r="AN10" s="32" t="s">
        <v>32</v>
      </c>
      <c r="AO10" s="32" t="s">
        <v>32</v>
      </c>
      <c r="AP10" s="34" t="s">
        <v>32</v>
      </c>
      <c r="AQ10" s="28" t="s">
        <v>32</v>
      </c>
      <c r="AR10" s="28" t="s">
        <v>32</v>
      </c>
      <c r="AS10" s="82" t="s">
        <v>32</v>
      </c>
      <c r="AT10" s="34" t="s">
        <v>32</v>
      </c>
      <c r="AU10" s="32" t="s">
        <v>32</v>
      </c>
      <c r="AV10" s="32" t="s">
        <v>32</v>
      </c>
      <c r="AW10" s="75" t="s">
        <v>32</v>
      </c>
      <c r="AX10" s="28" t="s">
        <v>32</v>
      </c>
      <c r="AY10" s="26" t="s">
        <v>32</v>
      </c>
      <c r="AZ10" s="34" t="s">
        <v>32</v>
      </c>
      <c r="BA10" s="32" t="s">
        <v>32</v>
      </c>
      <c r="BB10" s="34" t="s">
        <v>32</v>
      </c>
      <c r="BC10" s="33">
        <f t="shared" si="10"/>
        <v>0</v>
      </c>
      <c r="BD10" s="129"/>
      <c r="BE10" s="25">
        <v>46181</v>
      </c>
      <c r="BF10" s="28">
        <v>3462</v>
      </c>
      <c r="BG10" s="75">
        <v>6662</v>
      </c>
      <c r="BH10" s="75">
        <v>16</v>
      </c>
      <c r="BI10" s="26">
        <v>1115</v>
      </c>
      <c r="BJ10" s="26">
        <v>39050</v>
      </c>
      <c r="BK10" s="32">
        <f t="shared" si="2"/>
        <v>479374</v>
      </c>
      <c r="BL10" s="34" t="s">
        <v>32</v>
      </c>
      <c r="BM10" s="34"/>
      <c r="BN10" s="26">
        <v>21600</v>
      </c>
      <c r="BO10" s="34">
        <v>137100</v>
      </c>
      <c r="BP10" s="32" t="s">
        <v>32</v>
      </c>
      <c r="BQ10" s="32">
        <v>1200</v>
      </c>
      <c r="BR10" s="34">
        <v>47500</v>
      </c>
      <c r="BS10" s="28"/>
      <c r="BT10" s="28" t="s">
        <v>32</v>
      </c>
      <c r="BU10" s="26">
        <v>1285</v>
      </c>
      <c r="BV10" s="34">
        <v>900</v>
      </c>
      <c r="BW10" s="32">
        <v>264889</v>
      </c>
      <c r="BX10" s="32" t="s">
        <v>192</v>
      </c>
      <c r="BY10" s="82">
        <v>2500</v>
      </c>
      <c r="BZ10" s="28" t="s">
        <v>32</v>
      </c>
      <c r="CA10" s="26">
        <v>2400</v>
      </c>
      <c r="CB10" s="34" t="s">
        <v>193</v>
      </c>
      <c r="CC10" s="32" t="s">
        <v>32</v>
      </c>
      <c r="CD10" s="34"/>
      <c r="CE10" s="33">
        <f t="shared" si="11"/>
        <v>479374</v>
      </c>
      <c r="CF10" s="24"/>
      <c r="CG10" s="25">
        <v>46211</v>
      </c>
      <c r="CH10" s="28" t="s">
        <v>32</v>
      </c>
      <c r="CI10" s="75" t="s">
        <v>32</v>
      </c>
      <c r="CJ10" s="75" t="s">
        <v>32</v>
      </c>
      <c r="CK10" s="26"/>
      <c r="CL10" s="26"/>
      <c r="CM10" s="32">
        <f t="shared" si="3"/>
        <v>0</v>
      </c>
      <c r="CN10" s="34" t="s">
        <v>32</v>
      </c>
      <c r="CO10" s="34"/>
      <c r="CP10" s="26" t="s">
        <v>32</v>
      </c>
      <c r="CQ10" s="34" t="s">
        <v>32</v>
      </c>
      <c r="CR10" s="32" t="s">
        <v>32</v>
      </c>
      <c r="CS10" s="32" t="s">
        <v>32</v>
      </c>
      <c r="CT10" s="34" t="s">
        <v>32</v>
      </c>
      <c r="CU10" s="28"/>
      <c r="CV10" s="28" t="s">
        <v>32</v>
      </c>
      <c r="CW10" s="82" t="s">
        <v>32</v>
      </c>
      <c r="CX10" s="34" t="s">
        <v>32</v>
      </c>
      <c r="CY10" s="32" t="s">
        <v>32</v>
      </c>
      <c r="CZ10" s="32" t="s">
        <v>32</v>
      </c>
      <c r="DA10" s="29" t="s">
        <v>32</v>
      </c>
      <c r="DB10" s="28" t="s">
        <v>32</v>
      </c>
      <c r="DC10" s="26" t="s">
        <v>32</v>
      </c>
      <c r="DD10" s="34" t="s">
        <v>32</v>
      </c>
      <c r="DE10" s="32" t="s">
        <v>32</v>
      </c>
      <c r="DF10" s="34"/>
      <c r="DG10" s="33">
        <f t="shared" si="12"/>
        <v>0</v>
      </c>
      <c r="DH10" s="24"/>
      <c r="DI10" s="25" t="s">
        <v>32</v>
      </c>
      <c r="DJ10" s="28" t="s">
        <v>32</v>
      </c>
      <c r="DK10" s="75" t="s">
        <v>32</v>
      </c>
      <c r="DL10" s="75" t="s">
        <v>32</v>
      </c>
      <c r="DM10" s="26"/>
      <c r="DN10" s="26"/>
      <c r="DO10" s="32">
        <f t="shared" si="4"/>
        <v>0</v>
      </c>
      <c r="DP10" s="34" t="s">
        <v>32</v>
      </c>
      <c r="DQ10" s="34"/>
      <c r="DR10" s="26" t="s">
        <v>32</v>
      </c>
      <c r="DS10" s="34" t="s">
        <v>32</v>
      </c>
      <c r="DT10" s="32" t="s">
        <v>32</v>
      </c>
      <c r="DU10" s="32" t="s">
        <v>32</v>
      </c>
      <c r="DV10" s="34" t="s">
        <v>32</v>
      </c>
      <c r="DW10" s="28"/>
      <c r="DX10" s="28" t="s">
        <v>32</v>
      </c>
      <c r="DY10" s="82" t="s">
        <v>32</v>
      </c>
      <c r="DZ10" s="34" t="s">
        <v>32</v>
      </c>
      <c r="EA10" s="32" t="s">
        <v>32</v>
      </c>
      <c r="EB10" s="32" t="s">
        <v>32</v>
      </c>
      <c r="EC10" s="29" t="s">
        <v>32</v>
      </c>
      <c r="ED10" s="28" t="s">
        <v>32</v>
      </c>
      <c r="EE10" s="26" t="s">
        <v>32</v>
      </c>
      <c r="EF10" s="34" t="s">
        <v>32</v>
      </c>
      <c r="EG10" s="32" t="s">
        <v>32</v>
      </c>
      <c r="EH10" s="34"/>
      <c r="EI10" s="33">
        <f t="shared" si="13"/>
        <v>0</v>
      </c>
      <c r="EJ10" s="24"/>
      <c r="EK10" s="25" t="s">
        <v>32</v>
      </c>
      <c r="EL10" s="28" t="s">
        <v>32</v>
      </c>
      <c r="EM10" s="75" t="s">
        <v>32</v>
      </c>
      <c r="EN10" s="75" t="s">
        <v>32</v>
      </c>
      <c r="EO10" s="26"/>
      <c r="EP10" s="26"/>
      <c r="EQ10" s="32">
        <f t="shared" si="5"/>
        <v>0</v>
      </c>
      <c r="ER10" s="34" t="s">
        <v>32</v>
      </c>
      <c r="ES10" s="34"/>
      <c r="ET10" s="26" t="s">
        <v>32</v>
      </c>
      <c r="EU10" s="34" t="s">
        <v>32</v>
      </c>
      <c r="EV10" s="32" t="s">
        <v>32</v>
      </c>
      <c r="EW10" s="32" t="s">
        <v>32</v>
      </c>
      <c r="EX10" s="34" t="s">
        <v>32</v>
      </c>
      <c r="EY10" s="28"/>
      <c r="EZ10" s="28" t="s">
        <v>32</v>
      </c>
      <c r="FA10" s="82" t="s">
        <v>32</v>
      </c>
      <c r="FB10" s="34" t="s">
        <v>32</v>
      </c>
      <c r="FC10" s="32" t="s">
        <v>32</v>
      </c>
      <c r="FD10" s="32" t="s">
        <v>32</v>
      </c>
      <c r="FE10" s="29" t="s">
        <v>32</v>
      </c>
      <c r="FF10" s="28" t="s">
        <v>32</v>
      </c>
      <c r="FG10" s="26" t="s">
        <v>32</v>
      </c>
      <c r="FH10" s="34" t="s">
        <v>32</v>
      </c>
      <c r="FI10" s="32" t="s">
        <v>32</v>
      </c>
      <c r="FJ10" s="34"/>
      <c r="FK10" s="33">
        <f t="shared" si="14"/>
        <v>0</v>
      </c>
      <c r="FL10" s="24"/>
      <c r="FM10" s="25" t="s">
        <v>32</v>
      </c>
      <c r="FN10" s="28" t="s">
        <v>32</v>
      </c>
      <c r="FO10" s="75" t="s">
        <v>32</v>
      </c>
      <c r="FP10" s="75" t="s">
        <v>32</v>
      </c>
      <c r="FQ10" s="26"/>
      <c r="FR10" s="26"/>
      <c r="FS10" s="32">
        <f t="shared" si="6"/>
        <v>0</v>
      </c>
      <c r="FT10" s="34" t="s">
        <v>32</v>
      </c>
      <c r="FU10" s="34"/>
      <c r="FV10" s="26" t="s">
        <v>32</v>
      </c>
      <c r="FW10" s="34" t="s">
        <v>32</v>
      </c>
      <c r="FX10" s="32" t="s">
        <v>32</v>
      </c>
      <c r="FY10" s="32" t="s">
        <v>32</v>
      </c>
      <c r="FZ10" s="34" t="s">
        <v>32</v>
      </c>
      <c r="GA10" s="28"/>
      <c r="GB10" s="28" t="s">
        <v>32</v>
      </c>
      <c r="GC10" s="82" t="s">
        <v>32</v>
      </c>
      <c r="GD10" s="34" t="s">
        <v>32</v>
      </c>
      <c r="GE10" s="32" t="s">
        <v>32</v>
      </c>
      <c r="GF10" s="32" t="s">
        <v>32</v>
      </c>
      <c r="GG10" s="29" t="s">
        <v>32</v>
      </c>
      <c r="GH10" s="28" t="s">
        <v>32</v>
      </c>
      <c r="GI10" s="26" t="s">
        <v>32</v>
      </c>
      <c r="GJ10" s="34" t="s">
        <v>32</v>
      </c>
      <c r="GK10" s="32" t="s">
        <v>32</v>
      </c>
      <c r="GL10" s="34"/>
      <c r="GM10" s="33">
        <f t="shared" si="15"/>
        <v>0</v>
      </c>
      <c r="GN10" s="24"/>
      <c r="GO10" s="25" t="s">
        <v>32</v>
      </c>
      <c r="GP10" s="28" t="s">
        <v>32</v>
      </c>
      <c r="GQ10" s="75" t="s">
        <v>32</v>
      </c>
      <c r="GR10" s="75" t="s">
        <v>32</v>
      </c>
      <c r="GS10" s="26"/>
      <c r="GT10" s="26"/>
      <c r="GU10" s="32">
        <f t="shared" si="7"/>
        <v>0</v>
      </c>
      <c r="GV10" s="34" t="s">
        <v>32</v>
      </c>
      <c r="GW10" s="34"/>
      <c r="GX10" s="26" t="s">
        <v>32</v>
      </c>
      <c r="GY10" s="34" t="s">
        <v>32</v>
      </c>
      <c r="GZ10" s="32" t="s">
        <v>32</v>
      </c>
      <c r="HA10" s="32" t="s">
        <v>32</v>
      </c>
      <c r="HB10" s="34" t="s">
        <v>32</v>
      </c>
      <c r="HC10" s="28"/>
      <c r="HD10" s="28" t="s">
        <v>32</v>
      </c>
      <c r="HE10" s="82" t="s">
        <v>32</v>
      </c>
      <c r="HF10" s="34" t="s">
        <v>32</v>
      </c>
      <c r="HG10" s="32" t="s">
        <v>32</v>
      </c>
      <c r="HH10" s="32" t="s">
        <v>32</v>
      </c>
      <c r="HI10" s="29" t="s">
        <v>32</v>
      </c>
      <c r="HJ10" s="28" t="s">
        <v>32</v>
      </c>
      <c r="HK10" s="26" t="s">
        <v>32</v>
      </c>
      <c r="HL10" s="34" t="s">
        <v>32</v>
      </c>
      <c r="HM10" s="32" t="s">
        <v>32</v>
      </c>
      <c r="HN10" s="34"/>
      <c r="HO10" s="33">
        <f t="shared" si="16"/>
        <v>0</v>
      </c>
      <c r="HP10" s="24"/>
      <c r="HQ10" s="25" t="s">
        <v>32</v>
      </c>
      <c r="HR10" s="28" t="s">
        <v>32</v>
      </c>
      <c r="HS10" s="75" t="s">
        <v>32</v>
      </c>
      <c r="HT10" s="75" t="s">
        <v>32</v>
      </c>
      <c r="HU10" s="26"/>
      <c r="HV10" s="26"/>
      <c r="HW10" s="32">
        <f t="shared" si="8"/>
        <v>0</v>
      </c>
      <c r="HX10" s="34" t="s">
        <v>32</v>
      </c>
      <c r="HY10" s="34"/>
      <c r="HZ10" s="26" t="s">
        <v>32</v>
      </c>
      <c r="IA10" s="34" t="s">
        <v>32</v>
      </c>
      <c r="IB10" s="32" t="s">
        <v>32</v>
      </c>
      <c r="IC10" s="32" t="s">
        <v>32</v>
      </c>
      <c r="ID10" s="34" t="s">
        <v>32</v>
      </c>
      <c r="IE10" s="28"/>
      <c r="IF10" s="28" t="s">
        <v>32</v>
      </c>
      <c r="IG10" s="82" t="s">
        <v>32</v>
      </c>
      <c r="IH10" s="34" t="s">
        <v>32</v>
      </c>
      <c r="II10" s="32" t="s">
        <v>32</v>
      </c>
      <c r="IJ10" s="32" t="s">
        <v>32</v>
      </c>
      <c r="IK10" s="29" t="s">
        <v>32</v>
      </c>
      <c r="IL10" s="28" t="s">
        <v>32</v>
      </c>
      <c r="IM10" s="26" t="s">
        <v>32</v>
      </c>
      <c r="IN10" s="34" t="s">
        <v>32</v>
      </c>
      <c r="IO10" s="32" t="s">
        <v>32</v>
      </c>
      <c r="IP10" s="34"/>
      <c r="IQ10" s="33">
        <f t="shared" si="17"/>
        <v>0</v>
      </c>
      <c r="IR10" s="111"/>
    </row>
    <row r="11" spans="1:252" x14ac:dyDescent="0.3">
      <c r="A11" s="25">
        <v>46121</v>
      </c>
      <c r="B11" s="28">
        <v>2950</v>
      </c>
      <c r="C11" s="75">
        <v>6519</v>
      </c>
      <c r="D11" s="75">
        <v>10</v>
      </c>
      <c r="E11" s="26">
        <v>0</v>
      </c>
      <c r="F11" s="26">
        <v>0</v>
      </c>
      <c r="G11" s="32">
        <f t="shared" si="0"/>
        <v>0</v>
      </c>
      <c r="H11" s="34" t="s">
        <v>32</v>
      </c>
      <c r="I11" s="34" t="s">
        <v>32</v>
      </c>
      <c r="J11" s="26" t="s">
        <v>32</v>
      </c>
      <c r="K11" s="34" t="s">
        <v>32</v>
      </c>
      <c r="L11" s="32" t="s">
        <v>32</v>
      </c>
      <c r="M11" s="32" t="s">
        <v>32</v>
      </c>
      <c r="N11" s="34" t="s">
        <v>32</v>
      </c>
      <c r="O11" s="28"/>
      <c r="P11" s="28" t="s">
        <v>32</v>
      </c>
      <c r="Q11" s="82" t="s">
        <v>32</v>
      </c>
      <c r="R11" s="34" t="s">
        <v>32</v>
      </c>
      <c r="S11" s="32" t="s">
        <v>32</v>
      </c>
      <c r="T11" s="32" t="s">
        <v>32</v>
      </c>
      <c r="U11" s="75" t="s">
        <v>32</v>
      </c>
      <c r="V11" s="28" t="s">
        <v>32</v>
      </c>
      <c r="W11" s="26" t="s">
        <v>32</v>
      </c>
      <c r="X11" s="34" t="s">
        <v>32</v>
      </c>
      <c r="Y11" s="32" t="s">
        <v>32</v>
      </c>
      <c r="Z11" s="34" t="s">
        <v>32</v>
      </c>
      <c r="AA11" s="33">
        <f t="shared" si="9"/>
        <v>0</v>
      </c>
      <c r="AB11" s="24"/>
      <c r="AC11" s="25">
        <v>46151</v>
      </c>
      <c r="AD11" s="28">
        <v>2886</v>
      </c>
      <c r="AE11" s="75">
        <v>3156</v>
      </c>
      <c r="AF11" s="75">
        <v>5</v>
      </c>
      <c r="AG11" s="26">
        <v>80</v>
      </c>
      <c r="AH11" s="26">
        <v>2000</v>
      </c>
      <c r="AI11" s="32">
        <f t="shared" si="1"/>
        <v>580996</v>
      </c>
      <c r="AJ11" s="34" t="s">
        <v>32</v>
      </c>
      <c r="AK11" s="34"/>
      <c r="AL11" s="26">
        <v>50000</v>
      </c>
      <c r="AM11" s="34" t="s">
        <v>32</v>
      </c>
      <c r="AN11" s="32" t="s">
        <v>32</v>
      </c>
      <c r="AO11" s="32" t="s">
        <v>32</v>
      </c>
      <c r="AP11" s="34">
        <v>30000</v>
      </c>
      <c r="AQ11" s="28"/>
      <c r="AR11" s="28" t="s">
        <v>32</v>
      </c>
      <c r="AS11" s="82">
        <v>996</v>
      </c>
      <c r="AT11" s="34" t="s">
        <v>32</v>
      </c>
      <c r="AU11" s="32" t="s">
        <v>32</v>
      </c>
      <c r="AV11" s="32" t="s">
        <v>32</v>
      </c>
      <c r="AW11" s="75" t="s">
        <v>32</v>
      </c>
      <c r="AX11" s="28" t="s">
        <v>32</v>
      </c>
      <c r="AY11" s="26">
        <v>500000</v>
      </c>
      <c r="AZ11" s="34" t="s">
        <v>188</v>
      </c>
      <c r="BA11" s="32" t="s">
        <v>32</v>
      </c>
      <c r="BB11" s="34"/>
      <c r="BC11" s="33">
        <f t="shared" si="10"/>
        <v>580996</v>
      </c>
      <c r="BD11" s="129"/>
      <c r="BE11" s="25">
        <v>46182</v>
      </c>
      <c r="BF11" s="28">
        <v>3540</v>
      </c>
      <c r="BG11" s="75">
        <v>4769</v>
      </c>
      <c r="BH11" s="75">
        <v>12</v>
      </c>
      <c r="BI11" s="26">
        <v>0</v>
      </c>
      <c r="BJ11" s="26">
        <v>0</v>
      </c>
      <c r="BK11" s="32">
        <f t="shared" si="2"/>
        <v>197465</v>
      </c>
      <c r="BL11" s="34">
        <v>24080</v>
      </c>
      <c r="BM11" s="34">
        <v>17970</v>
      </c>
      <c r="BN11" s="26">
        <v>146250</v>
      </c>
      <c r="BO11" s="34" t="s">
        <v>32</v>
      </c>
      <c r="BP11" s="32" t="s">
        <v>32</v>
      </c>
      <c r="BQ11" s="32">
        <v>7950</v>
      </c>
      <c r="BR11" s="34" t="s">
        <v>32</v>
      </c>
      <c r="BS11" s="28"/>
      <c r="BT11" s="28" t="s">
        <v>32</v>
      </c>
      <c r="BU11" s="26">
        <v>1215</v>
      </c>
      <c r="BV11" s="34" t="s">
        <v>32</v>
      </c>
      <c r="BW11" s="32" t="s">
        <v>32</v>
      </c>
      <c r="BX11" s="32" t="s">
        <v>32</v>
      </c>
      <c r="BY11" s="82" t="s">
        <v>32</v>
      </c>
      <c r="BZ11" s="28" t="s">
        <v>32</v>
      </c>
      <c r="CA11" s="26" t="s">
        <v>32</v>
      </c>
      <c r="CB11" s="34" t="s">
        <v>32</v>
      </c>
      <c r="CC11" s="32" t="s">
        <v>32</v>
      </c>
      <c r="CD11" s="34" t="s">
        <v>32</v>
      </c>
      <c r="CE11" s="33">
        <f t="shared" si="11"/>
        <v>197465</v>
      </c>
      <c r="CF11" s="24"/>
      <c r="CG11" s="25">
        <v>46212</v>
      </c>
      <c r="CH11" s="28" t="s">
        <v>32</v>
      </c>
      <c r="CI11" s="75" t="s">
        <v>32</v>
      </c>
      <c r="CJ11" s="75" t="s">
        <v>32</v>
      </c>
      <c r="CK11" s="26"/>
      <c r="CL11" s="26"/>
      <c r="CM11" s="32">
        <f t="shared" si="3"/>
        <v>0</v>
      </c>
      <c r="CN11" s="34" t="s">
        <v>32</v>
      </c>
      <c r="CO11" s="34" t="s">
        <v>32</v>
      </c>
      <c r="CP11" s="26" t="s">
        <v>32</v>
      </c>
      <c r="CQ11" s="34" t="s">
        <v>32</v>
      </c>
      <c r="CR11" s="32" t="s">
        <v>32</v>
      </c>
      <c r="CS11" s="32" t="s">
        <v>32</v>
      </c>
      <c r="CT11" s="34" t="s">
        <v>32</v>
      </c>
      <c r="CU11" s="28"/>
      <c r="CV11" s="28" t="s">
        <v>32</v>
      </c>
      <c r="CW11" s="82" t="s">
        <v>32</v>
      </c>
      <c r="CX11" s="34" t="s">
        <v>32</v>
      </c>
      <c r="CY11" s="32" t="s">
        <v>32</v>
      </c>
      <c r="CZ11" s="32" t="s">
        <v>32</v>
      </c>
      <c r="DA11" s="29" t="s">
        <v>32</v>
      </c>
      <c r="DB11" s="28" t="s">
        <v>32</v>
      </c>
      <c r="DC11" s="26" t="s">
        <v>32</v>
      </c>
      <c r="DD11" s="34" t="s">
        <v>32</v>
      </c>
      <c r="DE11" s="32" t="s">
        <v>32</v>
      </c>
      <c r="DF11" s="34" t="s">
        <v>32</v>
      </c>
      <c r="DG11" s="33">
        <f t="shared" si="12"/>
        <v>0</v>
      </c>
      <c r="DH11" s="24"/>
      <c r="DI11" s="25" t="s">
        <v>32</v>
      </c>
      <c r="DJ11" s="28" t="s">
        <v>32</v>
      </c>
      <c r="DK11" s="75" t="s">
        <v>32</v>
      </c>
      <c r="DL11" s="75" t="s">
        <v>32</v>
      </c>
      <c r="DM11" s="26"/>
      <c r="DN11" s="26"/>
      <c r="DO11" s="32">
        <f t="shared" si="4"/>
        <v>0</v>
      </c>
      <c r="DP11" s="34" t="s">
        <v>32</v>
      </c>
      <c r="DQ11" s="34" t="s">
        <v>32</v>
      </c>
      <c r="DR11" s="26" t="s">
        <v>32</v>
      </c>
      <c r="DS11" s="34" t="s">
        <v>32</v>
      </c>
      <c r="DT11" s="32" t="s">
        <v>32</v>
      </c>
      <c r="DU11" s="32" t="s">
        <v>32</v>
      </c>
      <c r="DV11" s="34" t="s">
        <v>32</v>
      </c>
      <c r="DW11" s="28"/>
      <c r="DX11" s="28" t="s">
        <v>32</v>
      </c>
      <c r="DY11" s="82" t="s">
        <v>32</v>
      </c>
      <c r="DZ11" s="34" t="s">
        <v>32</v>
      </c>
      <c r="EA11" s="32" t="s">
        <v>32</v>
      </c>
      <c r="EB11" s="32" t="s">
        <v>32</v>
      </c>
      <c r="EC11" s="29" t="s">
        <v>32</v>
      </c>
      <c r="ED11" s="28" t="s">
        <v>32</v>
      </c>
      <c r="EE11" s="26" t="s">
        <v>32</v>
      </c>
      <c r="EF11" s="34" t="s">
        <v>32</v>
      </c>
      <c r="EG11" s="32" t="s">
        <v>32</v>
      </c>
      <c r="EH11" s="34" t="s">
        <v>32</v>
      </c>
      <c r="EI11" s="33">
        <f t="shared" si="13"/>
        <v>0</v>
      </c>
      <c r="EJ11" s="24"/>
      <c r="EK11" s="25" t="s">
        <v>32</v>
      </c>
      <c r="EL11" s="28" t="s">
        <v>32</v>
      </c>
      <c r="EM11" s="75" t="s">
        <v>32</v>
      </c>
      <c r="EN11" s="75" t="s">
        <v>32</v>
      </c>
      <c r="EO11" s="26"/>
      <c r="EP11" s="26"/>
      <c r="EQ11" s="32">
        <f t="shared" si="5"/>
        <v>0</v>
      </c>
      <c r="ER11" s="34" t="s">
        <v>32</v>
      </c>
      <c r="ES11" s="34" t="s">
        <v>32</v>
      </c>
      <c r="ET11" s="26" t="s">
        <v>32</v>
      </c>
      <c r="EU11" s="34" t="s">
        <v>32</v>
      </c>
      <c r="EV11" s="32" t="s">
        <v>32</v>
      </c>
      <c r="EW11" s="32" t="s">
        <v>32</v>
      </c>
      <c r="EX11" s="34" t="s">
        <v>32</v>
      </c>
      <c r="EY11" s="28"/>
      <c r="EZ11" s="28" t="s">
        <v>32</v>
      </c>
      <c r="FA11" s="82" t="s">
        <v>32</v>
      </c>
      <c r="FB11" s="34" t="s">
        <v>32</v>
      </c>
      <c r="FC11" s="32" t="s">
        <v>32</v>
      </c>
      <c r="FD11" s="32" t="s">
        <v>32</v>
      </c>
      <c r="FE11" s="29" t="s">
        <v>32</v>
      </c>
      <c r="FF11" s="28" t="s">
        <v>32</v>
      </c>
      <c r="FG11" s="26" t="s">
        <v>32</v>
      </c>
      <c r="FH11" s="34" t="s">
        <v>32</v>
      </c>
      <c r="FI11" s="32" t="s">
        <v>32</v>
      </c>
      <c r="FJ11" s="34" t="s">
        <v>32</v>
      </c>
      <c r="FK11" s="33">
        <f t="shared" si="14"/>
        <v>0</v>
      </c>
      <c r="FL11" s="24"/>
      <c r="FM11" s="25" t="s">
        <v>32</v>
      </c>
      <c r="FN11" s="28" t="s">
        <v>32</v>
      </c>
      <c r="FO11" s="75" t="s">
        <v>32</v>
      </c>
      <c r="FP11" s="75" t="s">
        <v>32</v>
      </c>
      <c r="FQ11" s="26"/>
      <c r="FR11" s="26"/>
      <c r="FS11" s="32">
        <f t="shared" si="6"/>
        <v>0</v>
      </c>
      <c r="FT11" s="34" t="s">
        <v>32</v>
      </c>
      <c r="FU11" s="34" t="s">
        <v>32</v>
      </c>
      <c r="FV11" s="26" t="s">
        <v>32</v>
      </c>
      <c r="FW11" s="34" t="s">
        <v>32</v>
      </c>
      <c r="FX11" s="32" t="s">
        <v>32</v>
      </c>
      <c r="FY11" s="32" t="s">
        <v>32</v>
      </c>
      <c r="FZ11" s="34" t="s">
        <v>32</v>
      </c>
      <c r="GA11" s="28"/>
      <c r="GB11" s="28" t="s">
        <v>32</v>
      </c>
      <c r="GC11" s="82" t="s">
        <v>32</v>
      </c>
      <c r="GD11" s="34" t="s">
        <v>32</v>
      </c>
      <c r="GE11" s="32" t="s">
        <v>32</v>
      </c>
      <c r="GF11" s="32" t="s">
        <v>32</v>
      </c>
      <c r="GG11" s="29" t="s">
        <v>32</v>
      </c>
      <c r="GH11" s="28" t="s">
        <v>32</v>
      </c>
      <c r="GI11" s="26" t="s">
        <v>32</v>
      </c>
      <c r="GJ11" s="34" t="s">
        <v>32</v>
      </c>
      <c r="GK11" s="32" t="s">
        <v>32</v>
      </c>
      <c r="GL11" s="34" t="s">
        <v>32</v>
      </c>
      <c r="GM11" s="33">
        <f t="shared" si="15"/>
        <v>0</v>
      </c>
      <c r="GN11" s="24"/>
      <c r="GO11" s="25" t="s">
        <v>32</v>
      </c>
      <c r="GP11" s="28" t="s">
        <v>32</v>
      </c>
      <c r="GQ11" s="75" t="s">
        <v>32</v>
      </c>
      <c r="GR11" s="75" t="s">
        <v>32</v>
      </c>
      <c r="GS11" s="26"/>
      <c r="GT11" s="26"/>
      <c r="GU11" s="32">
        <f t="shared" si="7"/>
        <v>0</v>
      </c>
      <c r="GV11" s="34" t="s">
        <v>32</v>
      </c>
      <c r="GW11" s="34" t="s">
        <v>32</v>
      </c>
      <c r="GX11" s="26" t="s">
        <v>32</v>
      </c>
      <c r="GY11" s="34" t="s">
        <v>32</v>
      </c>
      <c r="GZ11" s="32" t="s">
        <v>32</v>
      </c>
      <c r="HA11" s="32" t="s">
        <v>32</v>
      </c>
      <c r="HB11" s="34" t="s">
        <v>32</v>
      </c>
      <c r="HC11" s="28"/>
      <c r="HD11" s="28" t="s">
        <v>32</v>
      </c>
      <c r="HE11" s="82" t="s">
        <v>32</v>
      </c>
      <c r="HF11" s="34" t="s">
        <v>32</v>
      </c>
      <c r="HG11" s="32" t="s">
        <v>32</v>
      </c>
      <c r="HH11" s="32" t="s">
        <v>32</v>
      </c>
      <c r="HI11" s="29" t="s">
        <v>32</v>
      </c>
      <c r="HJ11" s="28" t="s">
        <v>32</v>
      </c>
      <c r="HK11" s="26" t="s">
        <v>32</v>
      </c>
      <c r="HL11" s="34" t="s">
        <v>32</v>
      </c>
      <c r="HM11" s="32" t="s">
        <v>32</v>
      </c>
      <c r="HN11" s="34" t="s">
        <v>32</v>
      </c>
      <c r="HO11" s="33">
        <f t="shared" si="16"/>
        <v>0</v>
      </c>
      <c r="HP11" s="24"/>
      <c r="HQ11" s="25" t="s">
        <v>32</v>
      </c>
      <c r="HR11" s="28" t="s">
        <v>32</v>
      </c>
      <c r="HS11" s="75" t="s">
        <v>32</v>
      </c>
      <c r="HT11" s="75" t="s">
        <v>32</v>
      </c>
      <c r="HU11" s="26"/>
      <c r="HV11" s="26"/>
      <c r="HW11" s="32">
        <f t="shared" si="8"/>
        <v>0</v>
      </c>
      <c r="HX11" s="34" t="s">
        <v>32</v>
      </c>
      <c r="HY11" s="34" t="s">
        <v>32</v>
      </c>
      <c r="HZ11" s="26" t="s">
        <v>32</v>
      </c>
      <c r="IA11" s="34" t="s">
        <v>32</v>
      </c>
      <c r="IB11" s="32" t="s">
        <v>32</v>
      </c>
      <c r="IC11" s="32" t="s">
        <v>32</v>
      </c>
      <c r="ID11" s="34" t="s">
        <v>32</v>
      </c>
      <c r="IE11" s="28"/>
      <c r="IF11" s="28" t="s">
        <v>32</v>
      </c>
      <c r="IG11" s="82" t="s">
        <v>32</v>
      </c>
      <c r="IH11" s="34" t="s">
        <v>32</v>
      </c>
      <c r="II11" s="32" t="s">
        <v>32</v>
      </c>
      <c r="IJ11" s="32" t="s">
        <v>32</v>
      </c>
      <c r="IK11" s="29" t="s">
        <v>32</v>
      </c>
      <c r="IL11" s="28" t="s">
        <v>32</v>
      </c>
      <c r="IM11" s="26" t="s">
        <v>32</v>
      </c>
      <c r="IN11" s="34" t="s">
        <v>32</v>
      </c>
      <c r="IO11" s="32" t="s">
        <v>32</v>
      </c>
      <c r="IP11" s="34" t="s">
        <v>32</v>
      </c>
      <c r="IQ11" s="33">
        <f t="shared" si="17"/>
        <v>0</v>
      </c>
      <c r="IR11" s="111"/>
    </row>
    <row r="12" spans="1:252" x14ac:dyDescent="0.3">
      <c r="A12" s="25">
        <v>46122</v>
      </c>
      <c r="B12" s="28">
        <v>2782</v>
      </c>
      <c r="C12" s="75">
        <v>1480</v>
      </c>
      <c r="D12" s="75">
        <v>7</v>
      </c>
      <c r="E12" s="26">
        <v>4632</v>
      </c>
      <c r="F12" s="26">
        <v>278915</v>
      </c>
      <c r="G12" s="32">
        <f t="shared" si="0"/>
        <v>186140</v>
      </c>
      <c r="H12" s="34">
        <v>18310</v>
      </c>
      <c r="I12" s="34">
        <v>13670</v>
      </c>
      <c r="J12" s="26">
        <v>96600</v>
      </c>
      <c r="K12" s="34" t="s">
        <v>32</v>
      </c>
      <c r="L12" s="32">
        <v>40000</v>
      </c>
      <c r="M12" s="32" t="s">
        <v>32</v>
      </c>
      <c r="N12" s="34">
        <v>16300</v>
      </c>
      <c r="O12" s="28"/>
      <c r="P12" s="28" t="s">
        <v>32</v>
      </c>
      <c r="Q12" s="82">
        <v>1260</v>
      </c>
      <c r="R12" s="34" t="s">
        <v>32</v>
      </c>
      <c r="S12" s="32" t="s">
        <v>32</v>
      </c>
      <c r="T12" s="32" t="s">
        <v>32</v>
      </c>
      <c r="U12" s="75" t="s">
        <v>32</v>
      </c>
      <c r="V12" s="28" t="s">
        <v>32</v>
      </c>
      <c r="W12" s="26" t="s">
        <v>32</v>
      </c>
      <c r="X12" s="34" t="s">
        <v>32</v>
      </c>
      <c r="Y12" s="32" t="s">
        <v>32</v>
      </c>
      <c r="Z12" s="34"/>
      <c r="AA12" s="33">
        <f t="shared" si="9"/>
        <v>186140</v>
      </c>
      <c r="AB12" s="24"/>
      <c r="AC12" s="25">
        <v>46152</v>
      </c>
      <c r="AD12" s="28">
        <v>3818</v>
      </c>
      <c r="AE12" s="75">
        <v>0</v>
      </c>
      <c r="AF12" s="75">
        <v>8</v>
      </c>
      <c r="AG12" s="26">
        <v>0</v>
      </c>
      <c r="AH12" s="26">
        <v>0</v>
      </c>
      <c r="AI12" s="32">
        <f t="shared" si="1"/>
        <v>0</v>
      </c>
      <c r="AJ12" s="34" t="s">
        <v>32</v>
      </c>
      <c r="AK12" s="34" t="s">
        <v>32</v>
      </c>
      <c r="AL12" s="26" t="s">
        <v>32</v>
      </c>
      <c r="AM12" s="34" t="s">
        <v>32</v>
      </c>
      <c r="AN12" s="32" t="s">
        <v>32</v>
      </c>
      <c r="AO12" s="32" t="s">
        <v>32</v>
      </c>
      <c r="AP12" s="34" t="s">
        <v>32</v>
      </c>
      <c r="AQ12" s="28"/>
      <c r="AR12" s="28" t="s">
        <v>32</v>
      </c>
      <c r="AS12" s="82" t="s">
        <v>32</v>
      </c>
      <c r="AT12" s="34" t="s">
        <v>32</v>
      </c>
      <c r="AU12" s="32" t="s">
        <v>32</v>
      </c>
      <c r="AV12" s="32" t="s">
        <v>32</v>
      </c>
      <c r="AW12" s="75" t="s">
        <v>32</v>
      </c>
      <c r="AX12" s="28" t="s">
        <v>32</v>
      </c>
      <c r="AY12" s="26" t="s">
        <v>32</v>
      </c>
      <c r="AZ12" s="34" t="s">
        <v>32</v>
      </c>
      <c r="BA12" s="32" t="s">
        <v>32</v>
      </c>
      <c r="BB12" s="34" t="s">
        <v>32</v>
      </c>
      <c r="BC12" s="33">
        <f t="shared" si="10"/>
        <v>0</v>
      </c>
      <c r="BD12" s="129"/>
      <c r="BE12" s="25">
        <v>46183</v>
      </c>
      <c r="BF12" s="28">
        <v>4322</v>
      </c>
      <c r="BG12" s="75">
        <v>2816</v>
      </c>
      <c r="BH12" s="75">
        <v>10</v>
      </c>
      <c r="BI12" s="26">
        <v>0</v>
      </c>
      <c r="BJ12" s="26">
        <v>0</v>
      </c>
      <c r="BK12" s="32">
        <f t="shared" si="2"/>
        <v>0</v>
      </c>
      <c r="BL12" s="34" t="s">
        <v>32</v>
      </c>
      <c r="BM12" s="34"/>
      <c r="BN12" s="26" t="s">
        <v>32</v>
      </c>
      <c r="BO12" s="34" t="s">
        <v>32</v>
      </c>
      <c r="BP12" s="32" t="s">
        <v>32</v>
      </c>
      <c r="BQ12" s="32" t="s">
        <v>32</v>
      </c>
      <c r="BR12" s="34" t="s">
        <v>32</v>
      </c>
      <c r="BS12" s="28"/>
      <c r="BT12" s="28" t="s">
        <v>32</v>
      </c>
      <c r="BU12" s="26" t="s">
        <v>32</v>
      </c>
      <c r="BV12" s="34" t="s">
        <v>32</v>
      </c>
      <c r="BW12" s="32" t="s">
        <v>32</v>
      </c>
      <c r="BX12" s="32" t="s">
        <v>32</v>
      </c>
      <c r="BY12" s="82" t="s">
        <v>32</v>
      </c>
      <c r="BZ12" s="28" t="s">
        <v>32</v>
      </c>
      <c r="CA12" s="26" t="s">
        <v>32</v>
      </c>
      <c r="CB12" s="34" t="s">
        <v>32</v>
      </c>
      <c r="CC12" s="32" t="s">
        <v>32</v>
      </c>
      <c r="CD12" s="34"/>
      <c r="CE12" s="33">
        <f t="shared" si="11"/>
        <v>0</v>
      </c>
      <c r="CF12" s="24"/>
      <c r="CG12" s="25">
        <v>46213</v>
      </c>
      <c r="CH12" s="28" t="s">
        <v>32</v>
      </c>
      <c r="CI12" s="75" t="s">
        <v>32</v>
      </c>
      <c r="CJ12" s="75" t="s">
        <v>32</v>
      </c>
      <c r="CK12" s="26"/>
      <c r="CL12" s="26"/>
      <c r="CM12" s="32">
        <f t="shared" si="3"/>
        <v>0</v>
      </c>
      <c r="CN12" s="34" t="s">
        <v>32</v>
      </c>
      <c r="CO12" s="34"/>
      <c r="CP12" s="26" t="s">
        <v>32</v>
      </c>
      <c r="CQ12" s="34" t="s">
        <v>32</v>
      </c>
      <c r="CR12" s="32" t="s">
        <v>32</v>
      </c>
      <c r="CS12" s="32" t="s">
        <v>32</v>
      </c>
      <c r="CT12" s="34" t="s">
        <v>32</v>
      </c>
      <c r="CU12" s="28"/>
      <c r="CV12" s="28" t="s">
        <v>32</v>
      </c>
      <c r="CW12" s="82" t="s">
        <v>32</v>
      </c>
      <c r="CX12" s="34" t="s">
        <v>32</v>
      </c>
      <c r="CY12" s="32" t="s">
        <v>32</v>
      </c>
      <c r="CZ12" s="32" t="s">
        <v>32</v>
      </c>
      <c r="DA12" s="29" t="s">
        <v>32</v>
      </c>
      <c r="DB12" s="28" t="s">
        <v>32</v>
      </c>
      <c r="DC12" s="26" t="s">
        <v>32</v>
      </c>
      <c r="DD12" s="34" t="s">
        <v>32</v>
      </c>
      <c r="DE12" s="32" t="s">
        <v>32</v>
      </c>
      <c r="DF12" s="34"/>
      <c r="DG12" s="33">
        <f t="shared" si="12"/>
        <v>0</v>
      </c>
      <c r="DH12" s="24"/>
      <c r="DI12" s="25" t="s">
        <v>32</v>
      </c>
      <c r="DJ12" s="28" t="s">
        <v>32</v>
      </c>
      <c r="DK12" s="75" t="s">
        <v>32</v>
      </c>
      <c r="DL12" s="75" t="s">
        <v>32</v>
      </c>
      <c r="DM12" s="26"/>
      <c r="DN12" s="26"/>
      <c r="DO12" s="32">
        <f t="shared" si="4"/>
        <v>0</v>
      </c>
      <c r="DP12" s="34" t="s">
        <v>32</v>
      </c>
      <c r="DQ12" s="34"/>
      <c r="DR12" s="26" t="s">
        <v>32</v>
      </c>
      <c r="DS12" s="34" t="s">
        <v>32</v>
      </c>
      <c r="DT12" s="32" t="s">
        <v>32</v>
      </c>
      <c r="DU12" s="32" t="s">
        <v>32</v>
      </c>
      <c r="DV12" s="34" t="s">
        <v>32</v>
      </c>
      <c r="DW12" s="28"/>
      <c r="DX12" s="28" t="s">
        <v>32</v>
      </c>
      <c r="DY12" s="82" t="s">
        <v>32</v>
      </c>
      <c r="DZ12" s="34" t="s">
        <v>32</v>
      </c>
      <c r="EA12" s="32" t="s">
        <v>32</v>
      </c>
      <c r="EB12" s="32" t="s">
        <v>32</v>
      </c>
      <c r="EC12" s="29" t="s">
        <v>32</v>
      </c>
      <c r="ED12" s="28" t="s">
        <v>32</v>
      </c>
      <c r="EE12" s="26" t="s">
        <v>32</v>
      </c>
      <c r="EF12" s="34" t="s">
        <v>32</v>
      </c>
      <c r="EG12" s="32" t="s">
        <v>32</v>
      </c>
      <c r="EH12" s="34"/>
      <c r="EI12" s="33">
        <f t="shared" si="13"/>
        <v>0</v>
      </c>
      <c r="EJ12" s="24"/>
      <c r="EK12" s="25" t="s">
        <v>32</v>
      </c>
      <c r="EL12" s="28" t="s">
        <v>32</v>
      </c>
      <c r="EM12" s="75" t="s">
        <v>32</v>
      </c>
      <c r="EN12" s="75" t="s">
        <v>32</v>
      </c>
      <c r="EO12" s="26"/>
      <c r="EP12" s="26"/>
      <c r="EQ12" s="32">
        <f t="shared" si="5"/>
        <v>0</v>
      </c>
      <c r="ER12" s="34" t="s">
        <v>32</v>
      </c>
      <c r="ES12" s="34"/>
      <c r="ET12" s="26" t="s">
        <v>32</v>
      </c>
      <c r="EU12" s="34" t="s">
        <v>32</v>
      </c>
      <c r="EV12" s="32" t="s">
        <v>32</v>
      </c>
      <c r="EW12" s="32" t="s">
        <v>32</v>
      </c>
      <c r="EX12" s="34" t="s">
        <v>32</v>
      </c>
      <c r="EY12" s="28"/>
      <c r="EZ12" s="28" t="s">
        <v>32</v>
      </c>
      <c r="FA12" s="82" t="s">
        <v>32</v>
      </c>
      <c r="FB12" s="34" t="s">
        <v>32</v>
      </c>
      <c r="FC12" s="32" t="s">
        <v>32</v>
      </c>
      <c r="FD12" s="32" t="s">
        <v>32</v>
      </c>
      <c r="FE12" s="29" t="s">
        <v>32</v>
      </c>
      <c r="FF12" s="28" t="s">
        <v>32</v>
      </c>
      <c r="FG12" s="26" t="s">
        <v>32</v>
      </c>
      <c r="FH12" s="34" t="s">
        <v>32</v>
      </c>
      <c r="FI12" s="32" t="s">
        <v>32</v>
      </c>
      <c r="FJ12" s="34"/>
      <c r="FK12" s="33">
        <f t="shared" si="14"/>
        <v>0</v>
      </c>
      <c r="FL12" s="24"/>
      <c r="FM12" s="25" t="s">
        <v>32</v>
      </c>
      <c r="FN12" s="28" t="s">
        <v>32</v>
      </c>
      <c r="FO12" s="75" t="s">
        <v>32</v>
      </c>
      <c r="FP12" s="75" t="s">
        <v>32</v>
      </c>
      <c r="FQ12" s="26"/>
      <c r="FR12" s="26"/>
      <c r="FS12" s="32">
        <f t="shared" si="6"/>
        <v>0</v>
      </c>
      <c r="FT12" s="34" t="s">
        <v>32</v>
      </c>
      <c r="FU12" s="34"/>
      <c r="FV12" s="26" t="s">
        <v>32</v>
      </c>
      <c r="FW12" s="34" t="s">
        <v>32</v>
      </c>
      <c r="FX12" s="32" t="s">
        <v>32</v>
      </c>
      <c r="FY12" s="32" t="s">
        <v>32</v>
      </c>
      <c r="FZ12" s="34" t="s">
        <v>32</v>
      </c>
      <c r="GA12" s="28"/>
      <c r="GB12" s="28" t="s">
        <v>32</v>
      </c>
      <c r="GC12" s="82" t="s">
        <v>32</v>
      </c>
      <c r="GD12" s="34" t="s">
        <v>32</v>
      </c>
      <c r="GE12" s="32" t="s">
        <v>32</v>
      </c>
      <c r="GF12" s="32" t="s">
        <v>32</v>
      </c>
      <c r="GG12" s="29" t="s">
        <v>32</v>
      </c>
      <c r="GH12" s="28" t="s">
        <v>32</v>
      </c>
      <c r="GI12" s="26" t="s">
        <v>32</v>
      </c>
      <c r="GJ12" s="34" t="s">
        <v>32</v>
      </c>
      <c r="GK12" s="32" t="s">
        <v>32</v>
      </c>
      <c r="GL12" s="34"/>
      <c r="GM12" s="33">
        <f t="shared" si="15"/>
        <v>0</v>
      </c>
      <c r="GN12" s="24"/>
      <c r="GO12" s="25" t="s">
        <v>32</v>
      </c>
      <c r="GP12" s="28" t="s">
        <v>32</v>
      </c>
      <c r="GQ12" s="75" t="s">
        <v>32</v>
      </c>
      <c r="GR12" s="75" t="s">
        <v>32</v>
      </c>
      <c r="GS12" s="26"/>
      <c r="GT12" s="26"/>
      <c r="GU12" s="32">
        <f t="shared" si="7"/>
        <v>0</v>
      </c>
      <c r="GV12" s="34" t="s">
        <v>32</v>
      </c>
      <c r="GW12" s="34"/>
      <c r="GX12" s="26" t="s">
        <v>32</v>
      </c>
      <c r="GY12" s="34" t="s">
        <v>32</v>
      </c>
      <c r="GZ12" s="32" t="s">
        <v>32</v>
      </c>
      <c r="HA12" s="32" t="s">
        <v>32</v>
      </c>
      <c r="HB12" s="34" t="s">
        <v>32</v>
      </c>
      <c r="HC12" s="28"/>
      <c r="HD12" s="28" t="s">
        <v>32</v>
      </c>
      <c r="HE12" s="82" t="s">
        <v>32</v>
      </c>
      <c r="HF12" s="34" t="s">
        <v>32</v>
      </c>
      <c r="HG12" s="32" t="s">
        <v>32</v>
      </c>
      <c r="HH12" s="32" t="s">
        <v>32</v>
      </c>
      <c r="HI12" s="29" t="s">
        <v>32</v>
      </c>
      <c r="HJ12" s="28" t="s">
        <v>32</v>
      </c>
      <c r="HK12" s="26" t="s">
        <v>32</v>
      </c>
      <c r="HL12" s="34" t="s">
        <v>32</v>
      </c>
      <c r="HM12" s="32" t="s">
        <v>32</v>
      </c>
      <c r="HN12" s="34"/>
      <c r="HO12" s="33">
        <f t="shared" si="16"/>
        <v>0</v>
      </c>
      <c r="HP12" s="24"/>
      <c r="HQ12" s="25" t="s">
        <v>32</v>
      </c>
      <c r="HR12" s="28" t="s">
        <v>32</v>
      </c>
      <c r="HS12" s="75" t="s">
        <v>32</v>
      </c>
      <c r="HT12" s="75" t="s">
        <v>32</v>
      </c>
      <c r="HU12" s="26"/>
      <c r="HV12" s="26"/>
      <c r="HW12" s="32">
        <f t="shared" si="8"/>
        <v>0</v>
      </c>
      <c r="HX12" s="34" t="s">
        <v>32</v>
      </c>
      <c r="HY12" s="34"/>
      <c r="HZ12" s="26" t="s">
        <v>32</v>
      </c>
      <c r="IA12" s="34" t="s">
        <v>32</v>
      </c>
      <c r="IB12" s="32" t="s">
        <v>32</v>
      </c>
      <c r="IC12" s="32" t="s">
        <v>32</v>
      </c>
      <c r="ID12" s="34" t="s">
        <v>32</v>
      </c>
      <c r="IE12" s="28"/>
      <c r="IF12" s="28" t="s">
        <v>32</v>
      </c>
      <c r="IG12" s="82" t="s">
        <v>32</v>
      </c>
      <c r="IH12" s="34" t="s">
        <v>32</v>
      </c>
      <c r="II12" s="32" t="s">
        <v>32</v>
      </c>
      <c r="IJ12" s="32" t="s">
        <v>32</v>
      </c>
      <c r="IK12" s="29" t="s">
        <v>32</v>
      </c>
      <c r="IL12" s="28" t="s">
        <v>32</v>
      </c>
      <c r="IM12" s="26" t="s">
        <v>32</v>
      </c>
      <c r="IN12" s="34" t="s">
        <v>32</v>
      </c>
      <c r="IO12" s="32" t="s">
        <v>32</v>
      </c>
      <c r="IP12" s="34"/>
      <c r="IQ12" s="33">
        <f t="shared" si="17"/>
        <v>0</v>
      </c>
      <c r="IR12" s="111"/>
    </row>
    <row r="13" spans="1:252" x14ac:dyDescent="0.3">
      <c r="A13" s="25">
        <v>46123</v>
      </c>
      <c r="B13" s="28">
        <v>720</v>
      </c>
      <c r="C13" s="75">
        <v>0</v>
      </c>
      <c r="D13" s="75">
        <v>10.5</v>
      </c>
      <c r="E13" s="26">
        <v>0</v>
      </c>
      <c r="F13" s="26">
        <v>0</v>
      </c>
      <c r="G13" s="32">
        <f t="shared" si="0"/>
        <v>0</v>
      </c>
      <c r="H13" s="34" t="s">
        <v>32</v>
      </c>
      <c r="I13" s="34"/>
      <c r="J13" s="26" t="s">
        <v>32</v>
      </c>
      <c r="K13" s="34" t="s">
        <v>33</v>
      </c>
      <c r="L13" s="32" t="s">
        <v>32</v>
      </c>
      <c r="M13" s="32" t="s">
        <v>32</v>
      </c>
      <c r="N13" s="34" t="s">
        <v>32</v>
      </c>
      <c r="O13" s="28"/>
      <c r="P13" s="28" t="s">
        <v>32</v>
      </c>
      <c r="Q13" s="82" t="s">
        <v>32</v>
      </c>
      <c r="R13" s="34" t="s">
        <v>32</v>
      </c>
      <c r="S13" s="32" t="s">
        <v>32</v>
      </c>
      <c r="T13" s="32" t="s">
        <v>33</v>
      </c>
      <c r="U13" s="75" t="s">
        <v>32</v>
      </c>
      <c r="V13" s="28" t="s">
        <v>32</v>
      </c>
      <c r="W13" s="26" t="s">
        <v>32</v>
      </c>
      <c r="X13" s="34" t="s">
        <v>32</v>
      </c>
      <c r="Y13" s="32" t="s">
        <v>32</v>
      </c>
      <c r="Z13" s="34" t="s">
        <v>32</v>
      </c>
      <c r="AA13" s="33">
        <f t="shared" si="9"/>
        <v>0</v>
      </c>
      <c r="AB13" s="24"/>
      <c r="AC13" s="25">
        <v>46153</v>
      </c>
      <c r="AD13" s="28">
        <v>3360</v>
      </c>
      <c r="AE13" s="75">
        <v>1620</v>
      </c>
      <c r="AF13" s="75">
        <v>4.5</v>
      </c>
      <c r="AG13" s="26">
        <v>8333</v>
      </c>
      <c r="AH13" s="26">
        <v>525756</v>
      </c>
      <c r="AI13" s="32">
        <f t="shared" si="1"/>
        <v>184050</v>
      </c>
      <c r="AJ13" s="34">
        <v>16931</v>
      </c>
      <c r="AK13" s="34">
        <v>15419</v>
      </c>
      <c r="AL13" s="26" t="s">
        <v>32</v>
      </c>
      <c r="AM13" s="34">
        <v>150000</v>
      </c>
      <c r="AN13" s="32" t="s">
        <v>32</v>
      </c>
      <c r="AO13" s="32" t="s">
        <v>32</v>
      </c>
      <c r="AP13" s="34" t="s">
        <v>32</v>
      </c>
      <c r="AQ13" s="28"/>
      <c r="AR13" s="28" t="s">
        <v>32</v>
      </c>
      <c r="AS13" s="82">
        <v>1700</v>
      </c>
      <c r="AT13" s="34" t="s">
        <v>32</v>
      </c>
      <c r="AU13" s="32" t="s">
        <v>32</v>
      </c>
      <c r="AV13" s="32" t="s">
        <v>32</v>
      </c>
      <c r="AW13" s="75" t="s">
        <v>32</v>
      </c>
      <c r="AX13" s="28" t="s">
        <v>32</v>
      </c>
      <c r="AY13" s="26" t="s">
        <v>32</v>
      </c>
      <c r="AZ13" s="34" t="s">
        <v>32</v>
      </c>
      <c r="BA13" s="32" t="s">
        <v>32</v>
      </c>
      <c r="BB13" s="34"/>
      <c r="BC13" s="33">
        <f t="shared" si="10"/>
        <v>184050</v>
      </c>
      <c r="BD13" s="129"/>
      <c r="BE13" s="25">
        <v>46184</v>
      </c>
      <c r="BF13" s="28">
        <v>4888</v>
      </c>
      <c r="BG13" s="75">
        <v>2282</v>
      </c>
      <c r="BH13" s="75">
        <v>13</v>
      </c>
      <c r="BI13" s="26">
        <v>4458</v>
      </c>
      <c r="BJ13" s="26">
        <v>265200</v>
      </c>
      <c r="BK13" s="32">
        <f t="shared" si="2"/>
        <v>111540</v>
      </c>
      <c r="BL13" s="34" t="s">
        <v>32</v>
      </c>
      <c r="BM13" s="34"/>
      <c r="BN13" s="26">
        <v>100000</v>
      </c>
      <c r="BO13" s="34">
        <v>2000</v>
      </c>
      <c r="BP13" s="32">
        <v>160</v>
      </c>
      <c r="BQ13" s="32" t="s">
        <v>32</v>
      </c>
      <c r="BR13" s="34" t="s">
        <v>32</v>
      </c>
      <c r="BS13" s="28"/>
      <c r="BT13" s="28" t="s">
        <v>32</v>
      </c>
      <c r="BU13" s="26">
        <v>1480</v>
      </c>
      <c r="BV13" s="34" t="s">
        <v>32</v>
      </c>
      <c r="BW13" s="32" t="s">
        <v>32</v>
      </c>
      <c r="BX13" s="32" t="s">
        <v>33</v>
      </c>
      <c r="BY13" s="82">
        <v>7900</v>
      </c>
      <c r="BZ13" s="28" t="s">
        <v>32</v>
      </c>
      <c r="CA13" s="26" t="s">
        <v>32</v>
      </c>
      <c r="CB13" s="34" t="s">
        <v>32</v>
      </c>
      <c r="CC13" s="32" t="s">
        <v>32</v>
      </c>
      <c r="CD13" s="34" t="s">
        <v>32</v>
      </c>
      <c r="CE13" s="33">
        <f t="shared" si="11"/>
        <v>111540</v>
      </c>
      <c r="CF13" s="24"/>
      <c r="CG13" s="25">
        <v>46214</v>
      </c>
      <c r="CH13" s="28" t="s">
        <v>32</v>
      </c>
      <c r="CI13" s="75" t="s">
        <v>32</v>
      </c>
      <c r="CJ13" s="75" t="s">
        <v>32</v>
      </c>
      <c r="CK13" s="26"/>
      <c r="CL13" s="26"/>
      <c r="CM13" s="32">
        <f t="shared" si="3"/>
        <v>0</v>
      </c>
      <c r="CN13" s="34" t="s">
        <v>32</v>
      </c>
      <c r="CO13" s="34"/>
      <c r="CP13" s="26" t="s">
        <v>32</v>
      </c>
      <c r="CQ13" s="34" t="s">
        <v>33</v>
      </c>
      <c r="CR13" s="32" t="s">
        <v>32</v>
      </c>
      <c r="CS13" s="32" t="s">
        <v>32</v>
      </c>
      <c r="CT13" s="34" t="s">
        <v>32</v>
      </c>
      <c r="CU13" s="28"/>
      <c r="CV13" s="28" t="s">
        <v>32</v>
      </c>
      <c r="CW13" s="82" t="s">
        <v>32</v>
      </c>
      <c r="CX13" s="34" t="s">
        <v>32</v>
      </c>
      <c r="CY13" s="32" t="s">
        <v>32</v>
      </c>
      <c r="CZ13" s="32" t="s">
        <v>33</v>
      </c>
      <c r="DA13" s="29" t="s">
        <v>32</v>
      </c>
      <c r="DB13" s="28" t="s">
        <v>32</v>
      </c>
      <c r="DC13" s="26" t="s">
        <v>32</v>
      </c>
      <c r="DD13" s="34" t="s">
        <v>32</v>
      </c>
      <c r="DE13" s="32" t="s">
        <v>32</v>
      </c>
      <c r="DF13" s="34" t="s">
        <v>32</v>
      </c>
      <c r="DG13" s="33">
        <f t="shared" si="12"/>
        <v>0</v>
      </c>
      <c r="DH13" s="24"/>
      <c r="DI13" s="25" t="s">
        <v>32</v>
      </c>
      <c r="DJ13" s="28" t="s">
        <v>32</v>
      </c>
      <c r="DK13" s="75" t="s">
        <v>32</v>
      </c>
      <c r="DL13" s="75" t="s">
        <v>32</v>
      </c>
      <c r="DM13" s="26"/>
      <c r="DN13" s="26"/>
      <c r="DO13" s="32">
        <f t="shared" si="4"/>
        <v>0</v>
      </c>
      <c r="DP13" s="34" t="s">
        <v>32</v>
      </c>
      <c r="DQ13" s="34"/>
      <c r="DR13" s="26" t="s">
        <v>32</v>
      </c>
      <c r="DS13" s="34" t="s">
        <v>33</v>
      </c>
      <c r="DT13" s="32" t="s">
        <v>32</v>
      </c>
      <c r="DU13" s="32" t="s">
        <v>32</v>
      </c>
      <c r="DV13" s="34" t="s">
        <v>32</v>
      </c>
      <c r="DW13" s="28"/>
      <c r="DX13" s="28" t="s">
        <v>32</v>
      </c>
      <c r="DY13" s="82" t="s">
        <v>32</v>
      </c>
      <c r="DZ13" s="34" t="s">
        <v>32</v>
      </c>
      <c r="EA13" s="32" t="s">
        <v>32</v>
      </c>
      <c r="EB13" s="32" t="s">
        <v>33</v>
      </c>
      <c r="EC13" s="29" t="s">
        <v>32</v>
      </c>
      <c r="ED13" s="28" t="s">
        <v>32</v>
      </c>
      <c r="EE13" s="26" t="s">
        <v>32</v>
      </c>
      <c r="EF13" s="34" t="s">
        <v>32</v>
      </c>
      <c r="EG13" s="32" t="s">
        <v>32</v>
      </c>
      <c r="EH13" s="34" t="s">
        <v>32</v>
      </c>
      <c r="EI13" s="33">
        <f t="shared" si="13"/>
        <v>0</v>
      </c>
      <c r="EJ13" s="24"/>
      <c r="EK13" s="25" t="s">
        <v>32</v>
      </c>
      <c r="EL13" s="28" t="s">
        <v>32</v>
      </c>
      <c r="EM13" s="75" t="s">
        <v>32</v>
      </c>
      <c r="EN13" s="75" t="s">
        <v>32</v>
      </c>
      <c r="EO13" s="26"/>
      <c r="EP13" s="26"/>
      <c r="EQ13" s="32">
        <f t="shared" si="5"/>
        <v>0</v>
      </c>
      <c r="ER13" s="34" t="s">
        <v>32</v>
      </c>
      <c r="ES13" s="34"/>
      <c r="ET13" s="26" t="s">
        <v>32</v>
      </c>
      <c r="EU13" s="34" t="s">
        <v>33</v>
      </c>
      <c r="EV13" s="32" t="s">
        <v>32</v>
      </c>
      <c r="EW13" s="32" t="s">
        <v>32</v>
      </c>
      <c r="EX13" s="34" t="s">
        <v>32</v>
      </c>
      <c r="EY13" s="28"/>
      <c r="EZ13" s="28" t="s">
        <v>32</v>
      </c>
      <c r="FA13" s="82" t="s">
        <v>32</v>
      </c>
      <c r="FB13" s="34" t="s">
        <v>32</v>
      </c>
      <c r="FC13" s="32" t="s">
        <v>32</v>
      </c>
      <c r="FD13" s="32" t="s">
        <v>33</v>
      </c>
      <c r="FE13" s="29" t="s">
        <v>32</v>
      </c>
      <c r="FF13" s="28" t="s">
        <v>32</v>
      </c>
      <c r="FG13" s="26" t="s">
        <v>32</v>
      </c>
      <c r="FH13" s="34" t="s">
        <v>32</v>
      </c>
      <c r="FI13" s="32" t="s">
        <v>32</v>
      </c>
      <c r="FJ13" s="34" t="s">
        <v>32</v>
      </c>
      <c r="FK13" s="33">
        <f t="shared" si="14"/>
        <v>0</v>
      </c>
      <c r="FL13" s="24"/>
      <c r="FM13" s="25" t="s">
        <v>32</v>
      </c>
      <c r="FN13" s="28" t="s">
        <v>32</v>
      </c>
      <c r="FO13" s="75" t="s">
        <v>32</v>
      </c>
      <c r="FP13" s="75" t="s">
        <v>32</v>
      </c>
      <c r="FQ13" s="26"/>
      <c r="FR13" s="26"/>
      <c r="FS13" s="32">
        <f t="shared" si="6"/>
        <v>0</v>
      </c>
      <c r="FT13" s="34" t="s">
        <v>32</v>
      </c>
      <c r="FU13" s="34"/>
      <c r="FV13" s="26" t="s">
        <v>32</v>
      </c>
      <c r="FW13" s="34" t="s">
        <v>33</v>
      </c>
      <c r="FX13" s="32" t="s">
        <v>32</v>
      </c>
      <c r="FY13" s="32" t="s">
        <v>32</v>
      </c>
      <c r="FZ13" s="34" t="s">
        <v>32</v>
      </c>
      <c r="GA13" s="28"/>
      <c r="GB13" s="28" t="s">
        <v>32</v>
      </c>
      <c r="GC13" s="82" t="s">
        <v>32</v>
      </c>
      <c r="GD13" s="34" t="s">
        <v>32</v>
      </c>
      <c r="GE13" s="32" t="s">
        <v>32</v>
      </c>
      <c r="GF13" s="32" t="s">
        <v>33</v>
      </c>
      <c r="GG13" s="29" t="s">
        <v>32</v>
      </c>
      <c r="GH13" s="28" t="s">
        <v>32</v>
      </c>
      <c r="GI13" s="26" t="s">
        <v>32</v>
      </c>
      <c r="GJ13" s="34" t="s">
        <v>32</v>
      </c>
      <c r="GK13" s="32" t="s">
        <v>32</v>
      </c>
      <c r="GL13" s="34" t="s">
        <v>32</v>
      </c>
      <c r="GM13" s="33">
        <f t="shared" si="15"/>
        <v>0</v>
      </c>
      <c r="GN13" s="24"/>
      <c r="GO13" s="25" t="s">
        <v>32</v>
      </c>
      <c r="GP13" s="28" t="s">
        <v>32</v>
      </c>
      <c r="GQ13" s="75" t="s">
        <v>32</v>
      </c>
      <c r="GR13" s="75" t="s">
        <v>32</v>
      </c>
      <c r="GS13" s="26"/>
      <c r="GT13" s="26"/>
      <c r="GU13" s="32">
        <f t="shared" si="7"/>
        <v>0</v>
      </c>
      <c r="GV13" s="34" t="s">
        <v>32</v>
      </c>
      <c r="GW13" s="34"/>
      <c r="GX13" s="26" t="s">
        <v>32</v>
      </c>
      <c r="GY13" s="34" t="s">
        <v>33</v>
      </c>
      <c r="GZ13" s="32" t="s">
        <v>32</v>
      </c>
      <c r="HA13" s="32" t="s">
        <v>32</v>
      </c>
      <c r="HB13" s="34" t="s">
        <v>32</v>
      </c>
      <c r="HC13" s="28"/>
      <c r="HD13" s="28" t="s">
        <v>32</v>
      </c>
      <c r="HE13" s="82" t="s">
        <v>32</v>
      </c>
      <c r="HF13" s="34" t="s">
        <v>32</v>
      </c>
      <c r="HG13" s="32" t="s">
        <v>32</v>
      </c>
      <c r="HH13" s="32" t="s">
        <v>33</v>
      </c>
      <c r="HI13" s="29" t="s">
        <v>32</v>
      </c>
      <c r="HJ13" s="28" t="s">
        <v>32</v>
      </c>
      <c r="HK13" s="26" t="s">
        <v>32</v>
      </c>
      <c r="HL13" s="34" t="s">
        <v>32</v>
      </c>
      <c r="HM13" s="32" t="s">
        <v>32</v>
      </c>
      <c r="HN13" s="34" t="s">
        <v>32</v>
      </c>
      <c r="HO13" s="33">
        <f t="shared" si="16"/>
        <v>0</v>
      </c>
      <c r="HP13" s="24"/>
      <c r="HQ13" s="25" t="s">
        <v>32</v>
      </c>
      <c r="HR13" s="28" t="s">
        <v>32</v>
      </c>
      <c r="HS13" s="75" t="s">
        <v>32</v>
      </c>
      <c r="HT13" s="75" t="s">
        <v>32</v>
      </c>
      <c r="HU13" s="26"/>
      <c r="HV13" s="26"/>
      <c r="HW13" s="32">
        <f t="shared" si="8"/>
        <v>0</v>
      </c>
      <c r="HX13" s="34" t="s">
        <v>32</v>
      </c>
      <c r="HY13" s="34"/>
      <c r="HZ13" s="26" t="s">
        <v>32</v>
      </c>
      <c r="IA13" s="34" t="s">
        <v>33</v>
      </c>
      <c r="IB13" s="32" t="s">
        <v>32</v>
      </c>
      <c r="IC13" s="32" t="s">
        <v>32</v>
      </c>
      <c r="ID13" s="34" t="s">
        <v>32</v>
      </c>
      <c r="IE13" s="28"/>
      <c r="IF13" s="28" t="s">
        <v>32</v>
      </c>
      <c r="IG13" s="82" t="s">
        <v>32</v>
      </c>
      <c r="IH13" s="34" t="s">
        <v>32</v>
      </c>
      <c r="II13" s="32" t="s">
        <v>32</v>
      </c>
      <c r="IJ13" s="32" t="s">
        <v>33</v>
      </c>
      <c r="IK13" s="29" t="s">
        <v>32</v>
      </c>
      <c r="IL13" s="28" t="s">
        <v>32</v>
      </c>
      <c r="IM13" s="26" t="s">
        <v>32</v>
      </c>
      <c r="IN13" s="34" t="s">
        <v>32</v>
      </c>
      <c r="IO13" s="32" t="s">
        <v>32</v>
      </c>
      <c r="IP13" s="34" t="s">
        <v>32</v>
      </c>
      <c r="IQ13" s="33">
        <f t="shared" si="17"/>
        <v>0</v>
      </c>
      <c r="IR13" s="111"/>
    </row>
    <row r="14" spans="1:252" x14ac:dyDescent="0.3">
      <c r="A14" s="25">
        <v>46124</v>
      </c>
      <c r="B14" s="28">
        <v>1392</v>
      </c>
      <c r="C14" s="75">
        <v>4557</v>
      </c>
      <c r="D14" s="75">
        <v>10</v>
      </c>
      <c r="E14" s="26">
        <v>3496</v>
      </c>
      <c r="F14" s="26">
        <v>167600</v>
      </c>
      <c r="G14" s="32">
        <f t="shared" si="0"/>
        <v>118745</v>
      </c>
      <c r="H14" s="34">
        <v>17445</v>
      </c>
      <c r="I14" s="34">
        <v>15845</v>
      </c>
      <c r="J14" s="26">
        <v>4600</v>
      </c>
      <c r="K14" s="34" t="s">
        <v>32</v>
      </c>
      <c r="L14" s="32">
        <v>7500</v>
      </c>
      <c r="M14" s="32">
        <v>14000</v>
      </c>
      <c r="N14" s="34">
        <v>56000</v>
      </c>
      <c r="O14" s="28" t="s">
        <v>32</v>
      </c>
      <c r="P14" s="28" t="s">
        <v>32</v>
      </c>
      <c r="Q14" s="82">
        <v>1355</v>
      </c>
      <c r="R14" s="34" t="s">
        <v>32</v>
      </c>
      <c r="S14" s="32" t="s">
        <v>32</v>
      </c>
      <c r="T14" s="32"/>
      <c r="U14" s="75">
        <v>2000</v>
      </c>
      <c r="V14" s="28" t="s">
        <v>32</v>
      </c>
      <c r="W14" s="26" t="s">
        <v>32</v>
      </c>
      <c r="X14" s="34" t="s">
        <v>32</v>
      </c>
      <c r="Y14" s="32" t="s">
        <v>32</v>
      </c>
      <c r="Z14" s="34"/>
      <c r="AA14" s="33">
        <f t="shared" si="9"/>
        <v>118745</v>
      </c>
      <c r="AB14" s="24"/>
      <c r="AC14" s="25">
        <v>46154</v>
      </c>
      <c r="AD14" s="28">
        <v>4387</v>
      </c>
      <c r="AE14" s="75">
        <v>5483</v>
      </c>
      <c r="AF14" s="75">
        <v>8</v>
      </c>
      <c r="AG14" s="26">
        <v>0</v>
      </c>
      <c r="AH14" s="26">
        <v>0</v>
      </c>
      <c r="AI14" s="32">
        <f t="shared" si="1"/>
        <v>0</v>
      </c>
      <c r="AJ14" s="34" t="s">
        <v>32</v>
      </c>
      <c r="AK14" s="34"/>
      <c r="AL14" s="26" t="s">
        <v>32</v>
      </c>
      <c r="AM14" s="34" t="s">
        <v>33</v>
      </c>
      <c r="AN14" s="32" t="s">
        <v>32</v>
      </c>
      <c r="AO14" s="32" t="s">
        <v>32</v>
      </c>
      <c r="AP14" s="34" t="s">
        <v>32</v>
      </c>
      <c r="AQ14" s="28"/>
      <c r="AR14" s="28" t="s">
        <v>32</v>
      </c>
      <c r="AS14" s="82" t="s">
        <v>32</v>
      </c>
      <c r="AT14" s="34" t="s">
        <v>32</v>
      </c>
      <c r="AU14" s="32" t="s">
        <v>32</v>
      </c>
      <c r="AV14" s="32" t="s">
        <v>33</v>
      </c>
      <c r="AW14" s="75" t="s">
        <v>32</v>
      </c>
      <c r="AX14" s="28" t="s">
        <v>32</v>
      </c>
      <c r="AY14" s="26" t="s">
        <v>32</v>
      </c>
      <c r="AZ14" s="34" t="s">
        <v>32</v>
      </c>
      <c r="BA14" s="32" t="s">
        <v>32</v>
      </c>
      <c r="BB14" s="34" t="s">
        <v>32</v>
      </c>
      <c r="BC14" s="33">
        <f t="shared" si="10"/>
        <v>0</v>
      </c>
      <c r="BD14" s="129"/>
      <c r="BE14" s="25">
        <v>46185</v>
      </c>
      <c r="BF14" s="28">
        <v>4627</v>
      </c>
      <c r="BG14" s="75">
        <v>1108</v>
      </c>
      <c r="BH14" s="75">
        <v>6</v>
      </c>
      <c r="BI14" s="26">
        <v>0</v>
      </c>
      <c r="BJ14" s="26">
        <v>0</v>
      </c>
      <c r="BK14" s="32">
        <f t="shared" si="2"/>
        <v>0</v>
      </c>
      <c r="BL14" s="34" t="s">
        <v>33</v>
      </c>
      <c r="BM14" s="34"/>
      <c r="BN14" s="26" t="s">
        <v>32</v>
      </c>
      <c r="BO14" s="34" t="s">
        <v>32</v>
      </c>
      <c r="BP14" s="32" t="s">
        <v>32</v>
      </c>
      <c r="BQ14" s="32" t="s">
        <v>32</v>
      </c>
      <c r="BR14" s="34" t="s">
        <v>32</v>
      </c>
      <c r="BS14" s="28" t="s">
        <v>32</v>
      </c>
      <c r="BT14" s="28" t="s">
        <v>32</v>
      </c>
      <c r="BU14" s="26" t="s">
        <v>32</v>
      </c>
      <c r="BV14" s="34" t="s">
        <v>32</v>
      </c>
      <c r="BW14" s="32" t="s">
        <v>32</v>
      </c>
      <c r="BX14" s="32"/>
      <c r="BY14" s="82" t="s">
        <v>32</v>
      </c>
      <c r="BZ14" s="28" t="s">
        <v>32</v>
      </c>
      <c r="CA14" s="26" t="s">
        <v>32</v>
      </c>
      <c r="CB14" s="34" t="s">
        <v>32</v>
      </c>
      <c r="CC14" s="32" t="s">
        <v>32</v>
      </c>
      <c r="CD14" s="34"/>
      <c r="CE14" s="33">
        <f t="shared" si="11"/>
        <v>0</v>
      </c>
      <c r="CF14" s="24"/>
      <c r="CG14" s="25">
        <v>46215</v>
      </c>
      <c r="CH14" s="28" t="s">
        <v>32</v>
      </c>
      <c r="CI14" s="75" t="s">
        <v>32</v>
      </c>
      <c r="CJ14" s="75" t="s">
        <v>32</v>
      </c>
      <c r="CK14" s="26"/>
      <c r="CL14" s="26"/>
      <c r="CM14" s="32">
        <f t="shared" si="3"/>
        <v>0</v>
      </c>
      <c r="CN14" s="34" t="s">
        <v>33</v>
      </c>
      <c r="CO14" s="34"/>
      <c r="CP14" s="26" t="s">
        <v>32</v>
      </c>
      <c r="CQ14" s="34" t="s">
        <v>32</v>
      </c>
      <c r="CR14" s="32" t="s">
        <v>32</v>
      </c>
      <c r="CS14" s="32" t="s">
        <v>32</v>
      </c>
      <c r="CT14" s="34" t="s">
        <v>32</v>
      </c>
      <c r="CU14" s="28" t="s">
        <v>32</v>
      </c>
      <c r="CV14" s="28" t="s">
        <v>32</v>
      </c>
      <c r="CW14" s="82" t="s">
        <v>32</v>
      </c>
      <c r="CX14" s="34" t="s">
        <v>32</v>
      </c>
      <c r="CY14" s="32" t="s">
        <v>32</v>
      </c>
      <c r="CZ14" s="32"/>
      <c r="DA14" s="29" t="s">
        <v>32</v>
      </c>
      <c r="DB14" s="28" t="s">
        <v>32</v>
      </c>
      <c r="DC14" s="26" t="s">
        <v>32</v>
      </c>
      <c r="DD14" s="34" t="s">
        <v>32</v>
      </c>
      <c r="DE14" s="32" t="s">
        <v>32</v>
      </c>
      <c r="DF14" s="34"/>
      <c r="DG14" s="33">
        <f t="shared" si="12"/>
        <v>0</v>
      </c>
      <c r="DH14" s="24"/>
      <c r="DI14" s="25" t="s">
        <v>32</v>
      </c>
      <c r="DJ14" s="28" t="s">
        <v>32</v>
      </c>
      <c r="DK14" s="75" t="s">
        <v>32</v>
      </c>
      <c r="DL14" s="75" t="s">
        <v>32</v>
      </c>
      <c r="DM14" s="26"/>
      <c r="DN14" s="26"/>
      <c r="DO14" s="32">
        <f t="shared" si="4"/>
        <v>0</v>
      </c>
      <c r="DP14" s="34" t="s">
        <v>33</v>
      </c>
      <c r="DQ14" s="34"/>
      <c r="DR14" s="26" t="s">
        <v>32</v>
      </c>
      <c r="DS14" s="34" t="s">
        <v>32</v>
      </c>
      <c r="DT14" s="32" t="s">
        <v>32</v>
      </c>
      <c r="DU14" s="32" t="s">
        <v>32</v>
      </c>
      <c r="DV14" s="34" t="s">
        <v>32</v>
      </c>
      <c r="DW14" s="28" t="s">
        <v>32</v>
      </c>
      <c r="DX14" s="28" t="s">
        <v>32</v>
      </c>
      <c r="DY14" s="82" t="s">
        <v>32</v>
      </c>
      <c r="DZ14" s="34" t="s">
        <v>32</v>
      </c>
      <c r="EA14" s="32" t="s">
        <v>32</v>
      </c>
      <c r="EB14" s="32"/>
      <c r="EC14" s="29" t="s">
        <v>32</v>
      </c>
      <c r="ED14" s="28" t="s">
        <v>32</v>
      </c>
      <c r="EE14" s="26" t="s">
        <v>32</v>
      </c>
      <c r="EF14" s="34" t="s">
        <v>32</v>
      </c>
      <c r="EG14" s="32" t="s">
        <v>32</v>
      </c>
      <c r="EH14" s="34"/>
      <c r="EI14" s="33">
        <f t="shared" si="13"/>
        <v>0</v>
      </c>
      <c r="EJ14" s="24"/>
      <c r="EK14" s="25" t="s">
        <v>32</v>
      </c>
      <c r="EL14" s="28" t="s">
        <v>32</v>
      </c>
      <c r="EM14" s="75" t="s">
        <v>32</v>
      </c>
      <c r="EN14" s="75" t="s">
        <v>32</v>
      </c>
      <c r="EO14" s="26"/>
      <c r="EP14" s="26"/>
      <c r="EQ14" s="32">
        <f t="shared" si="5"/>
        <v>0</v>
      </c>
      <c r="ER14" s="34" t="s">
        <v>33</v>
      </c>
      <c r="ES14" s="34"/>
      <c r="ET14" s="26" t="s">
        <v>32</v>
      </c>
      <c r="EU14" s="34" t="s">
        <v>32</v>
      </c>
      <c r="EV14" s="32" t="s">
        <v>32</v>
      </c>
      <c r="EW14" s="32" t="s">
        <v>32</v>
      </c>
      <c r="EX14" s="34" t="s">
        <v>32</v>
      </c>
      <c r="EY14" s="28" t="s">
        <v>32</v>
      </c>
      <c r="EZ14" s="28" t="s">
        <v>32</v>
      </c>
      <c r="FA14" s="82" t="s">
        <v>32</v>
      </c>
      <c r="FB14" s="34" t="s">
        <v>32</v>
      </c>
      <c r="FC14" s="32" t="s">
        <v>32</v>
      </c>
      <c r="FD14" s="32"/>
      <c r="FE14" s="29" t="s">
        <v>32</v>
      </c>
      <c r="FF14" s="28" t="s">
        <v>32</v>
      </c>
      <c r="FG14" s="26" t="s">
        <v>32</v>
      </c>
      <c r="FH14" s="34" t="s">
        <v>32</v>
      </c>
      <c r="FI14" s="32" t="s">
        <v>32</v>
      </c>
      <c r="FJ14" s="34"/>
      <c r="FK14" s="33">
        <f t="shared" si="14"/>
        <v>0</v>
      </c>
      <c r="FL14" s="24"/>
      <c r="FM14" s="25" t="s">
        <v>32</v>
      </c>
      <c r="FN14" s="28" t="s">
        <v>32</v>
      </c>
      <c r="FO14" s="75" t="s">
        <v>32</v>
      </c>
      <c r="FP14" s="75" t="s">
        <v>32</v>
      </c>
      <c r="FQ14" s="26"/>
      <c r="FR14" s="26"/>
      <c r="FS14" s="32">
        <f t="shared" si="6"/>
        <v>0</v>
      </c>
      <c r="FT14" s="34" t="s">
        <v>33</v>
      </c>
      <c r="FU14" s="34"/>
      <c r="FV14" s="26" t="s">
        <v>32</v>
      </c>
      <c r="FW14" s="34" t="s">
        <v>32</v>
      </c>
      <c r="FX14" s="32" t="s">
        <v>32</v>
      </c>
      <c r="FY14" s="32" t="s">
        <v>32</v>
      </c>
      <c r="FZ14" s="34" t="s">
        <v>32</v>
      </c>
      <c r="GA14" s="28" t="s">
        <v>32</v>
      </c>
      <c r="GB14" s="28" t="s">
        <v>32</v>
      </c>
      <c r="GC14" s="82" t="s">
        <v>32</v>
      </c>
      <c r="GD14" s="34" t="s">
        <v>32</v>
      </c>
      <c r="GE14" s="32" t="s">
        <v>32</v>
      </c>
      <c r="GF14" s="32"/>
      <c r="GG14" s="29" t="s">
        <v>32</v>
      </c>
      <c r="GH14" s="28" t="s">
        <v>32</v>
      </c>
      <c r="GI14" s="26" t="s">
        <v>32</v>
      </c>
      <c r="GJ14" s="34" t="s">
        <v>32</v>
      </c>
      <c r="GK14" s="32" t="s">
        <v>32</v>
      </c>
      <c r="GL14" s="34"/>
      <c r="GM14" s="33">
        <f t="shared" si="15"/>
        <v>0</v>
      </c>
      <c r="GN14" s="24"/>
      <c r="GO14" s="25" t="s">
        <v>32</v>
      </c>
      <c r="GP14" s="28" t="s">
        <v>32</v>
      </c>
      <c r="GQ14" s="75" t="s">
        <v>32</v>
      </c>
      <c r="GR14" s="75" t="s">
        <v>32</v>
      </c>
      <c r="GS14" s="26"/>
      <c r="GT14" s="26"/>
      <c r="GU14" s="32">
        <f t="shared" si="7"/>
        <v>0</v>
      </c>
      <c r="GV14" s="34" t="s">
        <v>33</v>
      </c>
      <c r="GW14" s="34"/>
      <c r="GX14" s="26" t="s">
        <v>32</v>
      </c>
      <c r="GY14" s="34" t="s">
        <v>32</v>
      </c>
      <c r="GZ14" s="32" t="s">
        <v>32</v>
      </c>
      <c r="HA14" s="32" t="s">
        <v>32</v>
      </c>
      <c r="HB14" s="34" t="s">
        <v>32</v>
      </c>
      <c r="HC14" s="28" t="s">
        <v>32</v>
      </c>
      <c r="HD14" s="28" t="s">
        <v>32</v>
      </c>
      <c r="HE14" s="82" t="s">
        <v>32</v>
      </c>
      <c r="HF14" s="34" t="s">
        <v>32</v>
      </c>
      <c r="HG14" s="32" t="s">
        <v>32</v>
      </c>
      <c r="HH14" s="32"/>
      <c r="HI14" s="29" t="s">
        <v>32</v>
      </c>
      <c r="HJ14" s="28" t="s">
        <v>32</v>
      </c>
      <c r="HK14" s="26" t="s">
        <v>32</v>
      </c>
      <c r="HL14" s="34" t="s">
        <v>32</v>
      </c>
      <c r="HM14" s="32" t="s">
        <v>32</v>
      </c>
      <c r="HN14" s="34"/>
      <c r="HO14" s="33">
        <f t="shared" si="16"/>
        <v>0</v>
      </c>
      <c r="HP14" s="24"/>
      <c r="HQ14" s="25" t="s">
        <v>32</v>
      </c>
      <c r="HR14" s="28" t="s">
        <v>32</v>
      </c>
      <c r="HS14" s="75" t="s">
        <v>32</v>
      </c>
      <c r="HT14" s="75" t="s">
        <v>32</v>
      </c>
      <c r="HU14" s="26"/>
      <c r="HV14" s="26"/>
      <c r="HW14" s="32">
        <f t="shared" si="8"/>
        <v>0</v>
      </c>
      <c r="HX14" s="34" t="s">
        <v>33</v>
      </c>
      <c r="HY14" s="34"/>
      <c r="HZ14" s="26" t="s">
        <v>32</v>
      </c>
      <c r="IA14" s="34" t="s">
        <v>32</v>
      </c>
      <c r="IB14" s="32" t="s">
        <v>32</v>
      </c>
      <c r="IC14" s="32" t="s">
        <v>32</v>
      </c>
      <c r="ID14" s="34" t="s">
        <v>32</v>
      </c>
      <c r="IE14" s="28" t="s">
        <v>32</v>
      </c>
      <c r="IF14" s="28" t="s">
        <v>32</v>
      </c>
      <c r="IG14" s="82" t="s">
        <v>32</v>
      </c>
      <c r="IH14" s="34" t="s">
        <v>32</v>
      </c>
      <c r="II14" s="32" t="s">
        <v>32</v>
      </c>
      <c r="IJ14" s="32"/>
      <c r="IK14" s="29" t="s">
        <v>32</v>
      </c>
      <c r="IL14" s="28" t="s">
        <v>32</v>
      </c>
      <c r="IM14" s="26" t="s">
        <v>32</v>
      </c>
      <c r="IN14" s="34" t="s">
        <v>32</v>
      </c>
      <c r="IO14" s="32" t="s">
        <v>32</v>
      </c>
      <c r="IP14" s="34"/>
      <c r="IQ14" s="33">
        <f t="shared" si="17"/>
        <v>0</v>
      </c>
      <c r="IR14" s="111"/>
    </row>
    <row r="15" spans="1:252" x14ac:dyDescent="0.3">
      <c r="A15" s="25">
        <v>46125</v>
      </c>
      <c r="B15" s="28">
        <v>2920</v>
      </c>
      <c r="C15" s="75">
        <v>6620</v>
      </c>
      <c r="D15" s="75">
        <v>12.25</v>
      </c>
      <c r="E15" s="26">
        <v>1461</v>
      </c>
      <c r="F15" s="26">
        <v>67086</v>
      </c>
      <c r="G15" s="32">
        <f t="shared" si="0"/>
        <v>366290</v>
      </c>
      <c r="H15" s="34" t="s">
        <v>32</v>
      </c>
      <c r="I15" s="34"/>
      <c r="J15" s="26">
        <v>18900</v>
      </c>
      <c r="K15" s="34">
        <v>290000</v>
      </c>
      <c r="L15" s="32" t="s">
        <v>32</v>
      </c>
      <c r="M15" s="32"/>
      <c r="N15" s="34">
        <v>57000</v>
      </c>
      <c r="O15" s="28"/>
      <c r="P15" s="28" t="s">
        <v>32</v>
      </c>
      <c r="Q15" s="82">
        <v>390</v>
      </c>
      <c r="R15" s="34" t="s">
        <v>32</v>
      </c>
      <c r="S15" s="32" t="s">
        <v>32</v>
      </c>
      <c r="T15" s="32" t="s">
        <v>32</v>
      </c>
      <c r="U15" s="75" t="s">
        <v>32</v>
      </c>
      <c r="V15" s="28"/>
      <c r="W15" s="26" t="s">
        <v>32</v>
      </c>
      <c r="X15" s="34" t="s">
        <v>32</v>
      </c>
      <c r="Y15" s="32" t="s">
        <v>32</v>
      </c>
      <c r="Z15" s="34"/>
      <c r="AA15" s="33">
        <f t="shared" si="9"/>
        <v>366290</v>
      </c>
      <c r="AB15" s="24"/>
      <c r="AC15" s="25">
        <v>46155</v>
      </c>
      <c r="AD15" s="28">
        <v>3579</v>
      </c>
      <c r="AE15" s="75">
        <v>1270</v>
      </c>
      <c r="AF15" s="75">
        <v>7</v>
      </c>
      <c r="AG15" s="26">
        <v>8945</v>
      </c>
      <c r="AH15" s="26">
        <v>329946</v>
      </c>
      <c r="AI15" s="32">
        <f t="shared" si="1"/>
        <v>103505</v>
      </c>
      <c r="AJ15" s="34">
        <v>26836</v>
      </c>
      <c r="AK15" s="34">
        <v>24370</v>
      </c>
      <c r="AL15" s="26" t="s">
        <v>32</v>
      </c>
      <c r="AM15" s="34" t="s">
        <v>32</v>
      </c>
      <c r="AN15" s="32" t="s">
        <v>32</v>
      </c>
      <c r="AO15" s="32" t="s">
        <v>32</v>
      </c>
      <c r="AP15" s="34">
        <v>47000</v>
      </c>
      <c r="AQ15" s="28" t="s">
        <v>32</v>
      </c>
      <c r="AR15" s="28" t="s">
        <v>32</v>
      </c>
      <c r="AS15" s="82">
        <v>1299</v>
      </c>
      <c r="AT15" s="34" t="s">
        <v>32</v>
      </c>
      <c r="AU15" s="32" t="s">
        <v>32</v>
      </c>
      <c r="AV15" s="32"/>
      <c r="AW15" s="75" t="s">
        <v>32</v>
      </c>
      <c r="AX15" s="28" t="s">
        <v>32</v>
      </c>
      <c r="AY15" s="26">
        <v>4000</v>
      </c>
      <c r="AZ15" s="34" t="s">
        <v>40</v>
      </c>
      <c r="BA15" s="32" t="s">
        <v>32</v>
      </c>
      <c r="BB15" s="34"/>
      <c r="BC15" s="33">
        <f t="shared" si="10"/>
        <v>103505</v>
      </c>
      <c r="BD15" s="129"/>
      <c r="BE15" s="25">
        <v>46186</v>
      </c>
      <c r="BF15" s="28">
        <v>4312</v>
      </c>
      <c r="BG15" s="75">
        <v>6323</v>
      </c>
      <c r="BH15" s="75">
        <v>9.5</v>
      </c>
      <c r="BI15" s="26">
        <v>7604</v>
      </c>
      <c r="BJ15" s="26">
        <v>523043</v>
      </c>
      <c r="BK15" s="32">
        <f t="shared" si="2"/>
        <v>266495</v>
      </c>
      <c r="BL15" s="34">
        <v>62590</v>
      </c>
      <c r="BM15" s="34">
        <v>28210</v>
      </c>
      <c r="BN15" s="26">
        <v>151784</v>
      </c>
      <c r="BO15" s="34" t="s">
        <v>32</v>
      </c>
      <c r="BP15" s="32">
        <v>22581</v>
      </c>
      <c r="BQ15" s="32"/>
      <c r="BR15" s="34" t="s">
        <v>32</v>
      </c>
      <c r="BS15" s="28"/>
      <c r="BT15" s="28" t="s">
        <v>32</v>
      </c>
      <c r="BU15" s="26">
        <v>1330</v>
      </c>
      <c r="BV15" s="34" t="s">
        <v>32</v>
      </c>
      <c r="BW15" s="32" t="s">
        <v>32</v>
      </c>
      <c r="BX15" s="32" t="s">
        <v>32</v>
      </c>
      <c r="BY15" s="82" t="s">
        <v>32</v>
      </c>
      <c r="BZ15" s="28"/>
      <c r="CA15" s="26" t="s">
        <v>32</v>
      </c>
      <c r="CB15" s="34" t="s">
        <v>32</v>
      </c>
      <c r="CC15" s="32" t="s">
        <v>32</v>
      </c>
      <c r="CD15" s="34"/>
      <c r="CE15" s="33">
        <f t="shared" si="11"/>
        <v>266495</v>
      </c>
      <c r="CF15" s="24"/>
      <c r="CG15" s="25">
        <v>46216</v>
      </c>
      <c r="CH15" s="28" t="s">
        <v>32</v>
      </c>
      <c r="CI15" s="75" t="s">
        <v>32</v>
      </c>
      <c r="CJ15" s="75" t="s">
        <v>32</v>
      </c>
      <c r="CK15" s="26"/>
      <c r="CL15" s="26"/>
      <c r="CM15" s="32">
        <f t="shared" si="3"/>
        <v>0</v>
      </c>
      <c r="CN15" s="34" t="s">
        <v>32</v>
      </c>
      <c r="CO15" s="34"/>
      <c r="CP15" s="26" t="s">
        <v>32</v>
      </c>
      <c r="CQ15" s="34" t="s">
        <v>32</v>
      </c>
      <c r="CR15" s="32" t="s">
        <v>32</v>
      </c>
      <c r="CS15" s="32"/>
      <c r="CT15" s="34" t="s">
        <v>32</v>
      </c>
      <c r="CU15" s="28"/>
      <c r="CV15" s="28" t="s">
        <v>32</v>
      </c>
      <c r="CW15" s="82" t="s">
        <v>32</v>
      </c>
      <c r="CX15" s="34" t="s">
        <v>32</v>
      </c>
      <c r="CY15" s="32" t="s">
        <v>32</v>
      </c>
      <c r="CZ15" s="32" t="s">
        <v>32</v>
      </c>
      <c r="DA15" s="29" t="s">
        <v>32</v>
      </c>
      <c r="DB15" s="28"/>
      <c r="DC15" s="26" t="s">
        <v>32</v>
      </c>
      <c r="DD15" s="34" t="s">
        <v>32</v>
      </c>
      <c r="DE15" s="32" t="s">
        <v>32</v>
      </c>
      <c r="DF15" s="34"/>
      <c r="DG15" s="33">
        <f t="shared" si="12"/>
        <v>0</v>
      </c>
      <c r="DH15" s="24"/>
      <c r="DI15" s="25" t="s">
        <v>32</v>
      </c>
      <c r="DJ15" s="28" t="s">
        <v>32</v>
      </c>
      <c r="DK15" s="75" t="s">
        <v>32</v>
      </c>
      <c r="DL15" s="75" t="s">
        <v>32</v>
      </c>
      <c r="DM15" s="26"/>
      <c r="DN15" s="26"/>
      <c r="DO15" s="32">
        <f t="shared" si="4"/>
        <v>0</v>
      </c>
      <c r="DP15" s="34" t="s">
        <v>32</v>
      </c>
      <c r="DQ15" s="34"/>
      <c r="DR15" s="26" t="s">
        <v>32</v>
      </c>
      <c r="DS15" s="34" t="s">
        <v>32</v>
      </c>
      <c r="DT15" s="32" t="s">
        <v>32</v>
      </c>
      <c r="DU15" s="32"/>
      <c r="DV15" s="34" t="s">
        <v>32</v>
      </c>
      <c r="DW15" s="28"/>
      <c r="DX15" s="28" t="s">
        <v>32</v>
      </c>
      <c r="DY15" s="82" t="s">
        <v>32</v>
      </c>
      <c r="DZ15" s="34" t="s">
        <v>32</v>
      </c>
      <c r="EA15" s="32" t="s">
        <v>32</v>
      </c>
      <c r="EB15" s="32" t="s">
        <v>32</v>
      </c>
      <c r="EC15" s="29" t="s">
        <v>32</v>
      </c>
      <c r="ED15" s="28"/>
      <c r="EE15" s="26" t="s">
        <v>32</v>
      </c>
      <c r="EF15" s="34" t="s">
        <v>32</v>
      </c>
      <c r="EG15" s="32" t="s">
        <v>32</v>
      </c>
      <c r="EH15" s="34"/>
      <c r="EI15" s="33">
        <f t="shared" si="13"/>
        <v>0</v>
      </c>
      <c r="EJ15" s="24"/>
      <c r="EK15" s="25" t="s">
        <v>32</v>
      </c>
      <c r="EL15" s="28" t="s">
        <v>32</v>
      </c>
      <c r="EM15" s="75" t="s">
        <v>32</v>
      </c>
      <c r="EN15" s="75" t="s">
        <v>32</v>
      </c>
      <c r="EO15" s="26"/>
      <c r="EP15" s="26"/>
      <c r="EQ15" s="32">
        <f t="shared" si="5"/>
        <v>0</v>
      </c>
      <c r="ER15" s="34" t="s">
        <v>32</v>
      </c>
      <c r="ES15" s="34"/>
      <c r="ET15" s="26" t="s">
        <v>32</v>
      </c>
      <c r="EU15" s="34" t="s">
        <v>32</v>
      </c>
      <c r="EV15" s="32" t="s">
        <v>32</v>
      </c>
      <c r="EW15" s="32"/>
      <c r="EX15" s="34" t="s">
        <v>32</v>
      </c>
      <c r="EY15" s="28"/>
      <c r="EZ15" s="28" t="s">
        <v>32</v>
      </c>
      <c r="FA15" s="82" t="s">
        <v>32</v>
      </c>
      <c r="FB15" s="34" t="s">
        <v>32</v>
      </c>
      <c r="FC15" s="32" t="s">
        <v>32</v>
      </c>
      <c r="FD15" s="32" t="s">
        <v>32</v>
      </c>
      <c r="FE15" s="29" t="s">
        <v>32</v>
      </c>
      <c r="FF15" s="28"/>
      <c r="FG15" s="26" t="s">
        <v>32</v>
      </c>
      <c r="FH15" s="34" t="s">
        <v>32</v>
      </c>
      <c r="FI15" s="32" t="s">
        <v>32</v>
      </c>
      <c r="FJ15" s="34"/>
      <c r="FK15" s="33">
        <f t="shared" si="14"/>
        <v>0</v>
      </c>
      <c r="FL15" s="24"/>
      <c r="FM15" s="25" t="s">
        <v>32</v>
      </c>
      <c r="FN15" s="28" t="s">
        <v>32</v>
      </c>
      <c r="FO15" s="75" t="s">
        <v>32</v>
      </c>
      <c r="FP15" s="75" t="s">
        <v>32</v>
      </c>
      <c r="FQ15" s="26"/>
      <c r="FR15" s="26"/>
      <c r="FS15" s="32">
        <f t="shared" si="6"/>
        <v>0</v>
      </c>
      <c r="FT15" s="34" t="s">
        <v>32</v>
      </c>
      <c r="FU15" s="34"/>
      <c r="FV15" s="26" t="s">
        <v>32</v>
      </c>
      <c r="FW15" s="34" t="s">
        <v>32</v>
      </c>
      <c r="FX15" s="32" t="s">
        <v>32</v>
      </c>
      <c r="FY15" s="32"/>
      <c r="FZ15" s="34" t="s">
        <v>32</v>
      </c>
      <c r="GA15" s="28"/>
      <c r="GB15" s="28" t="s">
        <v>32</v>
      </c>
      <c r="GC15" s="82" t="s">
        <v>32</v>
      </c>
      <c r="GD15" s="34" t="s">
        <v>32</v>
      </c>
      <c r="GE15" s="32" t="s">
        <v>32</v>
      </c>
      <c r="GF15" s="32" t="s">
        <v>32</v>
      </c>
      <c r="GG15" s="29" t="s">
        <v>32</v>
      </c>
      <c r="GH15" s="28"/>
      <c r="GI15" s="26" t="s">
        <v>32</v>
      </c>
      <c r="GJ15" s="34" t="s">
        <v>32</v>
      </c>
      <c r="GK15" s="32" t="s">
        <v>32</v>
      </c>
      <c r="GL15" s="34"/>
      <c r="GM15" s="33">
        <f t="shared" si="15"/>
        <v>0</v>
      </c>
      <c r="GN15" s="24"/>
      <c r="GO15" s="25" t="s">
        <v>32</v>
      </c>
      <c r="GP15" s="28" t="s">
        <v>32</v>
      </c>
      <c r="GQ15" s="75" t="s">
        <v>32</v>
      </c>
      <c r="GR15" s="75" t="s">
        <v>32</v>
      </c>
      <c r="GS15" s="26"/>
      <c r="GT15" s="26"/>
      <c r="GU15" s="32">
        <f t="shared" si="7"/>
        <v>0</v>
      </c>
      <c r="GV15" s="34" t="s">
        <v>32</v>
      </c>
      <c r="GW15" s="34"/>
      <c r="GX15" s="26" t="s">
        <v>32</v>
      </c>
      <c r="GY15" s="34" t="s">
        <v>32</v>
      </c>
      <c r="GZ15" s="32" t="s">
        <v>32</v>
      </c>
      <c r="HA15" s="32"/>
      <c r="HB15" s="34" t="s">
        <v>32</v>
      </c>
      <c r="HC15" s="28"/>
      <c r="HD15" s="28" t="s">
        <v>32</v>
      </c>
      <c r="HE15" s="82" t="s">
        <v>32</v>
      </c>
      <c r="HF15" s="34" t="s">
        <v>32</v>
      </c>
      <c r="HG15" s="32" t="s">
        <v>32</v>
      </c>
      <c r="HH15" s="32" t="s">
        <v>32</v>
      </c>
      <c r="HI15" s="29" t="s">
        <v>32</v>
      </c>
      <c r="HJ15" s="28"/>
      <c r="HK15" s="26" t="s">
        <v>32</v>
      </c>
      <c r="HL15" s="34" t="s">
        <v>32</v>
      </c>
      <c r="HM15" s="32" t="s">
        <v>32</v>
      </c>
      <c r="HN15" s="34"/>
      <c r="HO15" s="33">
        <f t="shared" si="16"/>
        <v>0</v>
      </c>
      <c r="HP15" s="24"/>
      <c r="HQ15" s="25" t="s">
        <v>32</v>
      </c>
      <c r="HR15" s="28" t="s">
        <v>32</v>
      </c>
      <c r="HS15" s="75" t="s">
        <v>32</v>
      </c>
      <c r="HT15" s="75" t="s">
        <v>32</v>
      </c>
      <c r="HU15" s="26"/>
      <c r="HV15" s="26"/>
      <c r="HW15" s="32">
        <f t="shared" si="8"/>
        <v>0</v>
      </c>
      <c r="HX15" s="34" t="s">
        <v>32</v>
      </c>
      <c r="HY15" s="34"/>
      <c r="HZ15" s="26" t="s">
        <v>32</v>
      </c>
      <c r="IA15" s="34" t="s">
        <v>32</v>
      </c>
      <c r="IB15" s="32" t="s">
        <v>32</v>
      </c>
      <c r="IC15" s="32"/>
      <c r="ID15" s="34" t="s">
        <v>32</v>
      </c>
      <c r="IE15" s="28"/>
      <c r="IF15" s="28" t="s">
        <v>32</v>
      </c>
      <c r="IG15" s="82" t="s">
        <v>32</v>
      </c>
      <c r="IH15" s="34" t="s">
        <v>32</v>
      </c>
      <c r="II15" s="32" t="s">
        <v>32</v>
      </c>
      <c r="IJ15" s="32" t="s">
        <v>32</v>
      </c>
      <c r="IK15" s="29" t="s">
        <v>32</v>
      </c>
      <c r="IL15" s="28"/>
      <c r="IM15" s="26" t="s">
        <v>32</v>
      </c>
      <c r="IN15" s="34" t="s">
        <v>32</v>
      </c>
      <c r="IO15" s="32" t="s">
        <v>32</v>
      </c>
      <c r="IP15" s="34"/>
      <c r="IQ15" s="33">
        <f t="shared" si="17"/>
        <v>0</v>
      </c>
      <c r="IR15" s="111"/>
    </row>
    <row r="16" spans="1:252" x14ac:dyDescent="0.3">
      <c r="A16" s="25">
        <v>46126</v>
      </c>
      <c r="B16" s="28">
        <v>3085</v>
      </c>
      <c r="C16" s="75">
        <v>5079</v>
      </c>
      <c r="D16" s="75">
        <v>7.75</v>
      </c>
      <c r="E16" s="26">
        <v>1135</v>
      </c>
      <c r="F16" s="26">
        <v>56561</v>
      </c>
      <c r="G16" s="32">
        <f t="shared" si="0"/>
        <v>580</v>
      </c>
      <c r="H16" s="34" t="s">
        <v>32</v>
      </c>
      <c r="I16" s="34"/>
      <c r="J16" s="26" t="s">
        <v>32</v>
      </c>
      <c r="K16" s="34" t="s">
        <v>32</v>
      </c>
      <c r="L16" s="32" t="s">
        <v>32</v>
      </c>
      <c r="M16" s="32"/>
      <c r="N16" s="34"/>
      <c r="O16" s="28"/>
      <c r="P16" s="28" t="s">
        <v>32</v>
      </c>
      <c r="Q16" s="82">
        <v>580</v>
      </c>
      <c r="R16" s="34" t="s">
        <v>32</v>
      </c>
      <c r="S16" s="32" t="s">
        <v>32</v>
      </c>
      <c r="T16" s="32" t="s">
        <v>32</v>
      </c>
      <c r="U16" s="75" t="s">
        <v>32</v>
      </c>
      <c r="V16" s="28" t="s">
        <v>32</v>
      </c>
      <c r="W16" s="26" t="s">
        <v>32</v>
      </c>
      <c r="X16" s="34" t="s">
        <v>32</v>
      </c>
      <c r="Y16" s="32" t="s">
        <v>32</v>
      </c>
      <c r="Z16" s="34" t="s">
        <v>32</v>
      </c>
      <c r="AA16" s="33">
        <f>SUM(H16:Z16)</f>
        <v>580</v>
      </c>
      <c r="AB16" s="24"/>
      <c r="AC16" s="25">
        <v>46156</v>
      </c>
      <c r="AD16" s="28">
        <v>4478</v>
      </c>
      <c r="AE16" s="75">
        <v>0</v>
      </c>
      <c r="AF16" s="75">
        <v>5.25</v>
      </c>
      <c r="AG16" s="26">
        <v>0</v>
      </c>
      <c r="AH16" s="26">
        <v>0</v>
      </c>
      <c r="AI16" s="32">
        <f t="shared" si="1"/>
        <v>0</v>
      </c>
      <c r="AJ16" s="34" t="s">
        <v>32</v>
      </c>
      <c r="AK16" s="34"/>
      <c r="AL16" s="26" t="s">
        <v>32</v>
      </c>
      <c r="AM16" s="34" t="s">
        <v>32</v>
      </c>
      <c r="AN16" s="32" t="s">
        <v>32</v>
      </c>
      <c r="AO16" s="32"/>
      <c r="AP16" s="34" t="s">
        <v>32</v>
      </c>
      <c r="AQ16" s="28"/>
      <c r="AR16" s="28" t="s">
        <v>32</v>
      </c>
      <c r="AS16" s="82" t="s">
        <v>32</v>
      </c>
      <c r="AT16" s="34" t="s">
        <v>32</v>
      </c>
      <c r="AU16" s="32" t="s">
        <v>32</v>
      </c>
      <c r="AV16" s="32" t="s">
        <v>32</v>
      </c>
      <c r="AW16" s="75" t="s">
        <v>32</v>
      </c>
      <c r="AX16" s="28"/>
      <c r="AY16" s="26" t="s">
        <v>32</v>
      </c>
      <c r="AZ16" s="34" t="s">
        <v>32</v>
      </c>
      <c r="BA16" s="32" t="s">
        <v>32</v>
      </c>
      <c r="BB16" s="34"/>
      <c r="BC16" s="33">
        <f t="shared" si="10"/>
        <v>0</v>
      </c>
      <c r="BD16" s="129"/>
      <c r="BE16" s="25">
        <v>46187</v>
      </c>
      <c r="BF16" s="28">
        <v>2964</v>
      </c>
      <c r="BG16" s="75">
        <v>6243</v>
      </c>
      <c r="BH16" s="75">
        <v>9.5</v>
      </c>
      <c r="BI16" s="26">
        <v>1318</v>
      </c>
      <c r="BJ16" s="26">
        <v>40846</v>
      </c>
      <c r="BK16" s="32">
        <f t="shared" si="2"/>
        <v>58156</v>
      </c>
      <c r="BL16" s="34" t="s">
        <v>32</v>
      </c>
      <c r="BM16" s="34"/>
      <c r="BN16" s="26">
        <v>49600</v>
      </c>
      <c r="BO16" s="34" t="s">
        <v>32</v>
      </c>
      <c r="BP16" s="32">
        <v>5550</v>
      </c>
      <c r="BQ16" s="32"/>
      <c r="BR16" s="34"/>
      <c r="BS16" s="28"/>
      <c r="BT16" s="28" t="s">
        <v>32</v>
      </c>
      <c r="BU16" s="26">
        <v>946</v>
      </c>
      <c r="BV16" s="34" t="s">
        <v>32</v>
      </c>
      <c r="BW16" s="32">
        <v>2060</v>
      </c>
      <c r="BX16" s="32" t="s">
        <v>51</v>
      </c>
      <c r="BY16" s="82" t="s">
        <v>32</v>
      </c>
      <c r="BZ16" s="28" t="s">
        <v>32</v>
      </c>
      <c r="CA16" s="26" t="s">
        <v>32</v>
      </c>
      <c r="CB16" s="34" t="s">
        <v>32</v>
      </c>
      <c r="CC16" s="32" t="s">
        <v>32</v>
      </c>
      <c r="CD16" s="34" t="s">
        <v>32</v>
      </c>
      <c r="CE16" s="33">
        <f>SUM(BL16:CD16)</f>
        <v>58156</v>
      </c>
      <c r="CF16" s="24"/>
      <c r="CG16" s="25">
        <v>46217</v>
      </c>
      <c r="CH16" s="28" t="s">
        <v>33</v>
      </c>
      <c r="CI16" s="75" t="s">
        <v>32</v>
      </c>
      <c r="CJ16" s="75" t="s">
        <v>32</v>
      </c>
      <c r="CK16" s="26"/>
      <c r="CL16" s="26"/>
      <c r="CM16" s="32">
        <f t="shared" si="3"/>
        <v>0</v>
      </c>
      <c r="CN16" s="34" t="s">
        <v>32</v>
      </c>
      <c r="CO16" s="34"/>
      <c r="CP16" s="26" t="s">
        <v>32</v>
      </c>
      <c r="CQ16" s="34" t="s">
        <v>32</v>
      </c>
      <c r="CR16" s="32" t="s">
        <v>32</v>
      </c>
      <c r="CS16" s="32"/>
      <c r="CT16" s="34"/>
      <c r="CU16" s="28"/>
      <c r="CV16" s="28" t="s">
        <v>32</v>
      </c>
      <c r="CW16" s="82" t="s">
        <v>32</v>
      </c>
      <c r="CX16" s="34" t="s">
        <v>32</v>
      </c>
      <c r="CY16" s="32" t="s">
        <v>32</v>
      </c>
      <c r="CZ16" s="32" t="s">
        <v>32</v>
      </c>
      <c r="DA16" s="29" t="s">
        <v>32</v>
      </c>
      <c r="DB16" s="28" t="s">
        <v>32</v>
      </c>
      <c r="DC16" s="26" t="s">
        <v>32</v>
      </c>
      <c r="DD16" s="34" t="s">
        <v>32</v>
      </c>
      <c r="DE16" s="32" t="s">
        <v>32</v>
      </c>
      <c r="DF16" s="34" t="s">
        <v>32</v>
      </c>
      <c r="DG16" s="33">
        <f>SUM(CN16:DF16)</f>
        <v>0</v>
      </c>
      <c r="DH16" s="24"/>
      <c r="DI16" s="25" t="s">
        <v>32</v>
      </c>
      <c r="DJ16" s="28" t="s">
        <v>33</v>
      </c>
      <c r="DK16" s="75" t="s">
        <v>32</v>
      </c>
      <c r="DL16" s="75" t="s">
        <v>32</v>
      </c>
      <c r="DM16" s="26"/>
      <c r="DN16" s="26"/>
      <c r="DO16" s="32">
        <f t="shared" si="4"/>
        <v>0</v>
      </c>
      <c r="DP16" s="34" t="s">
        <v>32</v>
      </c>
      <c r="DQ16" s="34"/>
      <c r="DR16" s="26" t="s">
        <v>32</v>
      </c>
      <c r="DS16" s="34" t="s">
        <v>32</v>
      </c>
      <c r="DT16" s="32" t="s">
        <v>32</v>
      </c>
      <c r="DU16" s="32"/>
      <c r="DV16" s="34"/>
      <c r="DW16" s="28"/>
      <c r="DX16" s="28" t="s">
        <v>32</v>
      </c>
      <c r="DY16" s="82" t="s">
        <v>32</v>
      </c>
      <c r="DZ16" s="34" t="s">
        <v>32</v>
      </c>
      <c r="EA16" s="32" t="s">
        <v>32</v>
      </c>
      <c r="EB16" s="32" t="s">
        <v>32</v>
      </c>
      <c r="EC16" s="29" t="s">
        <v>32</v>
      </c>
      <c r="ED16" s="28" t="s">
        <v>32</v>
      </c>
      <c r="EE16" s="26" t="s">
        <v>32</v>
      </c>
      <c r="EF16" s="34" t="s">
        <v>32</v>
      </c>
      <c r="EG16" s="32" t="s">
        <v>32</v>
      </c>
      <c r="EH16" s="34" t="s">
        <v>32</v>
      </c>
      <c r="EI16" s="33">
        <f>SUM(DP16:EH16)</f>
        <v>0</v>
      </c>
      <c r="EJ16" s="24"/>
      <c r="EK16" s="25" t="s">
        <v>32</v>
      </c>
      <c r="EL16" s="28" t="s">
        <v>33</v>
      </c>
      <c r="EM16" s="75" t="s">
        <v>32</v>
      </c>
      <c r="EN16" s="75" t="s">
        <v>32</v>
      </c>
      <c r="EO16" s="26"/>
      <c r="EP16" s="26"/>
      <c r="EQ16" s="32">
        <f t="shared" si="5"/>
        <v>0</v>
      </c>
      <c r="ER16" s="34" t="s">
        <v>32</v>
      </c>
      <c r="ES16" s="34"/>
      <c r="ET16" s="26" t="s">
        <v>32</v>
      </c>
      <c r="EU16" s="34" t="s">
        <v>32</v>
      </c>
      <c r="EV16" s="32" t="s">
        <v>32</v>
      </c>
      <c r="EW16" s="32"/>
      <c r="EX16" s="34"/>
      <c r="EY16" s="28"/>
      <c r="EZ16" s="28" t="s">
        <v>32</v>
      </c>
      <c r="FA16" s="82" t="s">
        <v>32</v>
      </c>
      <c r="FB16" s="34" t="s">
        <v>32</v>
      </c>
      <c r="FC16" s="32" t="s">
        <v>32</v>
      </c>
      <c r="FD16" s="32" t="s">
        <v>32</v>
      </c>
      <c r="FE16" s="29" t="s">
        <v>32</v>
      </c>
      <c r="FF16" s="28" t="s">
        <v>32</v>
      </c>
      <c r="FG16" s="26" t="s">
        <v>32</v>
      </c>
      <c r="FH16" s="34" t="s">
        <v>32</v>
      </c>
      <c r="FI16" s="32" t="s">
        <v>32</v>
      </c>
      <c r="FJ16" s="34" t="s">
        <v>32</v>
      </c>
      <c r="FK16" s="33">
        <f>SUM(ER16:FJ16)</f>
        <v>0</v>
      </c>
      <c r="FL16" s="24"/>
      <c r="FM16" s="25" t="s">
        <v>32</v>
      </c>
      <c r="FN16" s="28" t="s">
        <v>33</v>
      </c>
      <c r="FO16" s="75" t="s">
        <v>32</v>
      </c>
      <c r="FP16" s="75" t="s">
        <v>32</v>
      </c>
      <c r="FQ16" s="26"/>
      <c r="FR16" s="26"/>
      <c r="FS16" s="32">
        <f t="shared" si="6"/>
        <v>0</v>
      </c>
      <c r="FT16" s="34" t="s">
        <v>32</v>
      </c>
      <c r="FU16" s="34"/>
      <c r="FV16" s="26" t="s">
        <v>32</v>
      </c>
      <c r="FW16" s="34" t="s">
        <v>32</v>
      </c>
      <c r="FX16" s="32" t="s">
        <v>32</v>
      </c>
      <c r="FY16" s="32"/>
      <c r="FZ16" s="34"/>
      <c r="GA16" s="28"/>
      <c r="GB16" s="28" t="s">
        <v>32</v>
      </c>
      <c r="GC16" s="82" t="s">
        <v>32</v>
      </c>
      <c r="GD16" s="34" t="s">
        <v>32</v>
      </c>
      <c r="GE16" s="32" t="s">
        <v>32</v>
      </c>
      <c r="GF16" s="32" t="s">
        <v>32</v>
      </c>
      <c r="GG16" s="29" t="s">
        <v>32</v>
      </c>
      <c r="GH16" s="28" t="s">
        <v>32</v>
      </c>
      <c r="GI16" s="26" t="s">
        <v>32</v>
      </c>
      <c r="GJ16" s="34" t="s">
        <v>32</v>
      </c>
      <c r="GK16" s="32" t="s">
        <v>32</v>
      </c>
      <c r="GL16" s="34" t="s">
        <v>32</v>
      </c>
      <c r="GM16" s="33">
        <f>SUM(FT16:GL16)</f>
        <v>0</v>
      </c>
      <c r="GN16" s="24"/>
      <c r="GO16" s="25" t="s">
        <v>32</v>
      </c>
      <c r="GP16" s="28" t="s">
        <v>33</v>
      </c>
      <c r="GQ16" s="75" t="s">
        <v>32</v>
      </c>
      <c r="GR16" s="75" t="s">
        <v>32</v>
      </c>
      <c r="GS16" s="26"/>
      <c r="GT16" s="26"/>
      <c r="GU16" s="32">
        <f t="shared" si="7"/>
        <v>0</v>
      </c>
      <c r="GV16" s="34" t="s">
        <v>32</v>
      </c>
      <c r="GW16" s="34"/>
      <c r="GX16" s="26" t="s">
        <v>32</v>
      </c>
      <c r="GY16" s="34" t="s">
        <v>32</v>
      </c>
      <c r="GZ16" s="32" t="s">
        <v>32</v>
      </c>
      <c r="HA16" s="32"/>
      <c r="HB16" s="34"/>
      <c r="HC16" s="28"/>
      <c r="HD16" s="28" t="s">
        <v>32</v>
      </c>
      <c r="HE16" s="82" t="s">
        <v>32</v>
      </c>
      <c r="HF16" s="34" t="s">
        <v>32</v>
      </c>
      <c r="HG16" s="32" t="s">
        <v>32</v>
      </c>
      <c r="HH16" s="32" t="s">
        <v>32</v>
      </c>
      <c r="HI16" s="29" t="s">
        <v>32</v>
      </c>
      <c r="HJ16" s="28" t="s">
        <v>32</v>
      </c>
      <c r="HK16" s="26" t="s">
        <v>32</v>
      </c>
      <c r="HL16" s="34" t="s">
        <v>32</v>
      </c>
      <c r="HM16" s="32" t="s">
        <v>32</v>
      </c>
      <c r="HN16" s="34" t="s">
        <v>32</v>
      </c>
      <c r="HO16" s="33">
        <f>SUM(GV16:HN16)</f>
        <v>0</v>
      </c>
      <c r="HP16" s="24"/>
      <c r="HQ16" s="25" t="s">
        <v>32</v>
      </c>
      <c r="HR16" s="28" t="s">
        <v>33</v>
      </c>
      <c r="HS16" s="75" t="s">
        <v>32</v>
      </c>
      <c r="HT16" s="75" t="s">
        <v>32</v>
      </c>
      <c r="HU16" s="26"/>
      <c r="HV16" s="26"/>
      <c r="HW16" s="32">
        <f t="shared" si="8"/>
        <v>0</v>
      </c>
      <c r="HX16" s="34" t="s">
        <v>32</v>
      </c>
      <c r="HY16" s="34"/>
      <c r="HZ16" s="26" t="s">
        <v>32</v>
      </c>
      <c r="IA16" s="34" t="s">
        <v>32</v>
      </c>
      <c r="IB16" s="32" t="s">
        <v>32</v>
      </c>
      <c r="IC16" s="32"/>
      <c r="ID16" s="34"/>
      <c r="IE16" s="28"/>
      <c r="IF16" s="28" t="s">
        <v>32</v>
      </c>
      <c r="IG16" s="82" t="s">
        <v>32</v>
      </c>
      <c r="IH16" s="34" t="s">
        <v>32</v>
      </c>
      <c r="II16" s="32" t="s">
        <v>32</v>
      </c>
      <c r="IJ16" s="32" t="s">
        <v>32</v>
      </c>
      <c r="IK16" s="29" t="s">
        <v>32</v>
      </c>
      <c r="IL16" s="28" t="s">
        <v>32</v>
      </c>
      <c r="IM16" s="26" t="s">
        <v>32</v>
      </c>
      <c r="IN16" s="34" t="s">
        <v>32</v>
      </c>
      <c r="IO16" s="32" t="s">
        <v>32</v>
      </c>
      <c r="IP16" s="34" t="s">
        <v>32</v>
      </c>
      <c r="IQ16" s="33">
        <f>SUM(HX16:IP16)</f>
        <v>0</v>
      </c>
      <c r="IR16" s="111"/>
    </row>
    <row r="17" spans="1:252" x14ac:dyDescent="0.3">
      <c r="A17" s="25">
        <v>46127</v>
      </c>
      <c r="B17" s="28">
        <v>2619</v>
      </c>
      <c r="C17" s="75">
        <v>1790</v>
      </c>
      <c r="D17" s="75">
        <v>9</v>
      </c>
      <c r="E17" s="26">
        <v>0</v>
      </c>
      <c r="F17" s="26">
        <v>0</v>
      </c>
      <c r="G17" s="32">
        <f t="shared" si="0"/>
        <v>0</v>
      </c>
      <c r="H17" s="34" t="s">
        <v>32</v>
      </c>
      <c r="I17" s="34"/>
      <c r="J17" s="26" t="s">
        <v>32</v>
      </c>
      <c r="K17" s="34" t="s">
        <v>32</v>
      </c>
      <c r="L17" s="32" t="s">
        <v>32</v>
      </c>
      <c r="M17" s="32"/>
      <c r="N17" s="34" t="s">
        <v>32</v>
      </c>
      <c r="O17" s="28" t="s">
        <v>32</v>
      </c>
      <c r="P17" s="28" t="s">
        <v>32</v>
      </c>
      <c r="Q17" s="82" t="s">
        <v>32</v>
      </c>
      <c r="R17" s="34" t="s">
        <v>32</v>
      </c>
      <c r="S17" s="32" t="s">
        <v>32</v>
      </c>
      <c r="T17" s="32" t="s">
        <v>32</v>
      </c>
      <c r="U17" s="75" t="s">
        <v>32</v>
      </c>
      <c r="V17" s="28" t="s">
        <v>32</v>
      </c>
      <c r="W17" s="26" t="s">
        <v>32</v>
      </c>
      <c r="X17" s="34" t="s">
        <v>32</v>
      </c>
      <c r="Y17" s="32" t="s">
        <v>32</v>
      </c>
      <c r="Z17" s="34"/>
      <c r="AA17" s="33">
        <f>SUM(H17:Y17)</f>
        <v>0</v>
      </c>
      <c r="AB17" s="24"/>
      <c r="AC17" s="25">
        <v>46157</v>
      </c>
      <c r="AD17" s="28">
        <v>1526</v>
      </c>
      <c r="AE17" s="75">
        <v>966</v>
      </c>
      <c r="AF17" s="75">
        <v>4.25</v>
      </c>
      <c r="AG17" s="26">
        <v>2915</v>
      </c>
      <c r="AH17" s="26">
        <v>143285</v>
      </c>
      <c r="AI17" s="32">
        <f t="shared" si="1"/>
        <v>255631</v>
      </c>
      <c r="AJ17" s="34" t="s">
        <v>32</v>
      </c>
      <c r="AK17" s="34"/>
      <c r="AL17" s="26">
        <v>30100</v>
      </c>
      <c r="AM17" s="34" t="s">
        <v>32</v>
      </c>
      <c r="AN17" s="32" t="s">
        <v>32</v>
      </c>
      <c r="AO17" s="32"/>
      <c r="AP17" s="34">
        <v>15000</v>
      </c>
      <c r="AQ17" s="28"/>
      <c r="AR17" s="28" t="s">
        <v>32</v>
      </c>
      <c r="AS17" s="82">
        <v>1185</v>
      </c>
      <c r="AT17" s="34" t="s">
        <v>32</v>
      </c>
      <c r="AU17" s="32">
        <v>209346</v>
      </c>
      <c r="AV17" s="32" t="s">
        <v>43</v>
      </c>
      <c r="AW17" s="75" t="s">
        <v>32</v>
      </c>
      <c r="AX17" s="28" t="s">
        <v>32</v>
      </c>
      <c r="AY17" s="26" t="s">
        <v>32</v>
      </c>
      <c r="AZ17" s="34" t="s">
        <v>32</v>
      </c>
      <c r="BA17" s="32" t="s">
        <v>32</v>
      </c>
      <c r="BB17" s="34" t="s">
        <v>32</v>
      </c>
      <c r="BC17" s="33">
        <f>SUM(AJ17:BB17)</f>
        <v>255631</v>
      </c>
      <c r="BD17" s="129"/>
      <c r="BE17" s="25">
        <v>46188</v>
      </c>
      <c r="BF17" s="28">
        <v>0</v>
      </c>
      <c r="BG17" s="75">
        <v>0</v>
      </c>
      <c r="BH17" s="75">
        <v>0</v>
      </c>
      <c r="BI17" s="26">
        <v>0</v>
      </c>
      <c r="BJ17" s="26">
        <v>0</v>
      </c>
      <c r="BK17" s="32">
        <f t="shared" si="2"/>
        <v>0</v>
      </c>
      <c r="BL17" s="34" t="s">
        <v>32</v>
      </c>
      <c r="BM17" s="34"/>
      <c r="BN17" s="26" t="s">
        <v>32</v>
      </c>
      <c r="BO17" s="34" t="s">
        <v>32</v>
      </c>
      <c r="BP17" s="32" t="s">
        <v>32</v>
      </c>
      <c r="BQ17" s="32"/>
      <c r="BR17" s="34" t="s">
        <v>32</v>
      </c>
      <c r="BS17" s="28" t="s">
        <v>32</v>
      </c>
      <c r="BT17" s="28" t="s">
        <v>32</v>
      </c>
      <c r="BU17" s="26" t="s">
        <v>32</v>
      </c>
      <c r="BV17" s="34" t="s">
        <v>32</v>
      </c>
      <c r="BW17" s="32" t="s">
        <v>32</v>
      </c>
      <c r="BX17" s="32" t="s">
        <v>32</v>
      </c>
      <c r="BY17" s="82" t="s">
        <v>32</v>
      </c>
      <c r="BZ17" s="28" t="s">
        <v>32</v>
      </c>
      <c r="CA17" s="26" t="s">
        <v>32</v>
      </c>
      <c r="CB17" s="34" t="s">
        <v>32</v>
      </c>
      <c r="CC17" s="32" t="s">
        <v>32</v>
      </c>
      <c r="CD17" s="34"/>
      <c r="CE17" s="33">
        <f>SUM(BL17:CC17)</f>
        <v>0</v>
      </c>
      <c r="CF17" s="24"/>
      <c r="CG17" s="25">
        <v>46218</v>
      </c>
      <c r="CH17" s="28" t="s">
        <v>32</v>
      </c>
      <c r="CI17" s="75" t="s">
        <v>32</v>
      </c>
      <c r="CJ17" s="75" t="s">
        <v>32</v>
      </c>
      <c r="CK17" s="26"/>
      <c r="CL17" s="26"/>
      <c r="CM17" s="32">
        <f t="shared" si="3"/>
        <v>0</v>
      </c>
      <c r="CN17" s="34" t="s">
        <v>32</v>
      </c>
      <c r="CO17" s="34"/>
      <c r="CP17" s="26" t="s">
        <v>32</v>
      </c>
      <c r="CQ17" s="34" t="s">
        <v>32</v>
      </c>
      <c r="CR17" s="32" t="s">
        <v>32</v>
      </c>
      <c r="CS17" s="32"/>
      <c r="CT17" s="34" t="s">
        <v>32</v>
      </c>
      <c r="CU17" s="28" t="s">
        <v>32</v>
      </c>
      <c r="CV17" s="28" t="s">
        <v>32</v>
      </c>
      <c r="CW17" s="82" t="s">
        <v>32</v>
      </c>
      <c r="CX17" s="34" t="s">
        <v>32</v>
      </c>
      <c r="CY17" s="32" t="s">
        <v>32</v>
      </c>
      <c r="CZ17" s="32" t="s">
        <v>32</v>
      </c>
      <c r="DA17" s="29" t="s">
        <v>32</v>
      </c>
      <c r="DB17" s="28" t="s">
        <v>32</v>
      </c>
      <c r="DC17" s="26" t="s">
        <v>32</v>
      </c>
      <c r="DD17" s="34" t="s">
        <v>32</v>
      </c>
      <c r="DE17" s="32" t="s">
        <v>32</v>
      </c>
      <c r="DF17" s="34"/>
      <c r="DG17" s="33">
        <f>SUM(CN17:DE17)</f>
        <v>0</v>
      </c>
      <c r="DH17" s="24"/>
      <c r="DI17" s="25" t="s">
        <v>32</v>
      </c>
      <c r="DJ17" s="28" t="s">
        <v>32</v>
      </c>
      <c r="DK17" s="75" t="s">
        <v>32</v>
      </c>
      <c r="DL17" s="75" t="s">
        <v>32</v>
      </c>
      <c r="DM17" s="26"/>
      <c r="DN17" s="26"/>
      <c r="DO17" s="32">
        <f t="shared" si="4"/>
        <v>0</v>
      </c>
      <c r="DP17" s="34" t="s">
        <v>32</v>
      </c>
      <c r="DQ17" s="34"/>
      <c r="DR17" s="26" t="s">
        <v>32</v>
      </c>
      <c r="DS17" s="34" t="s">
        <v>32</v>
      </c>
      <c r="DT17" s="32" t="s">
        <v>32</v>
      </c>
      <c r="DU17" s="32"/>
      <c r="DV17" s="34" t="s">
        <v>32</v>
      </c>
      <c r="DW17" s="28" t="s">
        <v>32</v>
      </c>
      <c r="DX17" s="28" t="s">
        <v>32</v>
      </c>
      <c r="DY17" s="82" t="s">
        <v>32</v>
      </c>
      <c r="DZ17" s="34" t="s">
        <v>32</v>
      </c>
      <c r="EA17" s="32" t="s">
        <v>32</v>
      </c>
      <c r="EB17" s="32" t="s">
        <v>32</v>
      </c>
      <c r="EC17" s="29" t="s">
        <v>32</v>
      </c>
      <c r="ED17" s="28" t="s">
        <v>32</v>
      </c>
      <c r="EE17" s="26" t="s">
        <v>32</v>
      </c>
      <c r="EF17" s="34" t="s">
        <v>32</v>
      </c>
      <c r="EG17" s="32" t="s">
        <v>32</v>
      </c>
      <c r="EH17" s="34"/>
      <c r="EI17" s="33">
        <f>SUM(DP17:EG17)</f>
        <v>0</v>
      </c>
      <c r="EJ17" s="24"/>
      <c r="EK17" s="25" t="s">
        <v>32</v>
      </c>
      <c r="EL17" s="28" t="s">
        <v>32</v>
      </c>
      <c r="EM17" s="75" t="s">
        <v>32</v>
      </c>
      <c r="EN17" s="75" t="s">
        <v>32</v>
      </c>
      <c r="EO17" s="26"/>
      <c r="EP17" s="26"/>
      <c r="EQ17" s="32">
        <f t="shared" si="5"/>
        <v>0</v>
      </c>
      <c r="ER17" s="34" t="s">
        <v>32</v>
      </c>
      <c r="ES17" s="34"/>
      <c r="ET17" s="26" t="s">
        <v>32</v>
      </c>
      <c r="EU17" s="34" t="s">
        <v>32</v>
      </c>
      <c r="EV17" s="32" t="s">
        <v>32</v>
      </c>
      <c r="EW17" s="32"/>
      <c r="EX17" s="34" t="s">
        <v>32</v>
      </c>
      <c r="EY17" s="28" t="s">
        <v>32</v>
      </c>
      <c r="EZ17" s="28" t="s">
        <v>32</v>
      </c>
      <c r="FA17" s="82" t="s">
        <v>32</v>
      </c>
      <c r="FB17" s="34" t="s">
        <v>32</v>
      </c>
      <c r="FC17" s="32" t="s">
        <v>32</v>
      </c>
      <c r="FD17" s="32" t="s">
        <v>32</v>
      </c>
      <c r="FE17" s="29" t="s">
        <v>32</v>
      </c>
      <c r="FF17" s="28" t="s">
        <v>32</v>
      </c>
      <c r="FG17" s="26" t="s">
        <v>32</v>
      </c>
      <c r="FH17" s="34" t="s">
        <v>32</v>
      </c>
      <c r="FI17" s="32" t="s">
        <v>32</v>
      </c>
      <c r="FJ17" s="34"/>
      <c r="FK17" s="33">
        <f>SUM(ER17:FI17)</f>
        <v>0</v>
      </c>
      <c r="FL17" s="24"/>
      <c r="FM17" s="25" t="s">
        <v>32</v>
      </c>
      <c r="FN17" s="28" t="s">
        <v>32</v>
      </c>
      <c r="FO17" s="75" t="s">
        <v>32</v>
      </c>
      <c r="FP17" s="75" t="s">
        <v>32</v>
      </c>
      <c r="FQ17" s="26"/>
      <c r="FR17" s="26"/>
      <c r="FS17" s="32">
        <f t="shared" si="6"/>
        <v>0</v>
      </c>
      <c r="FT17" s="34" t="s">
        <v>32</v>
      </c>
      <c r="FU17" s="34"/>
      <c r="FV17" s="26" t="s">
        <v>32</v>
      </c>
      <c r="FW17" s="34" t="s">
        <v>32</v>
      </c>
      <c r="FX17" s="32" t="s">
        <v>32</v>
      </c>
      <c r="FY17" s="32"/>
      <c r="FZ17" s="34" t="s">
        <v>32</v>
      </c>
      <c r="GA17" s="28" t="s">
        <v>32</v>
      </c>
      <c r="GB17" s="28" t="s">
        <v>32</v>
      </c>
      <c r="GC17" s="82" t="s">
        <v>32</v>
      </c>
      <c r="GD17" s="34" t="s">
        <v>32</v>
      </c>
      <c r="GE17" s="32" t="s">
        <v>32</v>
      </c>
      <c r="GF17" s="32" t="s">
        <v>32</v>
      </c>
      <c r="GG17" s="29" t="s">
        <v>32</v>
      </c>
      <c r="GH17" s="28" t="s">
        <v>32</v>
      </c>
      <c r="GI17" s="26" t="s">
        <v>32</v>
      </c>
      <c r="GJ17" s="34" t="s">
        <v>32</v>
      </c>
      <c r="GK17" s="32" t="s">
        <v>32</v>
      </c>
      <c r="GL17" s="34"/>
      <c r="GM17" s="33">
        <f>SUM(FT17:GK17)</f>
        <v>0</v>
      </c>
      <c r="GN17" s="24"/>
      <c r="GO17" s="25" t="s">
        <v>32</v>
      </c>
      <c r="GP17" s="28" t="s">
        <v>32</v>
      </c>
      <c r="GQ17" s="75" t="s">
        <v>32</v>
      </c>
      <c r="GR17" s="75" t="s">
        <v>32</v>
      </c>
      <c r="GS17" s="26"/>
      <c r="GT17" s="26"/>
      <c r="GU17" s="32">
        <f t="shared" si="7"/>
        <v>0</v>
      </c>
      <c r="GV17" s="34" t="s">
        <v>32</v>
      </c>
      <c r="GW17" s="34"/>
      <c r="GX17" s="26" t="s">
        <v>32</v>
      </c>
      <c r="GY17" s="34" t="s">
        <v>32</v>
      </c>
      <c r="GZ17" s="32" t="s">
        <v>32</v>
      </c>
      <c r="HA17" s="32"/>
      <c r="HB17" s="34" t="s">
        <v>32</v>
      </c>
      <c r="HC17" s="28" t="s">
        <v>32</v>
      </c>
      <c r="HD17" s="28" t="s">
        <v>32</v>
      </c>
      <c r="HE17" s="82" t="s">
        <v>32</v>
      </c>
      <c r="HF17" s="34" t="s">
        <v>32</v>
      </c>
      <c r="HG17" s="32" t="s">
        <v>32</v>
      </c>
      <c r="HH17" s="32" t="s">
        <v>32</v>
      </c>
      <c r="HI17" s="29" t="s">
        <v>32</v>
      </c>
      <c r="HJ17" s="28" t="s">
        <v>32</v>
      </c>
      <c r="HK17" s="26" t="s">
        <v>32</v>
      </c>
      <c r="HL17" s="34" t="s">
        <v>32</v>
      </c>
      <c r="HM17" s="32" t="s">
        <v>32</v>
      </c>
      <c r="HN17" s="34"/>
      <c r="HO17" s="33">
        <f>SUM(GV17:HM17)</f>
        <v>0</v>
      </c>
      <c r="HP17" s="24"/>
      <c r="HQ17" s="25" t="s">
        <v>32</v>
      </c>
      <c r="HR17" s="28" t="s">
        <v>32</v>
      </c>
      <c r="HS17" s="75" t="s">
        <v>32</v>
      </c>
      <c r="HT17" s="75" t="s">
        <v>32</v>
      </c>
      <c r="HU17" s="26"/>
      <c r="HV17" s="26"/>
      <c r="HW17" s="32">
        <f t="shared" si="8"/>
        <v>0</v>
      </c>
      <c r="HX17" s="34" t="s">
        <v>32</v>
      </c>
      <c r="HY17" s="34"/>
      <c r="HZ17" s="26" t="s">
        <v>32</v>
      </c>
      <c r="IA17" s="34" t="s">
        <v>32</v>
      </c>
      <c r="IB17" s="32" t="s">
        <v>32</v>
      </c>
      <c r="IC17" s="32"/>
      <c r="ID17" s="34" t="s">
        <v>32</v>
      </c>
      <c r="IE17" s="28" t="s">
        <v>32</v>
      </c>
      <c r="IF17" s="28" t="s">
        <v>32</v>
      </c>
      <c r="IG17" s="82" t="s">
        <v>32</v>
      </c>
      <c r="IH17" s="34" t="s">
        <v>32</v>
      </c>
      <c r="II17" s="32" t="s">
        <v>32</v>
      </c>
      <c r="IJ17" s="32" t="s">
        <v>32</v>
      </c>
      <c r="IK17" s="29" t="s">
        <v>32</v>
      </c>
      <c r="IL17" s="28" t="s">
        <v>32</v>
      </c>
      <c r="IM17" s="26" t="s">
        <v>32</v>
      </c>
      <c r="IN17" s="34" t="s">
        <v>32</v>
      </c>
      <c r="IO17" s="32" t="s">
        <v>32</v>
      </c>
      <c r="IP17" s="34"/>
      <c r="IQ17" s="33">
        <f>SUM(HX17:IO17)</f>
        <v>0</v>
      </c>
      <c r="IR17" s="111"/>
    </row>
    <row r="18" spans="1:252" x14ac:dyDescent="0.3">
      <c r="A18" s="25">
        <v>46128</v>
      </c>
      <c r="B18" s="28">
        <v>4129</v>
      </c>
      <c r="C18" s="75">
        <v>0</v>
      </c>
      <c r="D18" s="75">
        <v>9</v>
      </c>
      <c r="E18" s="26">
        <v>566</v>
      </c>
      <c r="F18" s="26">
        <v>32075</v>
      </c>
      <c r="G18" s="32">
        <f t="shared" si="0"/>
        <v>165301</v>
      </c>
      <c r="H18" s="34" t="s">
        <v>32</v>
      </c>
      <c r="I18" s="34"/>
      <c r="J18" s="26">
        <v>34531</v>
      </c>
      <c r="K18" s="34" t="s">
        <v>32</v>
      </c>
      <c r="L18" s="32">
        <v>30000</v>
      </c>
      <c r="M18" s="32"/>
      <c r="N18" s="34" t="s">
        <v>32</v>
      </c>
      <c r="O18" s="28" t="s">
        <v>32</v>
      </c>
      <c r="P18" s="28" t="s">
        <v>32</v>
      </c>
      <c r="Q18" s="82">
        <v>770</v>
      </c>
      <c r="R18" s="34" t="s">
        <v>32</v>
      </c>
      <c r="S18" s="32" t="s">
        <v>32</v>
      </c>
      <c r="T18" s="32" t="s">
        <v>32</v>
      </c>
      <c r="U18" s="75"/>
      <c r="V18" s="28" t="s">
        <v>32</v>
      </c>
      <c r="W18" s="26">
        <v>100000</v>
      </c>
      <c r="X18" s="34" t="s">
        <v>32</v>
      </c>
      <c r="Y18" s="32" t="s">
        <v>32</v>
      </c>
      <c r="Z18" s="34" t="s">
        <v>32</v>
      </c>
      <c r="AA18" s="33">
        <f>SUM(H18:Z18)</f>
        <v>165301</v>
      </c>
      <c r="AB18" s="24"/>
      <c r="AC18" s="25">
        <v>46158</v>
      </c>
      <c r="AD18" s="28">
        <v>0</v>
      </c>
      <c r="AE18" s="75">
        <v>0</v>
      </c>
      <c r="AF18" s="75">
        <v>0</v>
      </c>
      <c r="AG18" s="26">
        <v>0</v>
      </c>
      <c r="AH18" s="26">
        <v>0</v>
      </c>
      <c r="AI18" s="32">
        <f t="shared" si="1"/>
        <v>0</v>
      </c>
      <c r="AJ18" s="34" t="s">
        <v>32</v>
      </c>
      <c r="AK18" s="34"/>
      <c r="AL18" s="26" t="s">
        <v>32</v>
      </c>
      <c r="AM18" s="34" t="s">
        <v>32</v>
      </c>
      <c r="AN18" s="32" t="s">
        <v>32</v>
      </c>
      <c r="AO18" s="32"/>
      <c r="AP18" s="34" t="s">
        <v>32</v>
      </c>
      <c r="AQ18" s="28" t="s">
        <v>32</v>
      </c>
      <c r="AR18" s="28" t="s">
        <v>32</v>
      </c>
      <c r="AS18" s="82" t="s">
        <v>32</v>
      </c>
      <c r="AT18" s="34" t="s">
        <v>32</v>
      </c>
      <c r="AU18" s="32" t="s">
        <v>32</v>
      </c>
      <c r="AV18" s="32" t="s">
        <v>32</v>
      </c>
      <c r="AW18" s="75" t="s">
        <v>32</v>
      </c>
      <c r="AX18" s="28" t="s">
        <v>32</v>
      </c>
      <c r="AY18" s="26" t="s">
        <v>32</v>
      </c>
      <c r="AZ18" s="34" t="s">
        <v>32</v>
      </c>
      <c r="BA18" s="32" t="s">
        <v>32</v>
      </c>
      <c r="BB18" s="34"/>
      <c r="BC18" s="33">
        <f>SUM(AJ18:BA18)</f>
        <v>0</v>
      </c>
      <c r="BD18" s="129"/>
      <c r="BE18" s="25">
        <v>46189</v>
      </c>
      <c r="BF18" s="28">
        <v>2464</v>
      </c>
      <c r="BG18" s="75">
        <v>0</v>
      </c>
      <c r="BH18" s="75">
        <v>11</v>
      </c>
      <c r="BI18" s="26">
        <v>2062</v>
      </c>
      <c r="BJ18" s="26">
        <v>125200</v>
      </c>
      <c r="BK18" s="32">
        <f t="shared" si="2"/>
        <v>217460</v>
      </c>
      <c r="BL18" s="34" t="s">
        <v>32</v>
      </c>
      <c r="BM18" s="34"/>
      <c r="BN18" s="26" t="s">
        <v>32</v>
      </c>
      <c r="BO18" s="34">
        <v>50000</v>
      </c>
      <c r="BP18" s="32" t="s">
        <v>32</v>
      </c>
      <c r="BQ18" s="32"/>
      <c r="BR18" s="34">
        <v>166000</v>
      </c>
      <c r="BS18" s="28" t="s">
        <v>32</v>
      </c>
      <c r="BT18" s="28" t="s">
        <v>32</v>
      </c>
      <c r="BU18" s="26">
        <v>1460</v>
      </c>
      <c r="BV18" s="34" t="s">
        <v>32</v>
      </c>
      <c r="BW18" s="32" t="s">
        <v>32</v>
      </c>
      <c r="BX18" s="32" t="s">
        <v>32</v>
      </c>
      <c r="BY18" s="82"/>
      <c r="BZ18" s="28" t="s">
        <v>32</v>
      </c>
      <c r="CA18" s="26" t="s">
        <v>32</v>
      </c>
      <c r="CB18" s="34" t="s">
        <v>32</v>
      </c>
      <c r="CC18" s="32" t="s">
        <v>32</v>
      </c>
      <c r="CD18" s="34" t="s">
        <v>32</v>
      </c>
      <c r="CE18" s="33">
        <f>SUM(BL18:CD18)</f>
        <v>217460</v>
      </c>
      <c r="CF18" s="24"/>
      <c r="CG18" s="25">
        <v>46219</v>
      </c>
      <c r="CH18" s="28" t="s">
        <v>32</v>
      </c>
      <c r="CI18" s="75" t="s">
        <v>32</v>
      </c>
      <c r="CJ18" s="75" t="s">
        <v>32</v>
      </c>
      <c r="CK18" s="26"/>
      <c r="CL18" s="26"/>
      <c r="CM18" s="32">
        <f t="shared" si="3"/>
        <v>0</v>
      </c>
      <c r="CN18" s="34" t="s">
        <v>32</v>
      </c>
      <c r="CO18" s="34"/>
      <c r="CP18" s="26" t="s">
        <v>32</v>
      </c>
      <c r="CQ18" s="34" t="s">
        <v>32</v>
      </c>
      <c r="CR18" s="32" t="s">
        <v>32</v>
      </c>
      <c r="CS18" s="32"/>
      <c r="CT18" s="34" t="s">
        <v>32</v>
      </c>
      <c r="CU18" s="28" t="s">
        <v>32</v>
      </c>
      <c r="CV18" s="28" t="s">
        <v>32</v>
      </c>
      <c r="CW18" s="82" t="s">
        <v>32</v>
      </c>
      <c r="CX18" s="34" t="s">
        <v>32</v>
      </c>
      <c r="CY18" s="32" t="s">
        <v>32</v>
      </c>
      <c r="CZ18" s="32" t="s">
        <v>32</v>
      </c>
      <c r="DA18" s="29"/>
      <c r="DB18" s="28" t="s">
        <v>32</v>
      </c>
      <c r="DC18" s="26" t="s">
        <v>32</v>
      </c>
      <c r="DD18" s="34" t="s">
        <v>32</v>
      </c>
      <c r="DE18" s="32" t="s">
        <v>32</v>
      </c>
      <c r="DF18" s="34" t="s">
        <v>32</v>
      </c>
      <c r="DG18" s="33">
        <f>SUM(CN18:DF18)</f>
        <v>0</v>
      </c>
      <c r="DH18" s="24"/>
      <c r="DI18" s="25" t="s">
        <v>32</v>
      </c>
      <c r="DJ18" s="28" t="s">
        <v>32</v>
      </c>
      <c r="DK18" s="75" t="s">
        <v>32</v>
      </c>
      <c r="DL18" s="75" t="s">
        <v>32</v>
      </c>
      <c r="DM18" s="26"/>
      <c r="DN18" s="26"/>
      <c r="DO18" s="32">
        <f t="shared" si="4"/>
        <v>0</v>
      </c>
      <c r="DP18" s="34" t="s">
        <v>32</v>
      </c>
      <c r="DQ18" s="34"/>
      <c r="DR18" s="26" t="s">
        <v>32</v>
      </c>
      <c r="DS18" s="34" t="s">
        <v>32</v>
      </c>
      <c r="DT18" s="32" t="s">
        <v>32</v>
      </c>
      <c r="DU18" s="32"/>
      <c r="DV18" s="34" t="s">
        <v>32</v>
      </c>
      <c r="DW18" s="28" t="s">
        <v>32</v>
      </c>
      <c r="DX18" s="28" t="s">
        <v>32</v>
      </c>
      <c r="DY18" s="82" t="s">
        <v>32</v>
      </c>
      <c r="DZ18" s="34" t="s">
        <v>32</v>
      </c>
      <c r="EA18" s="32" t="s">
        <v>32</v>
      </c>
      <c r="EB18" s="32" t="s">
        <v>32</v>
      </c>
      <c r="EC18" s="29"/>
      <c r="ED18" s="28" t="s">
        <v>32</v>
      </c>
      <c r="EE18" s="26" t="s">
        <v>32</v>
      </c>
      <c r="EF18" s="34" t="s">
        <v>32</v>
      </c>
      <c r="EG18" s="32" t="s">
        <v>32</v>
      </c>
      <c r="EH18" s="34" t="s">
        <v>32</v>
      </c>
      <c r="EI18" s="33">
        <f>SUM(DP18:EH18)</f>
        <v>0</v>
      </c>
      <c r="EJ18" s="24"/>
      <c r="EK18" s="25" t="s">
        <v>32</v>
      </c>
      <c r="EL18" s="28" t="s">
        <v>32</v>
      </c>
      <c r="EM18" s="75" t="s">
        <v>32</v>
      </c>
      <c r="EN18" s="75" t="s">
        <v>32</v>
      </c>
      <c r="EO18" s="26"/>
      <c r="EP18" s="26"/>
      <c r="EQ18" s="32">
        <f t="shared" si="5"/>
        <v>0</v>
      </c>
      <c r="ER18" s="34" t="s">
        <v>32</v>
      </c>
      <c r="ES18" s="34"/>
      <c r="ET18" s="26" t="s">
        <v>32</v>
      </c>
      <c r="EU18" s="34" t="s">
        <v>32</v>
      </c>
      <c r="EV18" s="32" t="s">
        <v>32</v>
      </c>
      <c r="EW18" s="32"/>
      <c r="EX18" s="34" t="s">
        <v>32</v>
      </c>
      <c r="EY18" s="28" t="s">
        <v>32</v>
      </c>
      <c r="EZ18" s="28" t="s">
        <v>32</v>
      </c>
      <c r="FA18" s="82" t="s">
        <v>32</v>
      </c>
      <c r="FB18" s="34" t="s">
        <v>32</v>
      </c>
      <c r="FC18" s="32" t="s">
        <v>32</v>
      </c>
      <c r="FD18" s="32" t="s">
        <v>32</v>
      </c>
      <c r="FE18" s="29"/>
      <c r="FF18" s="28" t="s">
        <v>32</v>
      </c>
      <c r="FG18" s="26" t="s">
        <v>32</v>
      </c>
      <c r="FH18" s="34" t="s">
        <v>32</v>
      </c>
      <c r="FI18" s="32" t="s">
        <v>32</v>
      </c>
      <c r="FJ18" s="34" t="s">
        <v>32</v>
      </c>
      <c r="FK18" s="33">
        <f>SUM(ER18:FJ18)</f>
        <v>0</v>
      </c>
      <c r="FL18" s="24"/>
      <c r="FM18" s="25" t="s">
        <v>32</v>
      </c>
      <c r="FN18" s="28" t="s">
        <v>32</v>
      </c>
      <c r="FO18" s="75" t="s">
        <v>32</v>
      </c>
      <c r="FP18" s="75" t="s">
        <v>32</v>
      </c>
      <c r="FQ18" s="26"/>
      <c r="FR18" s="26"/>
      <c r="FS18" s="32">
        <f t="shared" si="6"/>
        <v>0</v>
      </c>
      <c r="FT18" s="34" t="s">
        <v>32</v>
      </c>
      <c r="FU18" s="34"/>
      <c r="FV18" s="26" t="s">
        <v>32</v>
      </c>
      <c r="FW18" s="34" t="s">
        <v>32</v>
      </c>
      <c r="FX18" s="32" t="s">
        <v>32</v>
      </c>
      <c r="FY18" s="32"/>
      <c r="FZ18" s="34" t="s">
        <v>32</v>
      </c>
      <c r="GA18" s="28" t="s">
        <v>32</v>
      </c>
      <c r="GB18" s="28" t="s">
        <v>32</v>
      </c>
      <c r="GC18" s="82" t="s">
        <v>32</v>
      </c>
      <c r="GD18" s="34" t="s">
        <v>32</v>
      </c>
      <c r="GE18" s="32" t="s">
        <v>32</v>
      </c>
      <c r="GF18" s="32" t="s">
        <v>32</v>
      </c>
      <c r="GG18" s="29"/>
      <c r="GH18" s="28" t="s">
        <v>32</v>
      </c>
      <c r="GI18" s="26" t="s">
        <v>32</v>
      </c>
      <c r="GJ18" s="34" t="s">
        <v>32</v>
      </c>
      <c r="GK18" s="32" t="s">
        <v>32</v>
      </c>
      <c r="GL18" s="34" t="s">
        <v>32</v>
      </c>
      <c r="GM18" s="33">
        <f>SUM(FT18:GL18)</f>
        <v>0</v>
      </c>
      <c r="GN18" s="24"/>
      <c r="GO18" s="25" t="s">
        <v>32</v>
      </c>
      <c r="GP18" s="28" t="s">
        <v>32</v>
      </c>
      <c r="GQ18" s="75" t="s">
        <v>32</v>
      </c>
      <c r="GR18" s="75" t="s">
        <v>32</v>
      </c>
      <c r="GS18" s="26"/>
      <c r="GT18" s="26"/>
      <c r="GU18" s="32">
        <f t="shared" si="7"/>
        <v>0</v>
      </c>
      <c r="GV18" s="34" t="s">
        <v>32</v>
      </c>
      <c r="GW18" s="34"/>
      <c r="GX18" s="26" t="s">
        <v>32</v>
      </c>
      <c r="GY18" s="34" t="s">
        <v>32</v>
      </c>
      <c r="GZ18" s="32" t="s">
        <v>32</v>
      </c>
      <c r="HA18" s="32"/>
      <c r="HB18" s="34" t="s">
        <v>32</v>
      </c>
      <c r="HC18" s="28" t="s">
        <v>32</v>
      </c>
      <c r="HD18" s="28" t="s">
        <v>32</v>
      </c>
      <c r="HE18" s="82" t="s">
        <v>32</v>
      </c>
      <c r="HF18" s="34" t="s">
        <v>32</v>
      </c>
      <c r="HG18" s="32" t="s">
        <v>32</v>
      </c>
      <c r="HH18" s="32" t="s">
        <v>32</v>
      </c>
      <c r="HI18" s="29"/>
      <c r="HJ18" s="28" t="s">
        <v>32</v>
      </c>
      <c r="HK18" s="26" t="s">
        <v>32</v>
      </c>
      <c r="HL18" s="34" t="s">
        <v>32</v>
      </c>
      <c r="HM18" s="32" t="s">
        <v>32</v>
      </c>
      <c r="HN18" s="34" t="s">
        <v>32</v>
      </c>
      <c r="HO18" s="33">
        <f>SUM(GV18:HN18)</f>
        <v>0</v>
      </c>
      <c r="HP18" s="24"/>
      <c r="HQ18" s="25" t="s">
        <v>32</v>
      </c>
      <c r="HR18" s="28" t="s">
        <v>32</v>
      </c>
      <c r="HS18" s="75" t="s">
        <v>32</v>
      </c>
      <c r="HT18" s="75" t="s">
        <v>32</v>
      </c>
      <c r="HU18" s="26"/>
      <c r="HV18" s="26"/>
      <c r="HW18" s="32">
        <f t="shared" si="8"/>
        <v>0</v>
      </c>
      <c r="HX18" s="34" t="s">
        <v>32</v>
      </c>
      <c r="HY18" s="34"/>
      <c r="HZ18" s="26" t="s">
        <v>32</v>
      </c>
      <c r="IA18" s="34" t="s">
        <v>32</v>
      </c>
      <c r="IB18" s="32" t="s">
        <v>32</v>
      </c>
      <c r="IC18" s="32"/>
      <c r="ID18" s="34" t="s">
        <v>32</v>
      </c>
      <c r="IE18" s="28" t="s">
        <v>32</v>
      </c>
      <c r="IF18" s="28" t="s">
        <v>32</v>
      </c>
      <c r="IG18" s="82" t="s">
        <v>32</v>
      </c>
      <c r="IH18" s="34" t="s">
        <v>32</v>
      </c>
      <c r="II18" s="32" t="s">
        <v>32</v>
      </c>
      <c r="IJ18" s="32" t="s">
        <v>32</v>
      </c>
      <c r="IK18" s="29"/>
      <c r="IL18" s="28" t="s">
        <v>32</v>
      </c>
      <c r="IM18" s="26" t="s">
        <v>32</v>
      </c>
      <c r="IN18" s="34" t="s">
        <v>32</v>
      </c>
      <c r="IO18" s="32" t="s">
        <v>32</v>
      </c>
      <c r="IP18" s="34" t="s">
        <v>32</v>
      </c>
      <c r="IQ18" s="33">
        <f>SUM(HX18:IP18)</f>
        <v>0</v>
      </c>
      <c r="IR18" s="111"/>
    </row>
    <row r="19" spans="1:252" x14ac:dyDescent="0.3">
      <c r="A19" s="25">
        <v>46129</v>
      </c>
      <c r="B19" s="28">
        <v>0</v>
      </c>
      <c r="C19" s="75">
        <v>0</v>
      </c>
      <c r="D19" s="75">
        <v>0</v>
      </c>
      <c r="E19" s="26">
        <v>0</v>
      </c>
      <c r="F19" s="26">
        <v>0</v>
      </c>
      <c r="G19" s="32">
        <f t="shared" si="0"/>
        <v>0</v>
      </c>
      <c r="H19" s="34" t="s">
        <v>32</v>
      </c>
      <c r="I19" s="34"/>
      <c r="J19" s="26" t="s">
        <v>32</v>
      </c>
      <c r="K19" s="34" t="s">
        <v>32</v>
      </c>
      <c r="L19" s="32" t="s">
        <v>32</v>
      </c>
      <c r="M19" s="32"/>
      <c r="N19" s="34" t="s">
        <v>32</v>
      </c>
      <c r="O19" s="28"/>
      <c r="P19" s="28" t="s">
        <v>32</v>
      </c>
      <c r="Q19" s="82" t="s">
        <v>32</v>
      </c>
      <c r="R19" s="34" t="s">
        <v>32</v>
      </c>
      <c r="S19" s="32" t="s">
        <v>32</v>
      </c>
      <c r="T19" s="32" t="s">
        <v>32</v>
      </c>
      <c r="U19" s="75" t="s">
        <v>32</v>
      </c>
      <c r="V19" s="28" t="s">
        <v>32</v>
      </c>
      <c r="W19" s="26" t="s">
        <v>32</v>
      </c>
      <c r="X19" s="34" t="s">
        <v>32</v>
      </c>
      <c r="Y19" s="32" t="s">
        <v>32</v>
      </c>
      <c r="Z19" s="34"/>
      <c r="AA19" s="33">
        <f t="shared" ref="AA19:AA33" si="18">SUM(H19:Y19)</f>
        <v>0</v>
      </c>
      <c r="AB19" s="24"/>
      <c r="AC19" s="25">
        <v>46159</v>
      </c>
      <c r="AD19" s="28">
        <v>1526</v>
      </c>
      <c r="AE19" s="75">
        <v>8068</v>
      </c>
      <c r="AF19" s="75">
        <v>12.5</v>
      </c>
      <c r="AG19" s="26">
        <v>0</v>
      </c>
      <c r="AH19" s="26">
        <v>0</v>
      </c>
      <c r="AI19" s="32">
        <f t="shared" si="1"/>
        <v>0</v>
      </c>
      <c r="AJ19" s="34" t="s">
        <v>32</v>
      </c>
      <c r="AK19" s="34"/>
      <c r="AL19" s="26" t="s">
        <v>32</v>
      </c>
      <c r="AM19" s="34" t="s">
        <v>32</v>
      </c>
      <c r="AN19" s="32" t="s">
        <v>32</v>
      </c>
      <c r="AO19" s="32"/>
      <c r="AP19" s="34" t="s">
        <v>32</v>
      </c>
      <c r="AQ19" s="28" t="s">
        <v>32</v>
      </c>
      <c r="AR19" s="28" t="s">
        <v>32</v>
      </c>
      <c r="AS19" s="82" t="s">
        <v>32</v>
      </c>
      <c r="AT19" s="34" t="s">
        <v>32</v>
      </c>
      <c r="AU19" s="32" t="s">
        <v>32</v>
      </c>
      <c r="AV19" s="32" t="s">
        <v>32</v>
      </c>
      <c r="AW19" s="75"/>
      <c r="AX19" s="28" t="s">
        <v>32</v>
      </c>
      <c r="AY19" s="26" t="s">
        <v>32</v>
      </c>
      <c r="AZ19" s="34" t="s">
        <v>32</v>
      </c>
      <c r="BA19" s="32" t="s">
        <v>32</v>
      </c>
      <c r="BB19" s="34" t="s">
        <v>32</v>
      </c>
      <c r="BC19" s="33">
        <f>SUM(AJ19:BB19)</f>
        <v>0</v>
      </c>
      <c r="BD19" s="129"/>
      <c r="BE19" s="25">
        <v>46190</v>
      </c>
      <c r="BF19" s="28">
        <v>832</v>
      </c>
      <c r="BG19" s="75">
        <v>0</v>
      </c>
      <c r="BH19" s="75">
        <v>15</v>
      </c>
      <c r="BI19" s="26">
        <v>1647</v>
      </c>
      <c r="BJ19" s="26">
        <v>104421</v>
      </c>
      <c r="BK19" s="32">
        <f t="shared" si="2"/>
        <v>243960</v>
      </c>
      <c r="BL19" s="34" t="s">
        <v>32</v>
      </c>
      <c r="BM19" s="34"/>
      <c r="BN19" s="26">
        <v>230300</v>
      </c>
      <c r="BO19" s="34">
        <v>13200</v>
      </c>
      <c r="BP19" s="32" t="s">
        <v>32</v>
      </c>
      <c r="BQ19" s="32"/>
      <c r="BR19" s="34" t="s">
        <v>32</v>
      </c>
      <c r="BS19" s="28"/>
      <c r="BT19" s="28" t="s">
        <v>32</v>
      </c>
      <c r="BU19" s="26">
        <v>460</v>
      </c>
      <c r="BV19" s="34" t="s">
        <v>32</v>
      </c>
      <c r="BW19" s="32" t="s">
        <v>32</v>
      </c>
      <c r="BX19" s="32" t="s">
        <v>32</v>
      </c>
      <c r="BY19" s="82" t="s">
        <v>32</v>
      </c>
      <c r="BZ19" s="28" t="s">
        <v>32</v>
      </c>
      <c r="CA19" s="26" t="s">
        <v>32</v>
      </c>
      <c r="CB19" s="34" t="s">
        <v>32</v>
      </c>
      <c r="CC19" s="32" t="s">
        <v>32</v>
      </c>
      <c r="CD19" s="34"/>
      <c r="CE19" s="33">
        <f t="shared" ref="CE19:CE33" si="19">SUM(BL19:CC19)</f>
        <v>243960</v>
      </c>
      <c r="CF19" s="24"/>
      <c r="CG19" s="25">
        <v>46220</v>
      </c>
      <c r="CH19" s="28" t="s">
        <v>32</v>
      </c>
      <c r="CI19" s="75" t="s">
        <v>32</v>
      </c>
      <c r="CJ19" s="75" t="s">
        <v>32</v>
      </c>
      <c r="CK19" s="26"/>
      <c r="CL19" s="26"/>
      <c r="CM19" s="32">
        <f t="shared" si="3"/>
        <v>0</v>
      </c>
      <c r="CN19" s="34" t="s">
        <v>32</v>
      </c>
      <c r="CO19" s="34"/>
      <c r="CP19" s="26" t="s">
        <v>32</v>
      </c>
      <c r="CQ19" s="34" t="s">
        <v>32</v>
      </c>
      <c r="CR19" s="32" t="s">
        <v>32</v>
      </c>
      <c r="CS19" s="32"/>
      <c r="CT19" s="34" t="s">
        <v>32</v>
      </c>
      <c r="CU19" s="28"/>
      <c r="CV19" s="28" t="s">
        <v>32</v>
      </c>
      <c r="CW19" s="82" t="s">
        <v>32</v>
      </c>
      <c r="CX19" s="34" t="s">
        <v>32</v>
      </c>
      <c r="CY19" s="32" t="s">
        <v>32</v>
      </c>
      <c r="CZ19" s="32" t="s">
        <v>32</v>
      </c>
      <c r="DA19" s="29" t="s">
        <v>32</v>
      </c>
      <c r="DB19" s="28" t="s">
        <v>32</v>
      </c>
      <c r="DC19" s="26" t="s">
        <v>32</v>
      </c>
      <c r="DD19" s="34" t="s">
        <v>32</v>
      </c>
      <c r="DE19" s="32" t="s">
        <v>32</v>
      </c>
      <c r="DF19" s="34"/>
      <c r="DG19" s="33">
        <f t="shared" ref="DG19:DG33" si="20">SUM(CN19:DE19)</f>
        <v>0</v>
      </c>
      <c r="DH19" s="24"/>
      <c r="DI19" s="25" t="s">
        <v>32</v>
      </c>
      <c r="DJ19" s="28" t="s">
        <v>32</v>
      </c>
      <c r="DK19" s="75" t="s">
        <v>32</v>
      </c>
      <c r="DL19" s="75" t="s">
        <v>32</v>
      </c>
      <c r="DM19" s="26"/>
      <c r="DN19" s="26"/>
      <c r="DO19" s="32">
        <f t="shared" si="4"/>
        <v>0</v>
      </c>
      <c r="DP19" s="34" t="s">
        <v>32</v>
      </c>
      <c r="DQ19" s="34"/>
      <c r="DR19" s="26" t="s">
        <v>32</v>
      </c>
      <c r="DS19" s="34" t="s">
        <v>32</v>
      </c>
      <c r="DT19" s="32" t="s">
        <v>32</v>
      </c>
      <c r="DU19" s="32"/>
      <c r="DV19" s="34" t="s">
        <v>32</v>
      </c>
      <c r="DW19" s="28"/>
      <c r="DX19" s="28" t="s">
        <v>32</v>
      </c>
      <c r="DY19" s="82" t="s">
        <v>32</v>
      </c>
      <c r="DZ19" s="34" t="s">
        <v>32</v>
      </c>
      <c r="EA19" s="32" t="s">
        <v>32</v>
      </c>
      <c r="EB19" s="32" t="s">
        <v>32</v>
      </c>
      <c r="EC19" s="29" t="s">
        <v>32</v>
      </c>
      <c r="ED19" s="28" t="s">
        <v>32</v>
      </c>
      <c r="EE19" s="26" t="s">
        <v>32</v>
      </c>
      <c r="EF19" s="34" t="s">
        <v>32</v>
      </c>
      <c r="EG19" s="32" t="s">
        <v>32</v>
      </c>
      <c r="EH19" s="34"/>
      <c r="EI19" s="33">
        <f t="shared" ref="EI19:EI33" si="21">SUM(DP19:EG19)</f>
        <v>0</v>
      </c>
      <c r="EJ19" s="24"/>
      <c r="EK19" s="25" t="s">
        <v>32</v>
      </c>
      <c r="EL19" s="28" t="s">
        <v>32</v>
      </c>
      <c r="EM19" s="75" t="s">
        <v>32</v>
      </c>
      <c r="EN19" s="75" t="s">
        <v>32</v>
      </c>
      <c r="EO19" s="26"/>
      <c r="EP19" s="26"/>
      <c r="EQ19" s="32">
        <f t="shared" si="5"/>
        <v>0</v>
      </c>
      <c r="ER19" s="34" t="s">
        <v>32</v>
      </c>
      <c r="ES19" s="34"/>
      <c r="ET19" s="26" t="s">
        <v>32</v>
      </c>
      <c r="EU19" s="34" t="s">
        <v>32</v>
      </c>
      <c r="EV19" s="32" t="s">
        <v>32</v>
      </c>
      <c r="EW19" s="32"/>
      <c r="EX19" s="34" t="s">
        <v>32</v>
      </c>
      <c r="EY19" s="28"/>
      <c r="EZ19" s="28" t="s">
        <v>32</v>
      </c>
      <c r="FA19" s="82" t="s">
        <v>32</v>
      </c>
      <c r="FB19" s="34" t="s">
        <v>32</v>
      </c>
      <c r="FC19" s="32" t="s">
        <v>32</v>
      </c>
      <c r="FD19" s="32" t="s">
        <v>32</v>
      </c>
      <c r="FE19" s="29" t="s">
        <v>32</v>
      </c>
      <c r="FF19" s="28" t="s">
        <v>32</v>
      </c>
      <c r="FG19" s="26" t="s">
        <v>32</v>
      </c>
      <c r="FH19" s="34" t="s">
        <v>32</v>
      </c>
      <c r="FI19" s="32" t="s">
        <v>32</v>
      </c>
      <c r="FJ19" s="34"/>
      <c r="FK19" s="33">
        <f t="shared" ref="FK19:FK33" si="22">SUM(ER19:FI19)</f>
        <v>0</v>
      </c>
      <c r="FL19" s="24"/>
      <c r="FM19" s="25" t="s">
        <v>32</v>
      </c>
      <c r="FN19" s="28" t="s">
        <v>32</v>
      </c>
      <c r="FO19" s="75" t="s">
        <v>32</v>
      </c>
      <c r="FP19" s="75" t="s">
        <v>32</v>
      </c>
      <c r="FQ19" s="26"/>
      <c r="FR19" s="26"/>
      <c r="FS19" s="32">
        <f t="shared" si="6"/>
        <v>0</v>
      </c>
      <c r="FT19" s="34" t="s">
        <v>32</v>
      </c>
      <c r="FU19" s="34"/>
      <c r="FV19" s="26" t="s">
        <v>32</v>
      </c>
      <c r="FW19" s="34" t="s">
        <v>32</v>
      </c>
      <c r="FX19" s="32" t="s">
        <v>32</v>
      </c>
      <c r="FY19" s="32"/>
      <c r="FZ19" s="34" t="s">
        <v>32</v>
      </c>
      <c r="GA19" s="28"/>
      <c r="GB19" s="28" t="s">
        <v>32</v>
      </c>
      <c r="GC19" s="82" t="s">
        <v>32</v>
      </c>
      <c r="GD19" s="34" t="s">
        <v>32</v>
      </c>
      <c r="GE19" s="32" t="s">
        <v>32</v>
      </c>
      <c r="GF19" s="32" t="s">
        <v>32</v>
      </c>
      <c r="GG19" s="29" t="s">
        <v>32</v>
      </c>
      <c r="GH19" s="28" t="s">
        <v>32</v>
      </c>
      <c r="GI19" s="26" t="s">
        <v>32</v>
      </c>
      <c r="GJ19" s="34" t="s">
        <v>32</v>
      </c>
      <c r="GK19" s="32" t="s">
        <v>32</v>
      </c>
      <c r="GL19" s="34"/>
      <c r="GM19" s="33">
        <f t="shared" ref="GM19:GM33" si="23">SUM(FT19:GK19)</f>
        <v>0</v>
      </c>
      <c r="GN19" s="24"/>
      <c r="GO19" s="25" t="s">
        <v>32</v>
      </c>
      <c r="GP19" s="28" t="s">
        <v>32</v>
      </c>
      <c r="GQ19" s="75" t="s">
        <v>32</v>
      </c>
      <c r="GR19" s="75" t="s">
        <v>32</v>
      </c>
      <c r="GS19" s="26"/>
      <c r="GT19" s="26"/>
      <c r="GU19" s="32">
        <f t="shared" si="7"/>
        <v>0</v>
      </c>
      <c r="GV19" s="34" t="s">
        <v>32</v>
      </c>
      <c r="GW19" s="34"/>
      <c r="GX19" s="26" t="s">
        <v>32</v>
      </c>
      <c r="GY19" s="34" t="s">
        <v>32</v>
      </c>
      <c r="GZ19" s="32" t="s">
        <v>32</v>
      </c>
      <c r="HA19" s="32"/>
      <c r="HB19" s="34" t="s">
        <v>32</v>
      </c>
      <c r="HC19" s="28"/>
      <c r="HD19" s="28" t="s">
        <v>32</v>
      </c>
      <c r="HE19" s="82" t="s">
        <v>32</v>
      </c>
      <c r="HF19" s="34" t="s">
        <v>32</v>
      </c>
      <c r="HG19" s="32" t="s">
        <v>32</v>
      </c>
      <c r="HH19" s="32" t="s">
        <v>32</v>
      </c>
      <c r="HI19" s="29" t="s">
        <v>32</v>
      </c>
      <c r="HJ19" s="28" t="s">
        <v>32</v>
      </c>
      <c r="HK19" s="26" t="s">
        <v>32</v>
      </c>
      <c r="HL19" s="34" t="s">
        <v>32</v>
      </c>
      <c r="HM19" s="32" t="s">
        <v>32</v>
      </c>
      <c r="HN19" s="34"/>
      <c r="HO19" s="33">
        <f t="shared" ref="HO19:HO33" si="24">SUM(GV19:HM19)</f>
        <v>0</v>
      </c>
      <c r="HP19" s="24"/>
      <c r="HQ19" s="25" t="s">
        <v>32</v>
      </c>
      <c r="HR19" s="28" t="s">
        <v>32</v>
      </c>
      <c r="HS19" s="75" t="s">
        <v>32</v>
      </c>
      <c r="HT19" s="75" t="s">
        <v>32</v>
      </c>
      <c r="HU19" s="26"/>
      <c r="HV19" s="26"/>
      <c r="HW19" s="32">
        <f t="shared" si="8"/>
        <v>0</v>
      </c>
      <c r="HX19" s="34" t="s">
        <v>32</v>
      </c>
      <c r="HY19" s="34"/>
      <c r="HZ19" s="26" t="s">
        <v>32</v>
      </c>
      <c r="IA19" s="34" t="s">
        <v>32</v>
      </c>
      <c r="IB19" s="32" t="s">
        <v>32</v>
      </c>
      <c r="IC19" s="32"/>
      <c r="ID19" s="34" t="s">
        <v>32</v>
      </c>
      <c r="IE19" s="28"/>
      <c r="IF19" s="28" t="s">
        <v>32</v>
      </c>
      <c r="IG19" s="82" t="s">
        <v>32</v>
      </c>
      <c r="IH19" s="34" t="s">
        <v>32</v>
      </c>
      <c r="II19" s="32" t="s">
        <v>32</v>
      </c>
      <c r="IJ19" s="32" t="s">
        <v>32</v>
      </c>
      <c r="IK19" s="29" t="s">
        <v>32</v>
      </c>
      <c r="IL19" s="28" t="s">
        <v>32</v>
      </c>
      <c r="IM19" s="26" t="s">
        <v>32</v>
      </c>
      <c r="IN19" s="34" t="s">
        <v>32</v>
      </c>
      <c r="IO19" s="32" t="s">
        <v>32</v>
      </c>
      <c r="IP19" s="34"/>
      <c r="IQ19" s="33">
        <f t="shared" ref="IQ19:IQ33" si="25">SUM(HX19:IO19)</f>
        <v>0</v>
      </c>
      <c r="IR19" s="111"/>
    </row>
    <row r="20" spans="1:252" x14ac:dyDescent="0.3">
      <c r="A20" s="25">
        <v>46130</v>
      </c>
      <c r="B20" s="28">
        <v>2675</v>
      </c>
      <c r="C20" s="75">
        <v>0</v>
      </c>
      <c r="D20" s="75">
        <v>6.5</v>
      </c>
      <c r="E20" s="26">
        <v>18937</v>
      </c>
      <c r="F20" s="26">
        <v>810597</v>
      </c>
      <c r="G20" s="32">
        <f t="shared" si="0"/>
        <v>58050</v>
      </c>
      <c r="H20" s="34" t="s">
        <v>32</v>
      </c>
      <c r="I20" s="34"/>
      <c r="J20" s="26" t="s">
        <v>32</v>
      </c>
      <c r="K20" s="34" t="s">
        <v>32</v>
      </c>
      <c r="L20" s="32">
        <v>13200</v>
      </c>
      <c r="M20" s="32"/>
      <c r="N20" s="34">
        <v>43400</v>
      </c>
      <c r="O20" s="28" t="s">
        <v>32</v>
      </c>
      <c r="P20" s="28" t="s">
        <v>32</v>
      </c>
      <c r="Q20" s="82">
        <v>1450</v>
      </c>
      <c r="R20" s="34" t="s">
        <v>32</v>
      </c>
      <c r="S20" s="32" t="s">
        <v>32</v>
      </c>
      <c r="T20" s="32" t="s">
        <v>32</v>
      </c>
      <c r="U20" s="75" t="s">
        <v>32</v>
      </c>
      <c r="V20" s="28" t="s">
        <v>32</v>
      </c>
      <c r="W20" s="26" t="s">
        <v>32</v>
      </c>
      <c r="X20" s="34" t="s">
        <v>32</v>
      </c>
      <c r="Y20" s="32" t="s">
        <v>32</v>
      </c>
      <c r="Z20" s="34"/>
      <c r="AA20" s="33">
        <f t="shared" si="18"/>
        <v>58050</v>
      </c>
      <c r="AB20" s="24"/>
      <c r="AC20" s="25">
        <v>46160</v>
      </c>
      <c r="AD20" s="28">
        <v>3120</v>
      </c>
      <c r="AE20" s="75">
        <v>519</v>
      </c>
      <c r="AF20" s="75">
        <v>9.5</v>
      </c>
      <c r="AG20" s="26">
        <v>9701</v>
      </c>
      <c r="AH20" s="26">
        <v>624273</v>
      </c>
      <c r="AI20" s="32">
        <f t="shared" si="1"/>
        <v>189630</v>
      </c>
      <c r="AJ20" s="34" t="s">
        <v>32</v>
      </c>
      <c r="AK20" s="34"/>
      <c r="AL20" s="26">
        <v>36750</v>
      </c>
      <c r="AM20" s="34">
        <v>90000</v>
      </c>
      <c r="AN20" s="32">
        <v>1100</v>
      </c>
      <c r="AO20" s="32"/>
      <c r="AP20" s="34">
        <v>35000</v>
      </c>
      <c r="AQ20" s="28">
        <v>12500</v>
      </c>
      <c r="AR20" s="28" t="s">
        <v>32</v>
      </c>
      <c r="AS20" s="82">
        <v>2540</v>
      </c>
      <c r="AT20" s="34" t="s">
        <v>32</v>
      </c>
      <c r="AU20" s="32" t="s">
        <v>32</v>
      </c>
      <c r="AV20" s="32" t="s">
        <v>32</v>
      </c>
      <c r="AW20" s="75">
        <v>7000</v>
      </c>
      <c r="AX20" s="28" t="s">
        <v>32</v>
      </c>
      <c r="AY20" s="26" t="s">
        <v>32</v>
      </c>
      <c r="AZ20" s="34" t="s">
        <v>32</v>
      </c>
      <c r="BA20" s="32">
        <v>4740</v>
      </c>
      <c r="BB20" s="34" t="s">
        <v>190</v>
      </c>
      <c r="BC20" s="33">
        <f t="shared" ref="BC20:BC33" si="26">SUM(AJ20:BA20)</f>
        <v>189630</v>
      </c>
      <c r="BD20" s="129"/>
      <c r="BE20" s="25">
        <v>46191</v>
      </c>
      <c r="BF20" s="28">
        <v>2133</v>
      </c>
      <c r="BG20" s="75">
        <v>6189</v>
      </c>
      <c r="BH20" s="75">
        <v>14</v>
      </c>
      <c r="BI20" s="26">
        <v>654</v>
      </c>
      <c r="BJ20" s="26">
        <v>27000</v>
      </c>
      <c r="BK20" s="32">
        <f t="shared" si="2"/>
        <v>60642</v>
      </c>
      <c r="BL20" s="34" t="s">
        <v>32</v>
      </c>
      <c r="BM20" s="34"/>
      <c r="BN20" s="26">
        <v>42500</v>
      </c>
      <c r="BO20" s="34">
        <v>200</v>
      </c>
      <c r="BP20" s="32">
        <v>500</v>
      </c>
      <c r="BQ20" s="32"/>
      <c r="BR20" s="34">
        <v>11000</v>
      </c>
      <c r="BS20" s="28">
        <v>300</v>
      </c>
      <c r="BT20" s="28" t="s">
        <v>32</v>
      </c>
      <c r="BU20" s="26">
        <v>292</v>
      </c>
      <c r="BV20" s="34" t="s">
        <v>32</v>
      </c>
      <c r="BW20" s="32" t="s">
        <v>32</v>
      </c>
      <c r="BX20" s="32" t="s">
        <v>32</v>
      </c>
      <c r="BY20" s="82" t="s">
        <v>32</v>
      </c>
      <c r="BZ20" s="28" t="s">
        <v>32</v>
      </c>
      <c r="CA20" s="26">
        <v>5850</v>
      </c>
      <c r="CB20" s="34" t="s">
        <v>40</v>
      </c>
      <c r="CC20" s="32" t="s">
        <v>32</v>
      </c>
      <c r="CD20" s="34"/>
      <c r="CE20" s="33">
        <f t="shared" si="19"/>
        <v>60642</v>
      </c>
      <c r="CF20" s="24"/>
      <c r="CG20" s="25">
        <v>46221</v>
      </c>
      <c r="CH20" s="28" t="s">
        <v>32</v>
      </c>
      <c r="CI20" s="75" t="s">
        <v>32</v>
      </c>
      <c r="CJ20" s="75" t="s">
        <v>32</v>
      </c>
      <c r="CK20" s="26"/>
      <c r="CL20" s="26"/>
      <c r="CM20" s="32">
        <f t="shared" si="3"/>
        <v>0</v>
      </c>
      <c r="CN20" s="34" t="s">
        <v>32</v>
      </c>
      <c r="CO20" s="34"/>
      <c r="CP20" s="26" t="s">
        <v>32</v>
      </c>
      <c r="CQ20" s="34" t="s">
        <v>32</v>
      </c>
      <c r="CR20" s="32" t="s">
        <v>32</v>
      </c>
      <c r="CS20" s="32"/>
      <c r="CT20" s="34" t="s">
        <v>32</v>
      </c>
      <c r="CU20" s="28" t="s">
        <v>32</v>
      </c>
      <c r="CV20" s="28" t="s">
        <v>32</v>
      </c>
      <c r="CW20" s="82" t="s">
        <v>32</v>
      </c>
      <c r="CX20" s="34" t="s">
        <v>32</v>
      </c>
      <c r="CY20" s="32" t="s">
        <v>32</v>
      </c>
      <c r="CZ20" s="32" t="s">
        <v>32</v>
      </c>
      <c r="DA20" s="29" t="s">
        <v>32</v>
      </c>
      <c r="DB20" s="28" t="s">
        <v>32</v>
      </c>
      <c r="DC20" s="26" t="s">
        <v>32</v>
      </c>
      <c r="DD20" s="34" t="s">
        <v>32</v>
      </c>
      <c r="DE20" s="32" t="s">
        <v>32</v>
      </c>
      <c r="DF20" s="34"/>
      <c r="DG20" s="33">
        <f t="shared" si="20"/>
        <v>0</v>
      </c>
      <c r="DH20" s="24"/>
      <c r="DI20" s="25" t="s">
        <v>32</v>
      </c>
      <c r="DJ20" s="28" t="s">
        <v>32</v>
      </c>
      <c r="DK20" s="75" t="s">
        <v>32</v>
      </c>
      <c r="DL20" s="75" t="s">
        <v>32</v>
      </c>
      <c r="DM20" s="26"/>
      <c r="DN20" s="26"/>
      <c r="DO20" s="32">
        <f t="shared" si="4"/>
        <v>0</v>
      </c>
      <c r="DP20" s="34" t="s">
        <v>32</v>
      </c>
      <c r="DQ20" s="34"/>
      <c r="DR20" s="26" t="s">
        <v>32</v>
      </c>
      <c r="DS20" s="34" t="s">
        <v>32</v>
      </c>
      <c r="DT20" s="32" t="s">
        <v>32</v>
      </c>
      <c r="DU20" s="32"/>
      <c r="DV20" s="34" t="s">
        <v>32</v>
      </c>
      <c r="DW20" s="28" t="s">
        <v>32</v>
      </c>
      <c r="DX20" s="28" t="s">
        <v>32</v>
      </c>
      <c r="DY20" s="82" t="s">
        <v>32</v>
      </c>
      <c r="DZ20" s="34" t="s">
        <v>32</v>
      </c>
      <c r="EA20" s="32" t="s">
        <v>32</v>
      </c>
      <c r="EB20" s="32" t="s">
        <v>32</v>
      </c>
      <c r="EC20" s="29" t="s">
        <v>32</v>
      </c>
      <c r="ED20" s="28" t="s">
        <v>32</v>
      </c>
      <c r="EE20" s="26" t="s">
        <v>32</v>
      </c>
      <c r="EF20" s="34" t="s">
        <v>32</v>
      </c>
      <c r="EG20" s="32" t="s">
        <v>32</v>
      </c>
      <c r="EH20" s="34"/>
      <c r="EI20" s="33">
        <f t="shared" si="21"/>
        <v>0</v>
      </c>
      <c r="EJ20" s="24"/>
      <c r="EK20" s="25" t="s">
        <v>32</v>
      </c>
      <c r="EL20" s="28" t="s">
        <v>32</v>
      </c>
      <c r="EM20" s="75" t="s">
        <v>32</v>
      </c>
      <c r="EN20" s="75" t="s">
        <v>32</v>
      </c>
      <c r="EO20" s="26"/>
      <c r="EP20" s="26"/>
      <c r="EQ20" s="32">
        <f t="shared" si="5"/>
        <v>0</v>
      </c>
      <c r="ER20" s="34" t="s">
        <v>32</v>
      </c>
      <c r="ES20" s="34"/>
      <c r="ET20" s="26" t="s">
        <v>32</v>
      </c>
      <c r="EU20" s="34" t="s">
        <v>32</v>
      </c>
      <c r="EV20" s="32" t="s">
        <v>32</v>
      </c>
      <c r="EW20" s="32"/>
      <c r="EX20" s="34" t="s">
        <v>32</v>
      </c>
      <c r="EY20" s="28" t="s">
        <v>32</v>
      </c>
      <c r="EZ20" s="28" t="s">
        <v>32</v>
      </c>
      <c r="FA20" s="82" t="s">
        <v>32</v>
      </c>
      <c r="FB20" s="34" t="s">
        <v>32</v>
      </c>
      <c r="FC20" s="32" t="s">
        <v>32</v>
      </c>
      <c r="FD20" s="32" t="s">
        <v>32</v>
      </c>
      <c r="FE20" s="29" t="s">
        <v>32</v>
      </c>
      <c r="FF20" s="28" t="s">
        <v>32</v>
      </c>
      <c r="FG20" s="26" t="s">
        <v>32</v>
      </c>
      <c r="FH20" s="34" t="s">
        <v>32</v>
      </c>
      <c r="FI20" s="32" t="s">
        <v>32</v>
      </c>
      <c r="FJ20" s="34"/>
      <c r="FK20" s="33">
        <f t="shared" si="22"/>
        <v>0</v>
      </c>
      <c r="FL20" s="24"/>
      <c r="FM20" s="25" t="s">
        <v>32</v>
      </c>
      <c r="FN20" s="28" t="s">
        <v>32</v>
      </c>
      <c r="FO20" s="75" t="s">
        <v>32</v>
      </c>
      <c r="FP20" s="75" t="s">
        <v>32</v>
      </c>
      <c r="FQ20" s="26"/>
      <c r="FR20" s="26"/>
      <c r="FS20" s="32">
        <f t="shared" si="6"/>
        <v>0</v>
      </c>
      <c r="FT20" s="34" t="s">
        <v>32</v>
      </c>
      <c r="FU20" s="34"/>
      <c r="FV20" s="26" t="s">
        <v>32</v>
      </c>
      <c r="FW20" s="34" t="s">
        <v>32</v>
      </c>
      <c r="FX20" s="32" t="s">
        <v>32</v>
      </c>
      <c r="FY20" s="32"/>
      <c r="FZ20" s="34" t="s">
        <v>32</v>
      </c>
      <c r="GA20" s="28" t="s">
        <v>32</v>
      </c>
      <c r="GB20" s="28" t="s">
        <v>32</v>
      </c>
      <c r="GC20" s="82" t="s">
        <v>32</v>
      </c>
      <c r="GD20" s="34" t="s">
        <v>32</v>
      </c>
      <c r="GE20" s="32" t="s">
        <v>32</v>
      </c>
      <c r="GF20" s="32" t="s">
        <v>32</v>
      </c>
      <c r="GG20" s="29" t="s">
        <v>32</v>
      </c>
      <c r="GH20" s="28" t="s">
        <v>32</v>
      </c>
      <c r="GI20" s="26" t="s">
        <v>32</v>
      </c>
      <c r="GJ20" s="34" t="s">
        <v>32</v>
      </c>
      <c r="GK20" s="32" t="s">
        <v>32</v>
      </c>
      <c r="GL20" s="34"/>
      <c r="GM20" s="33">
        <f t="shared" si="23"/>
        <v>0</v>
      </c>
      <c r="GN20" s="24"/>
      <c r="GO20" s="25" t="s">
        <v>32</v>
      </c>
      <c r="GP20" s="28" t="s">
        <v>32</v>
      </c>
      <c r="GQ20" s="75" t="s">
        <v>32</v>
      </c>
      <c r="GR20" s="75" t="s">
        <v>32</v>
      </c>
      <c r="GS20" s="26"/>
      <c r="GT20" s="26"/>
      <c r="GU20" s="32">
        <f t="shared" si="7"/>
        <v>0</v>
      </c>
      <c r="GV20" s="34" t="s">
        <v>32</v>
      </c>
      <c r="GW20" s="34"/>
      <c r="GX20" s="26" t="s">
        <v>32</v>
      </c>
      <c r="GY20" s="34" t="s">
        <v>32</v>
      </c>
      <c r="GZ20" s="32" t="s">
        <v>32</v>
      </c>
      <c r="HA20" s="32"/>
      <c r="HB20" s="34" t="s">
        <v>32</v>
      </c>
      <c r="HC20" s="28" t="s">
        <v>32</v>
      </c>
      <c r="HD20" s="28" t="s">
        <v>32</v>
      </c>
      <c r="HE20" s="82" t="s">
        <v>32</v>
      </c>
      <c r="HF20" s="34" t="s">
        <v>32</v>
      </c>
      <c r="HG20" s="32" t="s">
        <v>32</v>
      </c>
      <c r="HH20" s="32" t="s">
        <v>32</v>
      </c>
      <c r="HI20" s="29" t="s">
        <v>32</v>
      </c>
      <c r="HJ20" s="28" t="s">
        <v>32</v>
      </c>
      <c r="HK20" s="26" t="s">
        <v>32</v>
      </c>
      <c r="HL20" s="34" t="s">
        <v>32</v>
      </c>
      <c r="HM20" s="32" t="s">
        <v>32</v>
      </c>
      <c r="HN20" s="34"/>
      <c r="HO20" s="33">
        <f t="shared" si="24"/>
        <v>0</v>
      </c>
      <c r="HP20" s="24"/>
      <c r="HQ20" s="25" t="s">
        <v>32</v>
      </c>
      <c r="HR20" s="28" t="s">
        <v>32</v>
      </c>
      <c r="HS20" s="75" t="s">
        <v>32</v>
      </c>
      <c r="HT20" s="75" t="s">
        <v>32</v>
      </c>
      <c r="HU20" s="26"/>
      <c r="HV20" s="26"/>
      <c r="HW20" s="32">
        <f t="shared" si="8"/>
        <v>0</v>
      </c>
      <c r="HX20" s="34" t="s">
        <v>32</v>
      </c>
      <c r="HY20" s="34"/>
      <c r="HZ20" s="26" t="s">
        <v>32</v>
      </c>
      <c r="IA20" s="34" t="s">
        <v>32</v>
      </c>
      <c r="IB20" s="32" t="s">
        <v>32</v>
      </c>
      <c r="IC20" s="32"/>
      <c r="ID20" s="34" t="s">
        <v>32</v>
      </c>
      <c r="IE20" s="28" t="s">
        <v>32</v>
      </c>
      <c r="IF20" s="28" t="s">
        <v>32</v>
      </c>
      <c r="IG20" s="82" t="s">
        <v>32</v>
      </c>
      <c r="IH20" s="34" t="s">
        <v>32</v>
      </c>
      <c r="II20" s="32" t="s">
        <v>32</v>
      </c>
      <c r="IJ20" s="32" t="s">
        <v>32</v>
      </c>
      <c r="IK20" s="29" t="s">
        <v>32</v>
      </c>
      <c r="IL20" s="28" t="s">
        <v>32</v>
      </c>
      <c r="IM20" s="26" t="s">
        <v>32</v>
      </c>
      <c r="IN20" s="34" t="s">
        <v>32</v>
      </c>
      <c r="IO20" s="32" t="s">
        <v>32</v>
      </c>
      <c r="IP20" s="34"/>
      <c r="IQ20" s="33">
        <f t="shared" si="25"/>
        <v>0</v>
      </c>
      <c r="IR20" s="111"/>
    </row>
    <row r="21" spans="1:252" x14ac:dyDescent="0.3">
      <c r="A21" s="25">
        <v>46131</v>
      </c>
      <c r="B21" s="28">
        <v>2469</v>
      </c>
      <c r="C21" s="75">
        <v>2803</v>
      </c>
      <c r="D21" s="75">
        <v>7</v>
      </c>
      <c r="E21" s="26">
        <v>0</v>
      </c>
      <c r="F21" s="26">
        <v>0</v>
      </c>
      <c r="G21" s="32">
        <f t="shared" si="0"/>
        <v>0</v>
      </c>
      <c r="H21" s="34" t="s">
        <v>32</v>
      </c>
      <c r="I21" s="34" t="s">
        <v>32</v>
      </c>
      <c r="J21" s="26" t="s">
        <v>32</v>
      </c>
      <c r="K21" s="34" t="s">
        <v>32</v>
      </c>
      <c r="L21" s="32" t="s">
        <v>32</v>
      </c>
      <c r="M21" s="32" t="s">
        <v>32</v>
      </c>
      <c r="N21" s="34" t="s">
        <v>32</v>
      </c>
      <c r="O21" s="28" t="s">
        <v>32</v>
      </c>
      <c r="P21" s="28" t="s">
        <v>32</v>
      </c>
      <c r="Q21" s="82" t="s">
        <v>32</v>
      </c>
      <c r="R21" s="34" t="s">
        <v>32</v>
      </c>
      <c r="S21" s="32" t="s">
        <v>32</v>
      </c>
      <c r="T21" s="32" t="s">
        <v>32</v>
      </c>
      <c r="U21" s="75" t="s">
        <v>32</v>
      </c>
      <c r="V21" s="28" t="s">
        <v>32</v>
      </c>
      <c r="W21" s="26" t="s">
        <v>32</v>
      </c>
      <c r="X21" s="34" t="s">
        <v>32</v>
      </c>
      <c r="Y21" s="32" t="s">
        <v>32</v>
      </c>
      <c r="Z21" s="34"/>
      <c r="AA21" s="33">
        <f t="shared" si="18"/>
        <v>0</v>
      </c>
      <c r="AB21" s="24"/>
      <c r="AC21" s="25">
        <v>46161</v>
      </c>
      <c r="AD21" s="28">
        <v>2596</v>
      </c>
      <c r="AE21" s="75">
        <v>1545</v>
      </c>
      <c r="AF21" s="75">
        <v>8.5</v>
      </c>
      <c r="AG21" s="26">
        <v>0</v>
      </c>
      <c r="AH21" s="26">
        <v>0</v>
      </c>
      <c r="AI21" s="32">
        <f t="shared" si="1"/>
        <v>0</v>
      </c>
      <c r="AJ21" s="34" t="s">
        <v>32</v>
      </c>
      <c r="AK21" s="34"/>
      <c r="AL21" s="26" t="s">
        <v>32</v>
      </c>
      <c r="AM21" s="34" t="s">
        <v>32</v>
      </c>
      <c r="AN21" s="32" t="s">
        <v>32</v>
      </c>
      <c r="AO21" s="32"/>
      <c r="AP21" s="34" t="s">
        <v>32</v>
      </c>
      <c r="AQ21" s="28" t="s">
        <v>32</v>
      </c>
      <c r="AR21" s="28" t="s">
        <v>32</v>
      </c>
      <c r="AS21" s="82" t="s">
        <v>32</v>
      </c>
      <c r="AT21" s="34" t="s">
        <v>32</v>
      </c>
      <c r="AU21" s="32" t="s">
        <v>32</v>
      </c>
      <c r="AV21" s="32" t="s">
        <v>32</v>
      </c>
      <c r="AW21" s="75" t="s">
        <v>32</v>
      </c>
      <c r="AX21" s="28" t="s">
        <v>32</v>
      </c>
      <c r="AY21" s="26" t="s">
        <v>32</v>
      </c>
      <c r="AZ21" s="34" t="s">
        <v>32</v>
      </c>
      <c r="BA21" s="32" t="s">
        <v>32</v>
      </c>
      <c r="BB21" s="34"/>
      <c r="BC21" s="33">
        <f t="shared" si="26"/>
        <v>0</v>
      </c>
      <c r="BD21" s="129"/>
      <c r="BE21" s="25">
        <v>46192</v>
      </c>
      <c r="BF21" s="28">
        <v>2077</v>
      </c>
      <c r="BG21" s="75">
        <v>10016</v>
      </c>
      <c r="BH21" s="75">
        <v>18</v>
      </c>
      <c r="BI21" s="26">
        <v>0</v>
      </c>
      <c r="BJ21" s="26">
        <v>0</v>
      </c>
      <c r="BK21" s="32">
        <f t="shared" si="2"/>
        <v>0</v>
      </c>
      <c r="BL21" s="34" t="s">
        <v>32</v>
      </c>
      <c r="BM21" s="34" t="s">
        <v>32</v>
      </c>
      <c r="BN21" s="26" t="s">
        <v>32</v>
      </c>
      <c r="BO21" s="34" t="s">
        <v>32</v>
      </c>
      <c r="BP21" s="32" t="s">
        <v>32</v>
      </c>
      <c r="BQ21" s="32" t="s">
        <v>32</v>
      </c>
      <c r="BR21" s="34" t="s">
        <v>32</v>
      </c>
      <c r="BS21" s="28" t="s">
        <v>32</v>
      </c>
      <c r="BT21" s="28" t="s">
        <v>32</v>
      </c>
      <c r="BU21" s="26" t="s">
        <v>32</v>
      </c>
      <c r="BV21" s="34" t="s">
        <v>32</v>
      </c>
      <c r="BW21" s="32" t="s">
        <v>32</v>
      </c>
      <c r="BX21" s="32" t="s">
        <v>32</v>
      </c>
      <c r="BY21" s="82" t="s">
        <v>32</v>
      </c>
      <c r="BZ21" s="28" t="s">
        <v>32</v>
      </c>
      <c r="CA21" s="26" t="s">
        <v>32</v>
      </c>
      <c r="CB21" s="34" t="s">
        <v>32</v>
      </c>
      <c r="CC21" s="32" t="s">
        <v>32</v>
      </c>
      <c r="CD21" s="34"/>
      <c r="CE21" s="33">
        <f t="shared" si="19"/>
        <v>0</v>
      </c>
      <c r="CF21" s="24"/>
      <c r="CG21" s="25">
        <v>46222</v>
      </c>
      <c r="CH21" s="28" t="s">
        <v>32</v>
      </c>
      <c r="CI21" s="75" t="s">
        <v>32</v>
      </c>
      <c r="CJ21" s="75" t="s">
        <v>32</v>
      </c>
      <c r="CK21" s="26"/>
      <c r="CL21" s="26"/>
      <c r="CM21" s="32">
        <f t="shared" si="3"/>
        <v>0</v>
      </c>
      <c r="CN21" s="34" t="s">
        <v>32</v>
      </c>
      <c r="CO21" s="34" t="s">
        <v>32</v>
      </c>
      <c r="CP21" s="26" t="s">
        <v>32</v>
      </c>
      <c r="CQ21" s="34" t="s">
        <v>32</v>
      </c>
      <c r="CR21" s="32" t="s">
        <v>32</v>
      </c>
      <c r="CS21" s="32" t="s">
        <v>32</v>
      </c>
      <c r="CT21" s="34" t="s">
        <v>32</v>
      </c>
      <c r="CU21" s="28" t="s">
        <v>32</v>
      </c>
      <c r="CV21" s="28" t="s">
        <v>32</v>
      </c>
      <c r="CW21" s="82" t="s">
        <v>32</v>
      </c>
      <c r="CX21" s="34" t="s">
        <v>32</v>
      </c>
      <c r="CY21" s="32" t="s">
        <v>32</v>
      </c>
      <c r="CZ21" s="32" t="s">
        <v>32</v>
      </c>
      <c r="DA21" s="29" t="s">
        <v>32</v>
      </c>
      <c r="DB21" s="28" t="s">
        <v>32</v>
      </c>
      <c r="DC21" s="26" t="s">
        <v>32</v>
      </c>
      <c r="DD21" s="34" t="s">
        <v>32</v>
      </c>
      <c r="DE21" s="32" t="s">
        <v>32</v>
      </c>
      <c r="DF21" s="34"/>
      <c r="DG21" s="33">
        <f t="shared" si="20"/>
        <v>0</v>
      </c>
      <c r="DH21" s="24"/>
      <c r="DI21" s="25" t="s">
        <v>32</v>
      </c>
      <c r="DJ21" s="28" t="s">
        <v>32</v>
      </c>
      <c r="DK21" s="75" t="s">
        <v>32</v>
      </c>
      <c r="DL21" s="75" t="s">
        <v>32</v>
      </c>
      <c r="DM21" s="26"/>
      <c r="DN21" s="26"/>
      <c r="DO21" s="32">
        <f t="shared" si="4"/>
        <v>0</v>
      </c>
      <c r="DP21" s="34" t="s">
        <v>32</v>
      </c>
      <c r="DQ21" s="34" t="s">
        <v>32</v>
      </c>
      <c r="DR21" s="26" t="s">
        <v>32</v>
      </c>
      <c r="DS21" s="34" t="s">
        <v>32</v>
      </c>
      <c r="DT21" s="32" t="s">
        <v>32</v>
      </c>
      <c r="DU21" s="32" t="s">
        <v>32</v>
      </c>
      <c r="DV21" s="34" t="s">
        <v>32</v>
      </c>
      <c r="DW21" s="28" t="s">
        <v>32</v>
      </c>
      <c r="DX21" s="28" t="s">
        <v>32</v>
      </c>
      <c r="DY21" s="82" t="s">
        <v>32</v>
      </c>
      <c r="DZ21" s="34" t="s">
        <v>32</v>
      </c>
      <c r="EA21" s="32" t="s">
        <v>32</v>
      </c>
      <c r="EB21" s="32" t="s">
        <v>32</v>
      </c>
      <c r="EC21" s="29" t="s">
        <v>32</v>
      </c>
      <c r="ED21" s="28" t="s">
        <v>32</v>
      </c>
      <c r="EE21" s="26" t="s">
        <v>32</v>
      </c>
      <c r="EF21" s="34" t="s">
        <v>32</v>
      </c>
      <c r="EG21" s="32" t="s">
        <v>32</v>
      </c>
      <c r="EH21" s="34"/>
      <c r="EI21" s="33">
        <f t="shared" si="21"/>
        <v>0</v>
      </c>
      <c r="EJ21" s="24"/>
      <c r="EK21" s="25" t="s">
        <v>32</v>
      </c>
      <c r="EL21" s="28" t="s">
        <v>32</v>
      </c>
      <c r="EM21" s="75" t="s">
        <v>32</v>
      </c>
      <c r="EN21" s="75" t="s">
        <v>32</v>
      </c>
      <c r="EO21" s="26"/>
      <c r="EP21" s="26"/>
      <c r="EQ21" s="32">
        <f t="shared" si="5"/>
        <v>0</v>
      </c>
      <c r="ER21" s="34" t="s">
        <v>32</v>
      </c>
      <c r="ES21" s="34" t="s">
        <v>32</v>
      </c>
      <c r="ET21" s="26" t="s">
        <v>32</v>
      </c>
      <c r="EU21" s="34" t="s">
        <v>32</v>
      </c>
      <c r="EV21" s="32" t="s">
        <v>32</v>
      </c>
      <c r="EW21" s="32" t="s">
        <v>32</v>
      </c>
      <c r="EX21" s="34" t="s">
        <v>32</v>
      </c>
      <c r="EY21" s="28" t="s">
        <v>32</v>
      </c>
      <c r="EZ21" s="28" t="s">
        <v>32</v>
      </c>
      <c r="FA21" s="82" t="s">
        <v>32</v>
      </c>
      <c r="FB21" s="34" t="s">
        <v>32</v>
      </c>
      <c r="FC21" s="32" t="s">
        <v>32</v>
      </c>
      <c r="FD21" s="32" t="s">
        <v>32</v>
      </c>
      <c r="FE21" s="29" t="s">
        <v>32</v>
      </c>
      <c r="FF21" s="28" t="s">
        <v>32</v>
      </c>
      <c r="FG21" s="26" t="s">
        <v>32</v>
      </c>
      <c r="FH21" s="34" t="s">
        <v>32</v>
      </c>
      <c r="FI21" s="32" t="s">
        <v>32</v>
      </c>
      <c r="FJ21" s="34"/>
      <c r="FK21" s="33">
        <f t="shared" si="22"/>
        <v>0</v>
      </c>
      <c r="FL21" s="24"/>
      <c r="FM21" s="25" t="s">
        <v>32</v>
      </c>
      <c r="FN21" s="28" t="s">
        <v>32</v>
      </c>
      <c r="FO21" s="75" t="s">
        <v>32</v>
      </c>
      <c r="FP21" s="75" t="s">
        <v>32</v>
      </c>
      <c r="FQ21" s="26"/>
      <c r="FR21" s="26"/>
      <c r="FS21" s="32">
        <f t="shared" si="6"/>
        <v>0</v>
      </c>
      <c r="FT21" s="34" t="s">
        <v>32</v>
      </c>
      <c r="FU21" s="34" t="s">
        <v>32</v>
      </c>
      <c r="FV21" s="26" t="s">
        <v>32</v>
      </c>
      <c r="FW21" s="34" t="s">
        <v>32</v>
      </c>
      <c r="FX21" s="32" t="s">
        <v>32</v>
      </c>
      <c r="FY21" s="32" t="s">
        <v>32</v>
      </c>
      <c r="FZ21" s="34" t="s">
        <v>32</v>
      </c>
      <c r="GA21" s="28" t="s">
        <v>32</v>
      </c>
      <c r="GB21" s="28" t="s">
        <v>32</v>
      </c>
      <c r="GC21" s="82" t="s">
        <v>32</v>
      </c>
      <c r="GD21" s="34" t="s">
        <v>32</v>
      </c>
      <c r="GE21" s="32" t="s">
        <v>32</v>
      </c>
      <c r="GF21" s="32" t="s">
        <v>32</v>
      </c>
      <c r="GG21" s="29" t="s">
        <v>32</v>
      </c>
      <c r="GH21" s="28" t="s">
        <v>32</v>
      </c>
      <c r="GI21" s="26" t="s">
        <v>32</v>
      </c>
      <c r="GJ21" s="34" t="s">
        <v>32</v>
      </c>
      <c r="GK21" s="32" t="s">
        <v>32</v>
      </c>
      <c r="GL21" s="34"/>
      <c r="GM21" s="33">
        <f t="shared" si="23"/>
        <v>0</v>
      </c>
      <c r="GN21" s="24"/>
      <c r="GO21" s="25" t="s">
        <v>32</v>
      </c>
      <c r="GP21" s="28" t="s">
        <v>32</v>
      </c>
      <c r="GQ21" s="75" t="s">
        <v>32</v>
      </c>
      <c r="GR21" s="75" t="s">
        <v>32</v>
      </c>
      <c r="GS21" s="26"/>
      <c r="GT21" s="26"/>
      <c r="GU21" s="32">
        <f t="shared" si="7"/>
        <v>0</v>
      </c>
      <c r="GV21" s="34" t="s">
        <v>32</v>
      </c>
      <c r="GW21" s="34" t="s">
        <v>32</v>
      </c>
      <c r="GX21" s="26" t="s">
        <v>32</v>
      </c>
      <c r="GY21" s="34" t="s">
        <v>32</v>
      </c>
      <c r="GZ21" s="32" t="s">
        <v>32</v>
      </c>
      <c r="HA21" s="32" t="s">
        <v>32</v>
      </c>
      <c r="HB21" s="34" t="s">
        <v>32</v>
      </c>
      <c r="HC21" s="28" t="s">
        <v>32</v>
      </c>
      <c r="HD21" s="28" t="s">
        <v>32</v>
      </c>
      <c r="HE21" s="82" t="s">
        <v>32</v>
      </c>
      <c r="HF21" s="34" t="s">
        <v>32</v>
      </c>
      <c r="HG21" s="32" t="s">
        <v>32</v>
      </c>
      <c r="HH21" s="32" t="s">
        <v>32</v>
      </c>
      <c r="HI21" s="29" t="s">
        <v>32</v>
      </c>
      <c r="HJ21" s="28" t="s">
        <v>32</v>
      </c>
      <c r="HK21" s="26" t="s">
        <v>32</v>
      </c>
      <c r="HL21" s="34" t="s">
        <v>32</v>
      </c>
      <c r="HM21" s="32" t="s">
        <v>32</v>
      </c>
      <c r="HN21" s="34"/>
      <c r="HO21" s="33">
        <f t="shared" si="24"/>
        <v>0</v>
      </c>
      <c r="HP21" s="24"/>
      <c r="HQ21" s="25" t="s">
        <v>32</v>
      </c>
      <c r="HR21" s="28" t="s">
        <v>32</v>
      </c>
      <c r="HS21" s="75" t="s">
        <v>32</v>
      </c>
      <c r="HT21" s="75" t="s">
        <v>32</v>
      </c>
      <c r="HU21" s="26"/>
      <c r="HV21" s="26"/>
      <c r="HW21" s="32">
        <f t="shared" si="8"/>
        <v>0</v>
      </c>
      <c r="HX21" s="34" t="s">
        <v>32</v>
      </c>
      <c r="HY21" s="34" t="s">
        <v>32</v>
      </c>
      <c r="HZ21" s="26" t="s">
        <v>32</v>
      </c>
      <c r="IA21" s="34" t="s">
        <v>32</v>
      </c>
      <c r="IB21" s="32" t="s">
        <v>32</v>
      </c>
      <c r="IC21" s="32" t="s">
        <v>32</v>
      </c>
      <c r="ID21" s="34" t="s">
        <v>32</v>
      </c>
      <c r="IE21" s="28" t="s">
        <v>32</v>
      </c>
      <c r="IF21" s="28" t="s">
        <v>32</v>
      </c>
      <c r="IG21" s="82" t="s">
        <v>32</v>
      </c>
      <c r="IH21" s="34" t="s">
        <v>32</v>
      </c>
      <c r="II21" s="32" t="s">
        <v>32</v>
      </c>
      <c r="IJ21" s="32" t="s">
        <v>32</v>
      </c>
      <c r="IK21" s="29" t="s">
        <v>32</v>
      </c>
      <c r="IL21" s="28" t="s">
        <v>32</v>
      </c>
      <c r="IM21" s="26" t="s">
        <v>32</v>
      </c>
      <c r="IN21" s="34" t="s">
        <v>32</v>
      </c>
      <c r="IO21" s="32" t="s">
        <v>32</v>
      </c>
      <c r="IP21" s="34"/>
      <c r="IQ21" s="33">
        <f t="shared" si="25"/>
        <v>0</v>
      </c>
      <c r="IR21" s="111"/>
    </row>
    <row r="22" spans="1:252" x14ac:dyDescent="0.3">
      <c r="A22" s="25">
        <v>46132</v>
      </c>
      <c r="B22" s="28">
        <v>3546</v>
      </c>
      <c r="C22" s="75">
        <v>7538</v>
      </c>
      <c r="D22" s="75">
        <v>11</v>
      </c>
      <c r="E22" s="26">
        <v>9283</v>
      </c>
      <c r="F22" s="26">
        <v>291482</v>
      </c>
      <c r="G22" s="32">
        <f t="shared" si="0"/>
        <v>550965</v>
      </c>
      <c r="H22" s="30" t="s">
        <v>32</v>
      </c>
      <c r="I22" s="30"/>
      <c r="J22" s="26" t="s">
        <v>33</v>
      </c>
      <c r="K22" s="30" t="s">
        <v>32</v>
      </c>
      <c r="L22" s="32" t="s">
        <v>32</v>
      </c>
      <c r="M22" s="32"/>
      <c r="N22" s="30" t="s">
        <v>32</v>
      </c>
      <c r="O22" s="28"/>
      <c r="P22" s="28" t="s">
        <v>32</v>
      </c>
      <c r="Q22" s="82">
        <v>965</v>
      </c>
      <c r="R22" s="30" t="s">
        <v>32</v>
      </c>
      <c r="S22" s="32" t="s">
        <v>32</v>
      </c>
      <c r="T22" s="32" t="s">
        <v>32</v>
      </c>
      <c r="U22" s="75" t="s">
        <v>32</v>
      </c>
      <c r="V22" s="28" t="s">
        <v>32</v>
      </c>
      <c r="W22" s="26" t="s">
        <v>32</v>
      </c>
      <c r="X22" s="30">
        <v>550000</v>
      </c>
      <c r="Y22" s="32" t="s">
        <v>183</v>
      </c>
      <c r="Z22" s="30"/>
      <c r="AA22" s="33">
        <f t="shared" si="18"/>
        <v>550965</v>
      </c>
      <c r="AB22" s="24"/>
      <c r="AC22" s="25">
        <v>46162</v>
      </c>
      <c r="AD22" s="28">
        <v>2309</v>
      </c>
      <c r="AE22" s="75">
        <v>5049</v>
      </c>
      <c r="AF22" s="75">
        <v>14.5</v>
      </c>
      <c r="AG22" s="26">
        <v>11275</v>
      </c>
      <c r="AH22" s="26">
        <v>594799</v>
      </c>
      <c r="AI22" s="32">
        <f t="shared" si="1"/>
        <v>49257</v>
      </c>
      <c r="AJ22" s="34" t="s">
        <v>32</v>
      </c>
      <c r="AK22" s="34" t="s">
        <v>32</v>
      </c>
      <c r="AL22" s="26" t="s">
        <v>32</v>
      </c>
      <c r="AM22" s="34">
        <v>5000</v>
      </c>
      <c r="AN22" s="32">
        <v>1200</v>
      </c>
      <c r="AO22" s="32">
        <v>12250</v>
      </c>
      <c r="AP22" s="34" t="s">
        <v>32</v>
      </c>
      <c r="AQ22" s="28" t="s">
        <v>32</v>
      </c>
      <c r="AR22" s="28" t="s">
        <v>32</v>
      </c>
      <c r="AS22" s="82">
        <v>2975</v>
      </c>
      <c r="AT22" s="34">
        <v>900</v>
      </c>
      <c r="AU22" s="32" t="s">
        <v>32</v>
      </c>
      <c r="AV22" s="32" t="s">
        <v>32</v>
      </c>
      <c r="AW22" s="75">
        <v>6932</v>
      </c>
      <c r="AX22" s="28" t="s">
        <v>32</v>
      </c>
      <c r="AY22" s="26">
        <v>20000</v>
      </c>
      <c r="AZ22" s="34" t="s">
        <v>93</v>
      </c>
      <c r="BA22" s="32" t="s">
        <v>32</v>
      </c>
      <c r="BB22" s="34"/>
      <c r="BC22" s="33">
        <f t="shared" si="26"/>
        <v>49257</v>
      </c>
      <c r="BD22" s="129"/>
      <c r="BE22" s="25">
        <v>46193</v>
      </c>
      <c r="BF22" s="28">
        <v>2578</v>
      </c>
      <c r="BG22" s="75">
        <v>400</v>
      </c>
      <c r="BH22" s="75">
        <v>6.25</v>
      </c>
      <c r="BI22" s="26">
        <v>9490</v>
      </c>
      <c r="BJ22" s="26">
        <v>489788</v>
      </c>
      <c r="BK22" s="32">
        <f t="shared" si="2"/>
        <v>122315</v>
      </c>
      <c r="BL22" s="30" t="s">
        <v>32</v>
      </c>
      <c r="BM22" s="30"/>
      <c r="BN22" s="26" t="s">
        <v>33</v>
      </c>
      <c r="BO22" s="30" t="s">
        <v>32</v>
      </c>
      <c r="BP22" s="32">
        <v>5600</v>
      </c>
      <c r="BQ22" s="32"/>
      <c r="BR22" s="30">
        <v>40000</v>
      </c>
      <c r="BS22" s="28"/>
      <c r="BT22" s="28" t="s">
        <v>32</v>
      </c>
      <c r="BU22" s="26">
        <v>2715</v>
      </c>
      <c r="BV22" s="30" t="s">
        <v>32</v>
      </c>
      <c r="BW22" s="32" t="s">
        <v>32</v>
      </c>
      <c r="BX22" s="32" t="s">
        <v>32</v>
      </c>
      <c r="BY22" s="82" t="s">
        <v>32</v>
      </c>
      <c r="BZ22" s="28" t="s">
        <v>32</v>
      </c>
      <c r="CA22" s="26">
        <v>74000</v>
      </c>
      <c r="CB22" s="30" t="s">
        <v>57</v>
      </c>
      <c r="CC22" s="32" t="s">
        <v>32</v>
      </c>
      <c r="CD22" s="30"/>
      <c r="CE22" s="33">
        <f t="shared" si="19"/>
        <v>122315</v>
      </c>
      <c r="CF22" s="24"/>
      <c r="CG22" s="25">
        <v>46223</v>
      </c>
      <c r="CH22" s="28" t="s">
        <v>32</v>
      </c>
      <c r="CI22" s="75" t="s">
        <v>32</v>
      </c>
      <c r="CJ22" s="75" t="s">
        <v>32</v>
      </c>
      <c r="CK22" s="26"/>
      <c r="CL22" s="26"/>
      <c r="CM22" s="32">
        <f t="shared" si="3"/>
        <v>0</v>
      </c>
      <c r="CN22" s="30" t="s">
        <v>32</v>
      </c>
      <c r="CO22" s="30"/>
      <c r="CP22" s="26" t="s">
        <v>33</v>
      </c>
      <c r="CQ22" s="30" t="s">
        <v>32</v>
      </c>
      <c r="CR22" s="32" t="s">
        <v>32</v>
      </c>
      <c r="CS22" s="32"/>
      <c r="CT22" s="30" t="s">
        <v>32</v>
      </c>
      <c r="CU22" s="28"/>
      <c r="CV22" s="28" t="s">
        <v>32</v>
      </c>
      <c r="CW22" s="82" t="s">
        <v>32</v>
      </c>
      <c r="CX22" s="30" t="s">
        <v>32</v>
      </c>
      <c r="CY22" s="32" t="s">
        <v>32</v>
      </c>
      <c r="CZ22" s="32" t="s">
        <v>32</v>
      </c>
      <c r="DA22" s="29" t="s">
        <v>32</v>
      </c>
      <c r="DB22" s="28" t="s">
        <v>32</v>
      </c>
      <c r="DC22" s="26" t="s">
        <v>32</v>
      </c>
      <c r="DD22" s="30" t="s">
        <v>32</v>
      </c>
      <c r="DE22" s="32" t="s">
        <v>32</v>
      </c>
      <c r="DF22" s="30"/>
      <c r="DG22" s="33">
        <f t="shared" si="20"/>
        <v>0</v>
      </c>
      <c r="DH22" s="24"/>
      <c r="DI22" s="25" t="s">
        <v>32</v>
      </c>
      <c r="DJ22" s="28" t="s">
        <v>32</v>
      </c>
      <c r="DK22" s="75" t="s">
        <v>32</v>
      </c>
      <c r="DL22" s="75" t="s">
        <v>32</v>
      </c>
      <c r="DM22" s="26"/>
      <c r="DN22" s="26"/>
      <c r="DO22" s="32">
        <f t="shared" si="4"/>
        <v>0</v>
      </c>
      <c r="DP22" s="30" t="s">
        <v>32</v>
      </c>
      <c r="DQ22" s="30"/>
      <c r="DR22" s="26" t="s">
        <v>33</v>
      </c>
      <c r="DS22" s="30" t="s">
        <v>32</v>
      </c>
      <c r="DT22" s="32" t="s">
        <v>32</v>
      </c>
      <c r="DU22" s="32"/>
      <c r="DV22" s="30" t="s">
        <v>32</v>
      </c>
      <c r="DW22" s="28"/>
      <c r="DX22" s="28" t="s">
        <v>32</v>
      </c>
      <c r="DY22" s="82" t="s">
        <v>32</v>
      </c>
      <c r="DZ22" s="30" t="s">
        <v>32</v>
      </c>
      <c r="EA22" s="32" t="s">
        <v>32</v>
      </c>
      <c r="EB22" s="32" t="s">
        <v>32</v>
      </c>
      <c r="EC22" s="29" t="s">
        <v>32</v>
      </c>
      <c r="ED22" s="28" t="s">
        <v>32</v>
      </c>
      <c r="EE22" s="26" t="s">
        <v>32</v>
      </c>
      <c r="EF22" s="30" t="s">
        <v>32</v>
      </c>
      <c r="EG22" s="32" t="s">
        <v>32</v>
      </c>
      <c r="EH22" s="30"/>
      <c r="EI22" s="33">
        <f t="shared" si="21"/>
        <v>0</v>
      </c>
      <c r="EJ22" s="24"/>
      <c r="EK22" s="25" t="s">
        <v>32</v>
      </c>
      <c r="EL22" s="28" t="s">
        <v>32</v>
      </c>
      <c r="EM22" s="75" t="s">
        <v>32</v>
      </c>
      <c r="EN22" s="75" t="s">
        <v>32</v>
      </c>
      <c r="EO22" s="26"/>
      <c r="EP22" s="26"/>
      <c r="EQ22" s="32">
        <f t="shared" si="5"/>
        <v>0</v>
      </c>
      <c r="ER22" s="30" t="s">
        <v>32</v>
      </c>
      <c r="ES22" s="30"/>
      <c r="ET22" s="26" t="s">
        <v>33</v>
      </c>
      <c r="EU22" s="30" t="s">
        <v>32</v>
      </c>
      <c r="EV22" s="32" t="s">
        <v>32</v>
      </c>
      <c r="EW22" s="32"/>
      <c r="EX22" s="30" t="s">
        <v>32</v>
      </c>
      <c r="EY22" s="28"/>
      <c r="EZ22" s="28" t="s">
        <v>32</v>
      </c>
      <c r="FA22" s="82" t="s">
        <v>32</v>
      </c>
      <c r="FB22" s="30" t="s">
        <v>32</v>
      </c>
      <c r="FC22" s="32" t="s">
        <v>32</v>
      </c>
      <c r="FD22" s="32" t="s">
        <v>32</v>
      </c>
      <c r="FE22" s="29" t="s">
        <v>32</v>
      </c>
      <c r="FF22" s="28" t="s">
        <v>32</v>
      </c>
      <c r="FG22" s="26" t="s">
        <v>32</v>
      </c>
      <c r="FH22" s="30" t="s">
        <v>32</v>
      </c>
      <c r="FI22" s="32" t="s">
        <v>32</v>
      </c>
      <c r="FJ22" s="30"/>
      <c r="FK22" s="33">
        <f t="shared" si="22"/>
        <v>0</v>
      </c>
      <c r="FL22" s="24"/>
      <c r="FM22" s="25" t="s">
        <v>32</v>
      </c>
      <c r="FN22" s="28" t="s">
        <v>32</v>
      </c>
      <c r="FO22" s="75" t="s">
        <v>32</v>
      </c>
      <c r="FP22" s="75" t="s">
        <v>32</v>
      </c>
      <c r="FQ22" s="26"/>
      <c r="FR22" s="26"/>
      <c r="FS22" s="32">
        <f t="shared" si="6"/>
        <v>0</v>
      </c>
      <c r="FT22" s="30" t="s">
        <v>32</v>
      </c>
      <c r="FU22" s="30"/>
      <c r="FV22" s="26" t="s">
        <v>33</v>
      </c>
      <c r="FW22" s="30" t="s">
        <v>32</v>
      </c>
      <c r="FX22" s="32" t="s">
        <v>32</v>
      </c>
      <c r="FY22" s="32"/>
      <c r="FZ22" s="30" t="s">
        <v>32</v>
      </c>
      <c r="GA22" s="28"/>
      <c r="GB22" s="28" t="s">
        <v>32</v>
      </c>
      <c r="GC22" s="82" t="s">
        <v>32</v>
      </c>
      <c r="GD22" s="30" t="s">
        <v>32</v>
      </c>
      <c r="GE22" s="32" t="s">
        <v>32</v>
      </c>
      <c r="GF22" s="32" t="s">
        <v>32</v>
      </c>
      <c r="GG22" s="29" t="s">
        <v>32</v>
      </c>
      <c r="GH22" s="28" t="s">
        <v>32</v>
      </c>
      <c r="GI22" s="26" t="s">
        <v>32</v>
      </c>
      <c r="GJ22" s="30" t="s">
        <v>32</v>
      </c>
      <c r="GK22" s="32" t="s">
        <v>32</v>
      </c>
      <c r="GL22" s="30"/>
      <c r="GM22" s="33">
        <f t="shared" si="23"/>
        <v>0</v>
      </c>
      <c r="GN22" s="24"/>
      <c r="GO22" s="25" t="s">
        <v>32</v>
      </c>
      <c r="GP22" s="28" t="s">
        <v>32</v>
      </c>
      <c r="GQ22" s="75" t="s">
        <v>32</v>
      </c>
      <c r="GR22" s="75" t="s">
        <v>32</v>
      </c>
      <c r="GS22" s="26"/>
      <c r="GT22" s="26"/>
      <c r="GU22" s="32">
        <f t="shared" si="7"/>
        <v>0</v>
      </c>
      <c r="GV22" s="30" t="s">
        <v>32</v>
      </c>
      <c r="GW22" s="30"/>
      <c r="GX22" s="26" t="s">
        <v>33</v>
      </c>
      <c r="GY22" s="30" t="s">
        <v>32</v>
      </c>
      <c r="GZ22" s="32" t="s">
        <v>32</v>
      </c>
      <c r="HA22" s="32"/>
      <c r="HB22" s="30" t="s">
        <v>32</v>
      </c>
      <c r="HC22" s="28"/>
      <c r="HD22" s="28" t="s">
        <v>32</v>
      </c>
      <c r="HE22" s="82" t="s">
        <v>32</v>
      </c>
      <c r="HF22" s="30" t="s">
        <v>32</v>
      </c>
      <c r="HG22" s="32" t="s">
        <v>32</v>
      </c>
      <c r="HH22" s="32" t="s">
        <v>32</v>
      </c>
      <c r="HI22" s="29" t="s">
        <v>32</v>
      </c>
      <c r="HJ22" s="28" t="s">
        <v>32</v>
      </c>
      <c r="HK22" s="26" t="s">
        <v>32</v>
      </c>
      <c r="HL22" s="30" t="s">
        <v>32</v>
      </c>
      <c r="HM22" s="32" t="s">
        <v>32</v>
      </c>
      <c r="HN22" s="30"/>
      <c r="HO22" s="33">
        <f t="shared" si="24"/>
        <v>0</v>
      </c>
      <c r="HP22" s="24"/>
      <c r="HQ22" s="25" t="s">
        <v>32</v>
      </c>
      <c r="HR22" s="28" t="s">
        <v>32</v>
      </c>
      <c r="HS22" s="75" t="s">
        <v>32</v>
      </c>
      <c r="HT22" s="75" t="s">
        <v>32</v>
      </c>
      <c r="HU22" s="26"/>
      <c r="HV22" s="26"/>
      <c r="HW22" s="32">
        <f t="shared" si="8"/>
        <v>0</v>
      </c>
      <c r="HX22" s="30" t="s">
        <v>32</v>
      </c>
      <c r="HY22" s="30"/>
      <c r="HZ22" s="26" t="s">
        <v>33</v>
      </c>
      <c r="IA22" s="30" t="s">
        <v>32</v>
      </c>
      <c r="IB22" s="32" t="s">
        <v>32</v>
      </c>
      <c r="IC22" s="32"/>
      <c r="ID22" s="30" t="s">
        <v>32</v>
      </c>
      <c r="IE22" s="28"/>
      <c r="IF22" s="28" t="s">
        <v>32</v>
      </c>
      <c r="IG22" s="82" t="s">
        <v>32</v>
      </c>
      <c r="IH22" s="30" t="s">
        <v>32</v>
      </c>
      <c r="II22" s="32" t="s">
        <v>32</v>
      </c>
      <c r="IJ22" s="32" t="s">
        <v>32</v>
      </c>
      <c r="IK22" s="29" t="s">
        <v>32</v>
      </c>
      <c r="IL22" s="28" t="s">
        <v>32</v>
      </c>
      <c r="IM22" s="26" t="s">
        <v>32</v>
      </c>
      <c r="IN22" s="30" t="s">
        <v>32</v>
      </c>
      <c r="IO22" s="32" t="s">
        <v>32</v>
      </c>
      <c r="IP22" s="30"/>
      <c r="IQ22" s="33">
        <f t="shared" si="25"/>
        <v>0</v>
      </c>
      <c r="IR22" s="111"/>
    </row>
    <row r="23" spans="1:252" x14ac:dyDescent="0.3">
      <c r="A23" s="25">
        <v>46133</v>
      </c>
      <c r="B23" s="28">
        <v>3390</v>
      </c>
      <c r="C23" s="75">
        <v>0</v>
      </c>
      <c r="D23" s="75">
        <v>5.5</v>
      </c>
      <c r="E23" s="26">
        <v>0</v>
      </c>
      <c r="F23" s="26">
        <v>0</v>
      </c>
      <c r="G23" s="32">
        <f t="shared" si="0"/>
        <v>0</v>
      </c>
      <c r="H23" s="34"/>
      <c r="I23" s="34"/>
      <c r="J23" s="26" t="s">
        <v>32</v>
      </c>
      <c r="K23" s="34" t="s">
        <v>32</v>
      </c>
      <c r="L23" s="32" t="s">
        <v>32</v>
      </c>
      <c r="M23" s="32"/>
      <c r="N23" s="34" t="s">
        <v>32</v>
      </c>
      <c r="O23" s="28" t="s">
        <v>32</v>
      </c>
      <c r="P23" s="28" t="s">
        <v>32</v>
      </c>
      <c r="Q23" s="82" t="s">
        <v>32</v>
      </c>
      <c r="R23" s="34" t="s">
        <v>32</v>
      </c>
      <c r="S23" s="32"/>
      <c r="T23" s="32" t="s">
        <v>32</v>
      </c>
      <c r="U23" s="75" t="s">
        <v>32</v>
      </c>
      <c r="V23" s="28" t="s">
        <v>32</v>
      </c>
      <c r="W23" s="26" t="s">
        <v>32</v>
      </c>
      <c r="X23" s="34" t="s">
        <v>32</v>
      </c>
      <c r="Y23" s="32" t="s">
        <v>32</v>
      </c>
      <c r="Z23" s="34"/>
      <c r="AA23" s="33">
        <f t="shared" si="18"/>
        <v>0</v>
      </c>
      <c r="AB23" s="24"/>
      <c r="AC23" s="25">
        <v>46163</v>
      </c>
      <c r="AD23" s="28">
        <v>3186</v>
      </c>
      <c r="AE23" s="75">
        <v>2913</v>
      </c>
      <c r="AF23" s="75">
        <v>6.5</v>
      </c>
      <c r="AG23" s="26">
        <v>0</v>
      </c>
      <c r="AH23" s="26">
        <v>0</v>
      </c>
      <c r="AI23" s="32">
        <f t="shared" si="1"/>
        <v>0</v>
      </c>
      <c r="AJ23" s="30" t="s">
        <v>32</v>
      </c>
      <c r="AK23" s="30"/>
      <c r="AL23" s="26" t="s">
        <v>33</v>
      </c>
      <c r="AM23" s="30" t="s">
        <v>32</v>
      </c>
      <c r="AN23" s="32" t="s">
        <v>32</v>
      </c>
      <c r="AO23" s="32"/>
      <c r="AP23" s="30" t="s">
        <v>32</v>
      </c>
      <c r="AQ23" s="28"/>
      <c r="AR23" s="28" t="s">
        <v>32</v>
      </c>
      <c r="AS23" s="82" t="s">
        <v>32</v>
      </c>
      <c r="AT23" s="30" t="s">
        <v>32</v>
      </c>
      <c r="AU23" s="32" t="s">
        <v>32</v>
      </c>
      <c r="AV23" s="32" t="s">
        <v>32</v>
      </c>
      <c r="AW23" s="75" t="s">
        <v>32</v>
      </c>
      <c r="AX23" s="28" t="s">
        <v>32</v>
      </c>
      <c r="AY23" s="26" t="s">
        <v>32</v>
      </c>
      <c r="AZ23" s="30" t="s">
        <v>32</v>
      </c>
      <c r="BA23" s="32" t="s">
        <v>32</v>
      </c>
      <c r="BB23" s="30"/>
      <c r="BC23" s="33">
        <f t="shared" si="26"/>
        <v>0</v>
      </c>
      <c r="BD23" s="129"/>
      <c r="BE23" s="25">
        <v>46194</v>
      </c>
      <c r="BF23" s="28">
        <v>3074</v>
      </c>
      <c r="BG23" s="75">
        <v>3018</v>
      </c>
      <c r="BH23" s="75">
        <v>8</v>
      </c>
      <c r="BI23" s="26">
        <v>0</v>
      </c>
      <c r="BJ23" s="26">
        <v>0</v>
      </c>
      <c r="BK23" s="32">
        <f t="shared" si="2"/>
        <v>0</v>
      </c>
      <c r="BL23" s="34"/>
      <c r="BM23" s="34"/>
      <c r="BN23" s="26" t="s">
        <v>32</v>
      </c>
      <c r="BO23" s="34" t="s">
        <v>32</v>
      </c>
      <c r="BP23" s="32" t="s">
        <v>32</v>
      </c>
      <c r="BQ23" s="32"/>
      <c r="BR23" s="34" t="s">
        <v>32</v>
      </c>
      <c r="BS23" s="28" t="s">
        <v>32</v>
      </c>
      <c r="BT23" s="28" t="s">
        <v>32</v>
      </c>
      <c r="BU23" s="26" t="s">
        <v>32</v>
      </c>
      <c r="BV23" s="34" t="s">
        <v>32</v>
      </c>
      <c r="BW23" s="32"/>
      <c r="BX23" s="32" t="s">
        <v>32</v>
      </c>
      <c r="BY23" s="82" t="s">
        <v>32</v>
      </c>
      <c r="BZ23" s="28" t="s">
        <v>32</v>
      </c>
      <c r="CA23" s="26" t="s">
        <v>32</v>
      </c>
      <c r="CB23" s="34" t="s">
        <v>32</v>
      </c>
      <c r="CC23" s="32" t="s">
        <v>32</v>
      </c>
      <c r="CD23" s="34"/>
      <c r="CE23" s="33">
        <f t="shared" si="19"/>
        <v>0</v>
      </c>
      <c r="CF23" s="24"/>
      <c r="CG23" s="25">
        <v>46224</v>
      </c>
      <c r="CH23" s="28" t="s">
        <v>32</v>
      </c>
      <c r="CI23" s="75" t="s">
        <v>32</v>
      </c>
      <c r="CJ23" s="75" t="s">
        <v>32</v>
      </c>
      <c r="CK23" s="26"/>
      <c r="CL23" s="26"/>
      <c r="CM23" s="32">
        <f t="shared" si="3"/>
        <v>0</v>
      </c>
      <c r="CN23" s="34"/>
      <c r="CO23" s="34"/>
      <c r="CP23" s="26" t="s">
        <v>32</v>
      </c>
      <c r="CQ23" s="34" t="s">
        <v>32</v>
      </c>
      <c r="CR23" s="32" t="s">
        <v>32</v>
      </c>
      <c r="CS23" s="32"/>
      <c r="CT23" s="34" t="s">
        <v>32</v>
      </c>
      <c r="CU23" s="28" t="s">
        <v>32</v>
      </c>
      <c r="CV23" s="28" t="s">
        <v>32</v>
      </c>
      <c r="CW23" s="82" t="s">
        <v>32</v>
      </c>
      <c r="CX23" s="34" t="s">
        <v>32</v>
      </c>
      <c r="CY23" s="32"/>
      <c r="CZ23" s="32" t="s">
        <v>32</v>
      </c>
      <c r="DA23" s="29" t="s">
        <v>32</v>
      </c>
      <c r="DB23" s="28" t="s">
        <v>32</v>
      </c>
      <c r="DC23" s="26" t="s">
        <v>32</v>
      </c>
      <c r="DD23" s="34" t="s">
        <v>32</v>
      </c>
      <c r="DE23" s="32" t="s">
        <v>32</v>
      </c>
      <c r="DF23" s="34"/>
      <c r="DG23" s="33">
        <f t="shared" si="20"/>
        <v>0</v>
      </c>
      <c r="DH23" s="24"/>
      <c r="DI23" s="25" t="s">
        <v>32</v>
      </c>
      <c r="DJ23" s="28" t="s">
        <v>32</v>
      </c>
      <c r="DK23" s="75" t="s">
        <v>32</v>
      </c>
      <c r="DL23" s="75" t="s">
        <v>32</v>
      </c>
      <c r="DM23" s="26"/>
      <c r="DN23" s="26"/>
      <c r="DO23" s="32">
        <f t="shared" si="4"/>
        <v>0</v>
      </c>
      <c r="DP23" s="34"/>
      <c r="DQ23" s="34"/>
      <c r="DR23" s="26" t="s">
        <v>32</v>
      </c>
      <c r="DS23" s="34" t="s">
        <v>32</v>
      </c>
      <c r="DT23" s="32" t="s">
        <v>32</v>
      </c>
      <c r="DU23" s="32"/>
      <c r="DV23" s="34" t="s">
        <v>32</v>
      </c>
      <c r="DW23" s="28" t="s">
        <v>32</v>
      </c>
      <c r="DX23" s="28" t="s">
        <v>32</v>
      </c>
      <c r="DY23" s="82" t="s">
        <v>32</v>
      </c>
      <c r="DZ23" s="34" t="s">
        <v>32</v>
      </c>
      <c r="EA23" s="32"/>
      <c r="EB23" s="32" t="s">
        <v>32</v>
      </c>
      <c r="EC23" s="29" t="s">
        <v>32</v>
      </c>
      <c r="ED23" s="28" t="s">
        <v>32</v>
      </c>
      <c r="EE23" s="26" t="s">
        <v>32</v>
      </c>
      <c r="EF23" s="34" t="s">
        <v>32</v>
      </c>
      <c r="EG23" s="32" t="s">
        <v>32</v>
      </c>
      <c r="EH23" s="34"/>
      <c r="EI23" s="33">
        <f t="shared" si="21"/>
        <v>0</v>
      </c>
      <c r="EJ23" s="24"/>
      <c r="EK23" s="25" t="s">
        <v>32</v>
      </c>
      <c r="EL23" s="28" t="s">
        <v>32</v>
      </c>
      <c r="EM23" s="75" t="s">
        <v>32</v>
      </c>
      <c r="EN23" s="75" t="s">
        <v>32</v>
      </c>
      <c r="EO23" s="26"/>
      <c r="EP23" s="26"/>
      <c r="EQ23" s="32">
        <f t="shared" si="5"/>
        <v>0</v>
      </c>
      <c r="ER23" s="34"/>
      <c r="ES23" s="34"/>
      <c r="ET23" s="26" t="s">
        <v>32</v>
      </c>
      <c r="EU23" s="34" t="s">
        <v>32</v>
      </c>
      <c r="EV23" s="32" t="s">
        <v>32</v>
      </c>
      <c r="EW23" s="32"/>
      <c r="EX23" s="34" t="s">
        <v>32</v>
      </c>
      <c r="EY23" s="28" t="s">
        <v>32</v>
      </c>
      <c r="EZ23" s="28" t="s">
        <v>32</v>
      </c>
      <c r="FA23" s="82" t="s">
        <v>32</v>
      </c>
      <c r="FB23" s="34" t="s">
        <v>32</v>
      </c>
      <c r="FC23" s="32"/>
      <c r="FD23" s="32" t="s">
        <v>32</v>
      </c>
      <c r="FE23" s="29" t="s">
        <v>32</v>
      </c>
      <c r="FF23" s="28" t="s">
        <v>32</v>
      </c>
      <c r="FG23" s="26" t="s">
        <v>32</v>
      </c>
      <c r="FH23" s="34" t="s">
        <v>32</v>
      </c>
      <c r="FI23" s="32" t="s">
        <v>32</v>
      </c>
      <c r="FJ23" s="34"/>
      <c r="FK23" s="33">
        <f t="shared" si="22"/>
        <v>0</v>
      </c>
      <c r="FL23" s="24"/>
      <c r="FM23" s="25" t="s">
        <v>32</v>
      </c>
      <c r="FN23" s="28" t="s">
        <v>32</v>
      </c>
      <c r="FO23" s="75" t="s">
        <v>32</v>
      </c>
      <c r="FP23" s="75" t="s">
        <v>32</v>
      </c>
      <c r="FQ23" s="26"/>
      <c r="FR23" s="26"/>
      <c r="FS23" s="32">
        <f t="shared" si="6"/>
        <v>0</v>
      </c>
      <c r="FT23" s="34"/>
      <c r="FU23" s="34"/>
      <c r="FV23" s="26" t="s">
        <v>32</v>
      </c>
      <c r="FW23" s="34" t="s">
        <v>32</v>
      </c>
      <c r="FX23" s="32" t="s">
        <v>32</v>
      </c>
      <c r="FY23" s="32"/>
      <c r="FZ23" s="34" t="s">
        <v>32</v>
      </c>
      <c r="GA23" s="28" t="s">
        <v>32</v>
      </c>
      <c r="GB23" s="28" t="s">
        <v>32</v>
      </c>
      <c r="GC23" s="82" t="s">
        <v>32</v>
      </c>
      <c r="GD23" s="34" t="s">
        <v>32</v>
      </c>
      <c r="GE23" s="32"/>
      <c r="GF23" s="32" t="s">
        <v>32</v>
      </c>
      <c r="GG23" s="29" t="s">
        <v>32</v>
      </c>
      <c r="GH23" s="28" t="s">
        <v>32</v>
      </c>
      <c r="GI23" s="26" t="s">
        <v>32</v>
      </c>
      <c r="GJ23" s="34" t="s">
        <v>32</v>
      </c>
      <c r="GK23" s="32" t="s">
        <v>32</v>
      </c>
      <c r="GL23" s="34"/>
      <c r="GM23" s="33">
        <f t="shared" si="23"/>
        <v>0</v>
      </c>
      <c r="GN23" s="24"/>
      <c r="GO23" s="25" t="s">
        <v>32</v>
      </c>
      <c r="GP23" s="28" t="s">
        <v>32</v>
      </c>
      <c r="GQ23" s="75" t="s">
        <v>32</v>
      </c>
      <c r="GR23" s="75" t="s">
        <v>32</v>
      </c>
      <c r="GS23" s="26"/>
      <c r="GT23" s="26"/>
      <c r="GU23" s="32">
        <f t="shared" si="7"/>
        <v>0</v>
      </c>
      <c r="GV23" s="34"/>
      <c r="GW23" s="34"/>
      <c r="GX23" s="26" t="s">
        <v>32</v>
      </c>
      <c r="GY23" s="34" t="s">
        <v>32</v>
      </c>
      <c r="GZ23" s="32" t="s">
        <v>32</v>
      </c>
      <c r="HA23" s="32"/>
      <c r="HB23" s="34" t="s">
        <v>32</v>
      </c>
      <c r="HC23" s="28" t="s">
        <v>32</v>
      </c>
      <c r="HD23" s="28" t="s">
        <v>32</v>
      </c>
      <c r="HE23" s="82" t="s">
        <v>32</v>
      </c>
      <c r="HF23" s="34" t="s">
        <v>32</v>
      </c>
      <c r="HG23" s="32"/>
      <c r="HH23" s="32" t="s">
        <v>32</v>
      </c>
      <c r="HI23" s="29" t="s">
        <v>32</v>
      </c>
      <c r="HJ23" s="28" t="s">
        <v>32</v>
      </c>
      <c r="HK23" s="26" t="s">
        <v>32</v>
      </c>
      <c r="HL23" s="34" t="s">
        <v>32</v>
      </c>
      <c r="HM23" s="32" t="s">
        <v>32</v>
      </c>
      <c r="HN23" s="34"/>
      <c r="HO23" s="33">
        <f t="shared" si="24"/>
        <v>0</v>
      </c>
      <c r="HP23" s="24"/>
      <c r="HQ23" s="25" t="s">
        <v>32</v>
      </c>
      <c r="HR23" s="28" t="s">
        <v>32</v>
      </c>
      <c r="HS23" s="75" t="s">
        <v>32</v>
      </c>
      <c r="HT23" s="75" t="s">
        <v>32</v>
      </c>
      <c r="HU23" s="26"/>
      <c r="HV23" s="26"/>
      <c r="HW23" s="32">
        <f t="shared" si="8"/>
        <v>0</v>
      </c>
      <c r="HX23" s="34"/>
      <c r="HY23" s="34"/>
      <c r="HZ23" s="26" t="s">
        <v>32</v>
      </c>
      <c r="IA23" s="34" t="s">
        <v>32</v>
      </c>
      <c r="IB23" s="32" t="s">
        <v>32</v>
      </c>
      <c r="IC23" s="32"/>
      <c r="ID23" s="34" t="s">
        <v>32</v>
      </c>
      <c r="IE23" s="28" t="s">
        <v>32</v>
      </c>
      <c r="IF23" s="28" t="s">
        <v>32</v>
      </c>
      <c r="IG23" s="82" t="s">
        <v>32</v>
      </c>
      <c r="IH23" s="34" t="s">
        <v>32</v>
      </c>
      <c r="II23" s="32"/>
      <c r="IJ23" s="32" t="s">
        <v>32</v>
      </c>
      <c r="IK23" s="29" t="s">
        <v>32</v>
      </c>
      <c r="IL23" s="28" t="s">
        <v>32</v>
      </c>
      <c r="IM23" s="26" t="s">
        <v>32</v>
      </c>
      <c r="IN23" s="34" t="s">
        <v>32</v>
      </c>
      <c r="IO23" s="32" t="s">
        <v>32</v>
      </c>
      <c r="IP23" s="34"/>
      <c r="IQ23" s="33">
        <f t="shared" si="25"/>
        <v>0</v>
      </c>
      <c r="IR23" s="111"/>
    </row>
    <row r="24" spans="1:252" x14ac:dyDescent="0.3">
      <c r="A24" s="25">
        <v>46134</v>
      </c>
      <c r="B24" s="28">
        <v>4103</v>
      </c>
      <c r="C24" s="75">
        <v>0</v>
      </c>
      <c r="D24" s="75">
        <v>2</v>
      </c>
      <c r="E24" s="26">
        <v>13100</v>
      </c>
      <c r="F24" s="26">
        <v>562821</v>
      </c>
      <c r="G24" s="32">
        <f t="shared" si="0"/>
        <v>177880</v>
      </c>
      <c r="H24" s="34">
        <v>21550</v>
      </c>
      <c r="I24" s="34">
        <v>19650</v>
      </c>
      <c r="J24" s="26">
        <v>68500</v>
      </c>
      <c r="K24" s="34" t="s">
        <v>32</v>
      </c>
      <c r="L24" s="32">
        <v>14040</v>
      </c>
      <c r="M24" s="32" t="s">
        <v>32</v>
      </c>
      <c r="N24" s="34">
        <v>53000</v>
      </c>
      <c r="O24" s="28" t="s">
        <v>32</v>
      </c>
      <c r="P24" s="28" t="s">
        <v>32</v>
      </c>
      <c r="Q24" s="82">
        <v>1140</v>
      </c>
      <c r="R24" s="34" t="s">
        <v>32</v>
      </c>
      <c r="S24" s="32" t="s">
        <v>32</v>
      </c>
      <c r="T24" s="32" t="s">
        <v>32</v>
      </c>
      <c r="U24" s="75" t="s">
        <v>32</v>
      </c>
      <c r="V24" s="28" t="s">
        <v>32</v>
      </c>
      <c r="W24" s="26" t="s">
        <v>32</v>
      </c>
      <c r="X24" s="34" t="s">
        <v>32</v>
      </c>
      <c r="Y24" s="32" t="s">
        <v>32</v>
      </c>
      <c r="Z24" s="34"/>
      <c r="AA24" s="33">
        <f t="shared" si="18"/>
        <v>177880</v>
      </c>
      <c r="AB24" s="24"/>
      <c r="AC24" s="25">
        <v>46164</v>
      </c>
      <c r="AD24" s="28">
        <v>3201</v>
      </c>
      <c r="AE24" s="75">
        <v>1464</v>
      </c>
      <c r="AF24" s="75">
        <v>10</v>
      </c>
      <c r="AG24" s="26">
        <v>1737</v>
      </c>
      <c r="AH24" s="26">
        <v>78640</v>
      </c>
      <c r="AI24" s="32">
        <f t="shared" si="1"/>
        <v>268996</v>
      </c>
      <c r="AJ24" s="34">
        <v>67710</v>
      </c>
      <c r="AK24" s="34">
        <v>22790</v>
      </c>
      <c r="AL24" s="26">
        <v>112722</v>
      </c>
      <c r="AM24" s="34" t="s">
        <v>32</v>
      </c>
      <c r="AN24" s="32">
        <v>30854</v>
      </c>
      <c r="AO24" s="32">
        <v>2880</v>
      </c>
      <c r="AP24" s="34">
        <v>30000</v>
      </c>
      <c r="AQ24" s="28" t="s">
        <v>32</v>
      </c>
      <c r="AR24" s="28" t="s">
        <v>32</v>
      </c>
      <c r="AS24" s="82">
        <v>540</v>
      </c>
      <c r="AT24" s="34" t="s">
        <v>32</v>
      </c>
      <c r="AU24" s="32">
        <v>1500</v>
      </c>
      <c r="AV24" s="32" t="s">
        <v>174</v>
      </c>
      <c r="AW24" s="75" t="s">
        <v>32</v>
      </c>
      <c r="AX24" s="28" t="s">
        <v>32</v>
      </c>
      <c r="AY24" s="26" t="s">
        <v>32</v>
      </c>
      <c r="AZ24" s="34" t="s">
        <v>32</v>
      </c>
      <c r="BA24" s="32" t="s">
        <v>32</v>
      </c>
      <c r="BB24" s="34"/>
      <c r="BC24" s="33">
        <f t="shared" si="26"/>
        <v>268996</v>
      </c>
      <c r="BD24" s="129"/>
      <c r="BE24" s="25">
        <v>46195</v>
      </c>
      <c r="BF24" s="28">
        <v>2826</v>
      </c>
      <c r="BG24" s="75">
        <v>1116</v>
      </c>
      <c r="BH24" s="75">
        <v>11</v>
      </c>
      <c r="BI24" s="26">
        <v>0</v>
      </c>
      <c r="BJ24" s="26">
        <v>0</v>
      </c>
      <c r="BK24" s="32">
        <f t="shared" si="2"/>
        <v>520206</v>
      </c>
      <c r="BL24" s="34">
        <v>30100</v>
      </c>
      <c r="BM24" s="34">
        <v>27350</v>
      </c>
      <c r="BN24" s="26">
        <v>26250</v>
      </c>
      <c r="BO24" s="34">
        <v>75000</v>
      </c>
      <c r="BP24" s="32" t="s">
        <v>32</v>
      </c>
      <c r="BQ24" s="32" t="s">
        <v>32</v>
      </c>
      <c r="BR24" s="34"/>
      <c r="BS24" s="28" t="s">
        <v>32</v>
      </c>
      <c r="BT24" s="28" t="s">
        <v>32</v>
      </c>
      <c r="BU24" s="26">
        <v>3960</v>
      </c>
      <c r="BV24" s="34" t="s">
        <v>32</v>
      </c>
      <c r="BW24" s="32">
        <v>339246</v>
      </c>
      <c r="BX24" s="32" t="s">
        <v>194</v>
      </c>
      <c r="BY24" s="82" t="s">
        <v>32</v>
      </c>
      <c r="BZ24" s="28" t="s">
        <v>32</v>
      </c>
      <c r="CA24" s="26">
        <v>18300</v>
      </c>
      <c r="CB24" s="34" t="s">
        <v>40</v>
      </c>
      <c r="CC24" s="32" t="s">
        <v>32</v>
      </c>
      <c r="CD24" s="34"/>
      <c r="CE24" s="33">
        <f t="shared" si="19"/>
        <v>520206</v>
      </c>
      <c r="CF24" s="24"/>
      <c r="CG24" s="25">
        <v>46225</v>
      </c>
      <c r="CH24" s="28" t="s">
        <v>32</v>
      </c>
      <c r="CI24" s="75" t="s">
        <v>32</v>
      </c>
      <c r="CJ24" s="75" t="s">
        <v>32</v>
      </c>
      <c r="CK24" s="26"/>
      <c r="CL24" s="26"/>
      <c r="CM24" s="32">
        <f t="shared" si="3"/>
        <v>0</v>
      </c>
      <c r="CN24" s="34" t="s">
        <v>32</v>
      </c>
      <c r="CO24" s="34"/>
      <c r="CP24" s="26" t="s">
        <v>32</v>
      </c>
      <c r="CQ24" s="34" t="s">
        <v>32</v>
      </c>
      <c r="CR24" s="32" t="s">
        <v>32</v>
      </c>
      <c r="CS24" s="32" t="s">
        <v>32</v>
      </c>
      <c r="CT24" s="34"/>
      <c r="CU24" s="28" t="s">
        <v>32</v>
      </c>
      <c r="CV24" s="28" t="s">
        <v>32</v>
      </c>
      <c r="CW24" s="82" t="s">
        <v>32</v>
      </c>
      <c r="CX24" s="34" t="s">
        <v>32</v>
      </c>
      <c r="CY24" s="32" t="s">
        <v>32</v>
      </c>
      <c r="CZ24" s="32" t="s">
        <v>32</v>
      </c>
      <c r="DA24" s="29" t="s">
        <v>32</v>
      </c>
      <c r="DB24" s="28" t="s">
        <v>32</v>
      </c>
      <c r="DC24" s="26" t="s">
        <v>32</v>
      </c>
      <c r="DD24" s="34" t="s">
        <v>32</v>
      </c>
      <c r="DE24" s="32" t="s">
        <v>32</v>
      </c>
      <c r="DF24" s="34"/>
      <c r="DG24" s="33">
        <f t="shared" si="20"/>
        <v>0</v>
      </c>
      <c r="DH24" s="24"/>
      <c r="DI24" s="25" t="s">
        <v>32</v>
      </c>
      <c r="DJ24" s="28" t="s">
        <v>32</v>
      </c>
      <c r="DK24" s="75" t="s">
        <v>32</v>
      </c>
      <c r="DL24" s="75" t="s">
        <v>32</v>
      </c>
      <c r="DM24" s="26"/>
      <c r="DN24" s="26"/>
      <c r="DO24" s="32">
        <f t="shared" si="4"/>
        <v>0</v>
      </c>
      <c r="DP24" s="34" t="s">
        <v>32</v>
      </c>
      <c r="DQ24" s="34"/>
      <c r="DR24" s="26" t="s">
        <v>32</v>
      </c>
      <c r="DS24" s="34" t="s">
        <v>32</v>
      </c>
      <c r="DT24" s="32" t="s">
        <v>32</v>
      </c>
      <c r="DU24" s="32" t="s">
        <v>32</v>
      </c>
      <c r="DV24" s="34"/>
      <c r="DW24" s="28" t="s">
        <v>32</v>
      </c>
      <c r="DX24" s="28" t="s">
        <v>32</v>
      </c>
      <c r="DY24" s="82" t="s">
        <v>32</v>
      </c>
      <c r="DZ24" s="34" t="s">
        <v>32</v>
      </c>
      <c r="EA24" s="32" t="s">
        <v>32</v>
      </c>
      <c r="EB24" s="32" t="s">
        <v>32</v>
      </c>
      <c r="EC24" s="29" t="s">
        <v>32</v>
      </c>
      <c r="ED24" s="28" t="s">
        <v>32</v>
      </c>
      <c r="EE24" s="26" t="s">
        <v>32</v>
      </c>
      <c r="EF24" s="34" t="s">
        <v>32</v>
      </c>
      <c r="EG24" s="32" t="s">
        <v>32</v>
      </c>
      <c r="EH24" s="34"/>
      <c r="EI24" s="33">
        <f t="shared" si="21"/>
        <v>0</v>
      </c>
      <c r="EJ24" s="24"/>
      <c r="EK24" s="25" t="s">
        <v>32</v>
      </c>
      <c r="EL24" s="28" t="s">
        <v>32</v>
      </c>
      <c r="EM24" s="75" t="s">
        <v>32</v>
      </c>
      <c r="EN24" s="75" t="s">
        <v>32</v>
      </c>
      <c r="EO24" s="26"/>
      <c r="EP24" s="26"/>
      <c r="EQ24" s="32">
        <f t="shared" si="5"/>
        <v>0</v>
      </c>
      <c r="ER24" s="34" t="s">
        <v>32</v>
      </c>
      <c r="ES24" s="34"/>
      <c r="ET24" s="26" t="s">
        <v>32</v>
      </c>
      <c r="EU24" s="34" t="s">
        <v>32</v>
      </c>
      <c r="EV24" s="32" t="s">
        <v>32</v>
      </c>
      <c r="EW24" s="32" t="s">
        <v>32</v>
      </c>
      <c r="EX24" s="34"/>
      <c r="EY24" s="28" t="s">
        <v>32</v>
      </c>
      <c r="EZ24" s="28" t="s">
        <v>32</v>
      </c>
      <c r="FA24" s="82" t="s">
        <v>32</v>
      </c>
      <c r="FB24" s="34" t="s">
        <v>32</v>
      </c>
      <c r="FC24" s="32" t="s">
        <v>32</v>
      </c>
      <c r="FD24" s="32" t="s">
        <v>32</v>
      </c>
      <c r="FE24" s="29" t="s">
        <v>32</v>
      </c>
      <c r="FF24" s="28" t="s">
        <v>32</v>
      </c>
      <c r="FG24" s="26" t="s">
        <v>32</v>
      </c>
      <c r="FH24" s="34" t="s">
        <v>32</v>
      </c>
      <c r="FI24" s="32" t="s">
        <v>32</v>
      </c>
      <c r="FJ24" s="34"/>
      <c r="FK24" s="33">
        <f t="shared" si="22"/>
        <v>0</v>
      </c>
      <c r="FL24" s="24"/>
      <c r="FM24" s="25" t="s">
        <v>32</v>
      </c>
      <c r="FN24" s="28" t="s">
        <v>32</v>
      </c>
      <c r="FO24" s="75" t="s">
        <v>32</v>
      </c>
      <c r="FP24" s="75" t="s">
        <v>32</v>
      </c>
      <c r="FQ24" s="26"/>
      <c r="FR24" s="26"/>
      <c r="FS24" s="32">
        <f t="shared" si="6"/>
        <v>0</v>
      </c>
      <c r="FT24" s="34" t="s">
        <v>32</v>
      </c>
      <c r="FU24" s="34"/>
      <c r="FV24" s="26" t="s">
        <v>32</v>
      </c>
      <c r="FW24" s="34" t="s">
        <v>32</v>
      </c>
      <c r="FX24" s="32" t="s">
        <v>32</v>
      </c>
      <c r="FY24" s="32" t="s">
        <v>32</v>
      </c>
      <c r="FZ24" s="34"/>
      <c r="GA24" s="28" t="s">
        <v>32</v>
      </c>
      <c r="GB24" s="28" t="s">
        <v>32</v>
      </c>
      <c r="GC24" s="82" t="s">
        <v>32</v>
      </c>
      <c r="GD24" s="34" t="s">
        <v>32</v>
      </c>
      <c r="GE24" s="32" t="s">
        <v>32</v>
      </c>
      <c r="GF24" s="32" t="s">
        <v>32</v>
      </c>
      <c r="GG24" s="29" t="s">
        <v>32</v>
      </c>
      <c r="GH24" s="28" t="s">
        <v>32</v>
      </c>
      <c r="GI24" s="26" t="s">
        <v>32</v>
      </c>
      <c r="GJ24" s="34" t="s">
        <v>32</v>
      </c>
      <c r="GK24" s="32" t="s">
        <v>32</v>
      </c>
      <c r="GL24" s="34"/>
      <c r="GM24" s="33">
        <f t="shared" si="23"/>
        <v>0</v>
      </c>
      <c r="GN24" s="24"/>
      <c r="GO24" s="25" t="s">
        <v>32</v>
      </c>
      <c r="GP24" s="28" t="s">
        <v>32</v>
      </c>
      <c r="GQ24" s="75" t="s">
        <v>32</v>
      </c>
      <c r="GR24" s="75" t="s">
        <v>32</v>
      </c>
      <c r="GS24" s="26"/>
      <c r="GT24" s="26"/>
      <c r="GU24" s="32">
        <f t="shared" si="7"/>
        <v>0</v>
      </c>
      <c r="GV24" s="34" t="s">
        <v>32</v>
      </c>
      <c r="GW24" s="34"/>
      <c r="GX24" s="26" t="s">
        <v>32</v>
      </c>
      <c r="GY24" s="34" t="s">
        <v>32</v>
      </c>
      <c r="GZ24" s="32" t="s">
        <v>32</v>
      </c>
      <c r="HA24" s="32" t="s">
        <v>32</v>
      </c>
      <c r="HB24" s="34"/>
      <c r="HC24" s="28" t="s">
        <v>32</v>
      </c>
      <c r="HD24" s="28" t="s">
        <v>32</v>
      </c>
      <c r="HE24" s="82" t="s">
        <v>32</v>
      </c>
      <c r="HF24" s="34" t="s">
        <v>32</v>
      </c>
      <c r="HG24" s="32" t="s">
        <v>32</v>
      </c>
      <c r="HH24" s="32" t="s">
        <v>32</v>
      </c>
      <c r="HI24" s="29" t="s">
        <v>32</v>
      </c>
      <c r="HJ24" s="28" t="s">
        <v>32</v>
      </c>
      <c r="HK24" s="26" t="s">
        <v>32</v>
      </c>
      <c r="HL24" s="34" t="s">
        <v>32</v>
      </c>
      <c r="HM24" s="32" t="s">
        <v>32</v>
      </c>
      <c r="HN24" s="34"/>
      <c r="HO24" s="33">
        <f t="shared" si="24"/>
        <v>0</v>
      </c>
      <c r="HP24" s="24"/>
      <c r="HQ24" s="25" t="s">
        <v>32</v>
      </c>
      <c r="HR24" s="28" t="s">
        <v>32</v>
      </c>
      <c r="HS24" s="75" t="s">
        <v>32</v>
      </c>
      <c r="HT24" s="75" t="s">
        <v>32</v>
      </c>
      <c r="HU24" s="26"/>
      <c r="HV24" s="26"/>
      <c r="HW24" s="32">
        <f t="shared" si="8"/>
        <v>0</v>
      </c>
      <c r="HX24" s="34" t="s">
        <v>32</v>
      </c>
      <c r="HY24" s="34"/>
      <c r="HZ24" s="26" t="s">
        <v>32</v>
      </c>
      <c r="IA24" s="34" t="s">
        <v>32</v>
      </c>
      <c r="IB24" s="32" t="s">
        <v>32</v>
      </c>
      <c r="IC24" s="32" t="s">
        <v>32</v>
      </c>
      <c r="ID24" s="34"/>
      <c r="IE24" s="28" t="s">
        <v>32</v>
      </c>
      <c r="IF24" s="28" t="s">
        <v>32</v>
      </c>
      <c r="IG24" s="82" t="s">
        <v>32</v>
      </c>
      <c r="IH24" s="34" t="s">
        <v>32</v>
      </c>
      <c r="II24" s="32" t="s">
        <v>32</v>
      </c>
      <c r="IJ24" s="32" t="s">
        <v>32</v>
      </c>
      <c r="IK24" s="29" t="s">
        <v>32</v>
      </c>
      <c r="IL24" s="28" t="s">
        <v>32</v>
      </c>
      <c r="IM24" s="26" t="s">
        <v>32</v>
      </c>
      <c r="IN24" s="34" t="s">
        <v>32</v>
      </c>
      <c r="IO24" s="32" t="s">
        <v>32</v>
      </c>
      <c r="IP24" s="34"/>
      <c r="IQ24" s="33">
        <f t="shared" si="25"/>
        <v>0</v>
      </c>
      <c r="IR24" s="111"/>
    </row>
    <row r="25" spans="1:252" x14ac:dyDescent="0.3">
      <c r="A25" s="25">
        <v>46135</v>
      </c>
      <c r="B25" s="28">
        <v>3495</v>
      </c>
      <c r="C25" s="75">
        <v>0</v>
      </c>
      <c r="D25" s="75">
        <v>5.5</v>
      </c>
      <c r="E25" s="26">
        <v>0</v>
      </c>
      <c r="F25" s="26">
        <v>0</v>
      </c>
      <c r="G25" s="32">
        <f t="shared" si="0"/>
        <v>0</v>
      </c>
      <c r="H25" s="34" t="s">
        <v>32</v>
      </c>
      <c r="I25" s="34"/>
      <c r="J25" s="26" t="s">
        <v>32</v>
      </c>
      <c r="K25" s="34" t="s">
        <v>32</v>
      </c>
      <c r="L25" s="32" t="s">
        <v>32</v>
      </c>
      <c r="M25" s="32"/>
      <c r="N25" s="34"/>
      <c r="O25" s="28"/>
      <c r="P25" s="28" t="s">
        <v>32</v>
      </c>
      <c r="Q25" s="82" t="s">
        <v>32</v>
      </c>
      <c r="R25" s="34" t="s">
        <v>32</v>
      </c>
      <c r="S25" s="32"/>
      <c r="T25" s="32" t="s">
        <v>32</v>
      </c>
      <c r="U25" s="75" t="s">
        <v>32</v>
      </c>
      <c r="V25" s="28" t="s">
        <v>32</v>
      </c>
      <c r="W25" s="26" t="s">
        <v>32</v>
      </c>
      <c r="X25" s="34" t="s">
        <v>32</v>
      </c>
      <c r="Y25" s="32" t="s">
        <v>32</v>
      </c>
      <c r="Z25" s="34" t="s">
        <v>32</v>
      </c>
      <c r="AA25" s="33">
        <f t="shared" si="18"/>
        <v>0</v>
      </c>
      <c r="AB25" s="24"/>
      <c r="AC25" s="25">
        <v>46165</v>
      </c>
      <c r="AD25" s="28">
        <v>3390</v>
      </c>
      <c r="AE25" s="75">
        <v>6621</v>
      </c>
      <c r="AF25" s="75">
        <v>10</v>
      </c>
      <c r="AG25" s="26">
        <v>0</v>
      </c>
      <c r="AH25" s="26">
        <v>0</v>
      </c>
      <c r="AI25" s="32">
        <f t="shared" si="1"/>
        <v>0</v>
      </c>
      <c r="AJ25" s="34" t="s">
        <v>32</v>
      </c>
      <c r="AK25" s="34"/>
      <c r="AL25" s="26" t="s">
        <v>32</v>
      </c>
      <c r="AM25" s="34" t="s">
        <v>32</v>
      </c>
      <c r="AN25" s="32" t="s">
        <v>32</v>
      </c>
      <c r="AO25" s="32" t="s">
        <v>32</v>
      </c>
      <c r="AP25" s="34"/>
      <c r="AQ25" s="28" t="s">
        <v>32</v>
      </c>
      <c r="AR25" s="28" t="s">
        <v>32</v>
      </c>
      <c r="AS25" s="82" t="s">
        <v>32</v>
      </c>
      <c r="AT25" s="34" t="s">
        <v>32</v>
      </c>
      <c r="AU25" s="32" t="s">
        <v>32</v>
      </c>
      <c r="AV25" s="32" t="s">
        <v>32</v>
      </c>
      <c r="AW25" s="75" t="s">
        <v>32</v>
      </c>
      <c r="AX25" s="28" t="s">
        <v>32</v>
      </c>
      <c r="AY25" s="26" t="s">
        <v>32</v>
      </c>
      <c r="AZ25" s="34" t="s">
        <v>32</v>
      </c>
      <c r="BA25" s="32" t="s">
        <v>32</v>
      </c>
      <c r="BB25" s="34"/>
      <c r="BC25" s="33">
        <f t="shared" si="26"/>
        <v>0</v>
      </c>
      <c r="BD25" s="129"/>
      <c r="BE25" s="25">
        <v>46196</v>
      </c>
      <c r="BF25" s="28">
        <v>3710</v>
      </c>
      <c r="BG25" s="75">
        <v>2157</v>
      </c>
      <c r="BH25" s="75">
        <v>8</v>
      </c>
      <c r="BI25" s="26">
        <v>7683</v>
      </c>
      <c r="BJ25" s="26">
        <v>454711</v>
      </c>
      <c r="BK25" s="32">
        <f t="shared" si="2"/>
        <v>25035</v>
      </c>
      <c r="BL25" s="34" t="s">
        <v>32</v>
      </c>
      <c r="BM25" s="34"/>
      <c r="BN25" s="26" t="s">
        <v>32</v>
      </c>
      <c r="BO25" s="34">
        <v>7000</v>
      </c>
      <c r="BP25" s="32">
        <v>17000</v>
      </c>
      <c r="BQ25" s="32"/>
      <c r="BR25" s="34"/>
      <c r="BS25" s="28"/>
      <c r="BT25" s="28" t="s">
        <v>32</v>
      </c>
      <c r="BU25" s="26">
        <v>1035</v>
      </c>
      <c r="BV25" s="34" t="s">
        <v>32</v>
      </c>
      <c r="BW25" s="32"/>
      <c r="BX25" s="32" t="s">
        <v>32</v>
      </c>
      <c r="BY25" s="82" t="s">
        <v>32</v>
      </c>
      <c r="BZ25" s="28" t="s">
        <v>32</v>
      </c>
      <c r="CA25" s="26" t="s">
        <v>32</v>
      </c>
      <c r="CB25" s="34" t="s">
        <v>32</v>
      </c>
      <c r="CC25" s="32" t="s">
        <v>32</v>
      </c>
      <c r="CD25" s="34" t="s">
        <v>32</v>
      </c>
      <c r="CE25" s="33">
        <f t="shared" si="19"/>
        <v>25035</v>
      </c>
      <c r="CF25" s="24"/>
      <c r="CG25" s="25">
        <v>46226</v>
      </c>
      <c r="CH25" s="28" t="s">
        <v>32</v>
      </c>
      <c r="CI25" s="75" t="s">
        <v>32</v>
      </c>
      <c r="CJ25" s="75" t="s">
        <v>32</v>
      </c>
      <c r="CK25" s="26"/>
      <c r="CL25" s="26"/>
      <c r="CM25" s="32">
        <f t="shared" si="3"/>
        <v>0</v>
      </c>
      <c r="CN25" s="34" t="s">
        <v>32</v>
      </c>
      <c r="CO25" s="34"/>
      <c r="CP25" s="26" t="s">
        <v>32</v>
      </c>
      <c r="CQ25" s="34" t="s">
        <v>32</v>
      </c>
      <c r="CR25" s="32" t="s">
        <v>32</v>
      </c>
      <c r="CS25" s="32"/>
      <c r="CT25" s="34"/>
      <c r="CU25" s="28"/>
      <c r="CV25" s="28" t="s">
        <v>32</v>
      </c>
      <c r="CW25" s="82" t="s">
        <v>32</v>
      </c>
      <c r="CX25" s="34" t="s">
        <v>32</v>
      </c>
      <c r="CY25" s="32"/>
      <c r="CZ25" s="32" t="s">
        <v>32</v>
      </c>
      <c r="DA25" s="29" t="s">
        <v>32</v>
      </c>
      <c r="DB25" s="28" t="s">
        <v>32</v>
      </c>
      <c r="DC25" s="26" t="s">
        <v>32</v>
      </c>
      <c r="DD25" s="34" t="s">
        <v>32</v>
      </c>
      <c r="DE25" s="32" t="s">
        <v>32</v>
      </c>
      <c r="DF25" s="34" t="s">
        <v>32</v>
      </c>
      <c r="DG25" s="33">
        <f t="shared" si="20"/>
        <v>0</v>
      </c>
      <c r="DH25" s="24"/>
      <c r="DI25" s="25" t="s">
        <v>32</v>
      </c>
      <c r="DJ25" s="28" t="s">
        <v>32</v>
      </c>
      <c r="DK25" s="75" t="s">
        <v>32</v>
      </c>
      <c r="DL25" s="75" t="s">
        <v>32</v>
      </c>
      <c r="DM25" s="26"/>
      <c r="DN25" s="26"/>
      <c r="DO25" s="32">
        <f t="shared" si="4"/>
        <v>0</v>
      </c>
      <c r="DP25" s="34" t="s">
        <v>32</v>
      </c>
      <c r="DQ25" s="34"/>
      <c r="DR25" s="26" t="s">
        <v>32</v>
      </c>
      <c r="DS25" s="34" t="s">
        <v>32</v>
      </c>
      <c r="DT25" s="32" t="s">
        <v>32</v>
      </c>
      <c r="DU25" s="32"/>
      <c r="DV25" s="34"/>
      <c r="DW25" s="28"/>
      <c r="DX25" s="28" t="s">
        <v>32</v>
      </c>
      <c r="DY25" s="82" t="s">
        <v>32</v>
      </c>
      <c r="DZ25" s="34" t="s">
        <v>32</v>
      </c>
      <c r="EA25" s="32"/>
      <c r="EB25" s="32" t="s">
        <v>32</v>
      </c>
      <c r="EC25" s="29" t="s">
        <v>32</v>
      </c>
      <c r="ED25" s="28" t="s">
        <v>32</v>
      </c>
      <c r="EE25" s="26" t="s">
        <v>32</v>
      </c>
      <c r="EF25" s="34" t="s">
        <v>32</v>
      </c>
      <c r="EG25" s="32" t="s">
        <v>32</v>
      </c>
      <c r="EH25" s="34" t="s">
        <v>32</v>
      </c>
      <c r="EI25" s="33">
        <f t="shared" si="21"/>
        <v>0</v>
      </c>
      <c r="EJ25" s="24"/>
      <c r="EK25" s="25" t="s">
        <v>32</v>
      </c>
      <c r="EL25" s="28" t="s">
        <v>32</v>
      </c>
      <c r="EM25" s="75" t="s">
        <v>32</v>
      </c>
      <c r="EN25" s="75" t="s">
        <v>32</v>
      </c>
      <c r="EO25" s="26"/>
      <c r="EP25" s="26"/>
      <c r="EQ25" s="32">
        <f t="shared" si="5"/>
        <v>0</v>
      </c>
      <c r="ER25" s="34" t="s">
        <v>32</v>
      </c>
      <c r="ES25" s="34"/>
      <c r="ET25" s="26" t="s">
        <v>32</v>
      </c>
      <c r="EU25" s="34" t="s">
        <v>32</v>
      </c>
      <c r="EV25" s="32" t="s">
        <v>32</v>
      </c>
      <c r="EW25" s="32"/>
      <c r="EX25" s="34"/>
      <c r="EY25" s="28"/>
      <c r="EZ25" s="28" t="s">
        <v>32</v>
      </c>
      <c r="FA25" s="82" t="s">
        <v>32</v>
      </c>
      <c r="FB25" s="34" t="s">
        <v>32</v>
      </c>
      <c r="FC25" s="32"/>
      <c r="FD25" s="32" t="s">
        <v>32</v>
      </c>
      <c r="FE25" s="29" t="s">
        <v>32</v>
      </c>
      <c r="FF25" s="28" t="s">
        <v>32</v>
      </c>
      <c r="FG25" s="26" t="s">
        <v>32</v>
      </c>
      <c r="FH25" s="34" t="s">
        <v>32</v>
      </c>
      <c r="FI25" s="32" t="s">
        <v>32</v>
      </c>
      <c r="FJ25" s="34" t="s">
        <v>32</v>
      </c>
      <c r="FK25" s="33">
        <f t="shared" si="22"/>
        <v>0</v>
      </c>
      <c r="FL25" s="24"/>
      <c r="FM25" s="25" t="s">
        <v>32</v>
      </c>
      <c r="FN25" s="28" t="s">
        <v>32</v>
      </c>
      <c r="FO25" s="75" t="s">
        <v>32</v>
      </c>
      <c r="FP25" s="75" t="s">
        <v>32</v>
      </c>
      <c r="FQ25" s="26"/>
      <c r="FR25" s="26"/>
      <c r="FS25" s="32">
        <f t="shared" si="6"/>
        <v>0</v>
      </c>
      <c r="FT25" s="34" t="s">
        <v>32</v>
      </c>
      <c r="FU25" s="34"/>
      <c r="FV25" s="26" t="s">
        <v>32</v>
      </c>
      <c r="FW25" s="34" t="s">
        <v>32</v>
      </c>
      <c r="FX25" s="32" t="s">
        <v>32</v>
      </c>
      <c r="FY25" s="32"/>
      <c r="FZ25" s="34"/>
      <c r="GA25" s="28"/>
      <c r="GB25" s="28" t="s">
        <v>32</v>
      </c>
      <c r="GC25" s="82" t="s">
        <v>32</v>
      </c>
      <c r="GD25" s="34" t="s">
        <v>32</v>
      </c>
      <c r="GE25" s="32"/>
      <c r="GF25" s="32" t="s">
        <v>32</v>
      </c>
      <c r="GG25" s="29" t="s">
        <v>32</v>
      </c>
      <c r="GH25" s="28" t="s">
        <v>32</v>
      </c>
      <c r="GI25" s="26" t="s">
        <v>32</v>
      </c>
      <c r="GJ25" s="34" t="s">
        <v>32</v>
      </c>
      <c r="GK25" s="32" t="s">
        <v>32</v>
      </c>
      <c r="GL25" s="34" t="s">
        <v>32</v>
      </c>
      <c r="GM25" s="33">
        <f t="shared" si="23"/>
        <v>0</v>
      </c>
      <c r="GN25" s="24"/>
      <c r="GO25" s="25" t="s">
        <v>32</v>
      </c>
      <c r="GP25" s="28" t="s">
        <v>32</v>
      </c>
      <c r="GQ25" s="75" t="s">
        <v>32</v>
      </c>
      <c r="GR25" s="75" t="s">
        <v>32</v>
      </c>
      <c r="GS25" s="26"/>
      <c r="GT25" s="26"/>
      <c r="GU25" s="32">
        <f t="shared" si="7"/>
        <v>0</v>
      </c>
      <c r="GV25" s="34" t="s">
        <v>32</v>
      </c>
      <c r="GW25" s="34"/>
      <c r="GX25" s="26" t="s">
        <v>32</v>
      </c>
      <c r="GY25" s="34" t="s">
        <v>32</v>
      </c>
      <c r="GZ25" s="32" t="s">
        <v>32</v>
      </c>
      <c r="HA25" s="32"/>
      <c r="HB25" s="34"/>
      <c r="HC25" s="28"/>
      <c r="HD25" s="28" t="s">
        <v>32</v>
      </c>
      <c r="HE25" s="82" t="s">
        <v>32</v>
      </c>
      <c r="HF25" s="34" t="s">
        <v>32</v>
      </c>
      <c r="HG25" s="32"/>
      <c r="HH25" s="32" t="s">
        <v>32</v>
      </c>
      <c r="HI25" s="29" t="s">
        <v>32</v>
      </c>
      <c r="HJ25" s="28" t="s">
        <v>32</v>
      </c>
      <c r="HK25" s="26" t="s">
        <v>32</v>
      </c>
      <c r="HL25" s="34" t="s">
        <v>32</v>
      </c>
      <c r="HM25" s="32" t="s">
        <v>32</v>
      </c>
      <c r="HN25" s="34" t="s">
        <v>32</v>
      </c>
      <c r="HO25" s="33">
        <f t="shared" si="24"/>
        <v>0</v>
      </c>
      <c r="HP25" s="24"/>
      <c r="HQ25" s="25" t="s">
        <v>32</v>
      </c>
      <c r="HR25" s="28" t="s">
        <v>32</v>
      </c>
      <c r="HS25" s="75" t="s">
        <v>32</v>
      </c>
      <c r="HT25" s="75" t="s">
        <v>32</v>
      </c>
      <c r="HU25" s="26"/>
      <c r="HV25" s="26"/>
      <c r="HW25" s="32">
        <f t="shared" si="8"/>
        <v>0</v>
      </c>
      <c r="HX25" s="34" t="s">
        <v>32</v>
      </c>
      <c r="HY25" s="34"/>
      <c r="HZ25" s="26" t="s">
        <v>32</v>
      </c>
      <c r="IA25" s="34" t="s">
        <v>32</v>
      </c>
      <c r="IB25" s="32" t="s">
        <v>32</v>
      </c>
      <c r="IC25" s="32"/>
      <c r="ID25" s="34"/>
      <c r="IE25" s="28"/>
      <c r="IF25" s="28" t="s">
        <v>32</v>
      </c>
      <c r="IG25" s="82" t="s">
        <v>32</v>
      </c>
      <c r="IH25" s="34" t="s">
        <v>32</v>
      </c>
      <c r="II25" s="32"/>
      <c r="IJ25" s="32" t="s">
        <v>32</v>
      </c>
      <c r="IK25" s="29" t="s">
        <v>32</v>
      </c>
      <c r="IL25" s="28" t="s">
        <v>32</v>
      </c>
      <c r="IM25" s="26" t="s">
        <v>32</v>
      </c>
      <c r="IN25" s="34" t="s">
        <v>32</v>
      </c>
      <c r="IO25" s="32" t="s">
        <v>32</v>
      </c>
      <c r="IP25" s="34" t="s">
        <v>32</v>
      </c>
      <c r="IQ25" s="33">
        <f t="shared" si="25"/>
        <v>0</v>
      </c>
      <c r="IR25" s="111"/>
    </row>
    <row r="26" spans="1:252" x14ac:dyDescent="0.3">
      <c r="A26" s="25">
        <v>46136</v>
      </c>
      <c r="B26" s="28">
        <v>3992</v>
      </c>
      <c r="C26" s="75">
        <v>0</v>
      </c>
      <c r="D26" s="75">
        <v>4</v>
      </c>
      <c r="E26" s="26">
        <v>88</v>
      </c>
      <c r="F26" s="26">
        <v>3700</v>
      </c>
      <c r="G26" s="32">
        <f t="shared" si="0"/>
        <v>99744</v>
      </c>
      <c r="H26" s="34">
        <v>16150</v>
      </c>
      <c r="I26" s="34">
        <v>14650</v>
      </c>
      <c r="J26" s="26">
        <v>27000</v>
      </c>
      <c r="K26" s="34">
        <v>14400</v>
      </c>
      <c r="L26" s="32">
        <v>5428</v>
      </c>
      <c r="M26" s="32"/>
      <c r="N26" s="34" t="s">
        <v>32</v>
      </c>
      <c r="O26" s="28">
        <v>21046</v>
      </c>
      <c r="P26" s="28" t="s">
        <v>32</v>
      </c>
      <c r="Q26" s="82">
        <v>1070</v>
      </c>
      <c r="R26" s="34" t="s">
        <v>32</v>
      </c>
      <c r="S26" s="32" t="s">
        <v>32</v>
      </c>
      <c r="T26" s="32" t="s">
        <v>32</v>
      </c>
      <c r="U26" s="75" t="s">
        <v>32</v>
      </c>
      <c r="V26" s="28" t="s">
        <v>32</v>
      </c>
      <c r="W26" s="26" t="s">
        <v>32</v>
      </c>
      <c r="X26" s="34" t="s">
        <v>32</v>
      </c>
      <c r="Y26" s="32" t="s">
        <v>32</v>
      </c>
      <c r="Z26" s="34"/>
      <c r="AA26" s="33">
        <f t="shared" si="18"/>
        <v>99744</v>
      </c>
      <c r="AB26" s="24"/>
      <c r="AC26" s="25">
        <v>46166</v>
      </c>
      <c r="AD26" s="28">
        <v>2283</v>
      </c>
      <c r="AE26" s="75">
        <v>1485</v>
      </c>
      <c r="AF26" s="75">
        <v>12</v>
      </c>
      <c r="AG26" s="26">
        <v>4784</v>
      </c>
      <c r="AH26" s="26">
        <v>300146</v>
      </c>
      <c r="AI26" s="32">
        <f t="shared" si="1"/>
        <v>11660</v>
      </c>
      <c r="AJ26" s="34" t="s">
        <v>32</v>
      </c>
      <c r="AK26" s="34"/>
      <c r="AL26" s="26" t="s">
        <v>32</v>
      </c>
      <c r="AM26" s="34" t="s">
        <v>32</v>
      </c>
      <c r="AN26" s="32">
        <v>6440</v>
      </c>
      <c r="AO26" s="32"/>
      <c r="AP26" s="34"/>
      <c r="AQ26" s="28"/>
      <c r="AR26" s="28" t="s">
        <v>32</v>
      </c>
      <c r="AS26" s="82">
        <v>1720</v>
      </c>
      <c r="AT26" s="34" t="s">
        <v>32</v>
      </c>
      <c r="AU26" s="32"/>
      <c r="AV26" s="32" t="s">
        <v>32</v>
      </c>
      <c r="AW26" s="75">
        <v>3500</v>
      </c>
      <c r="AX26" s="28" t="s">
        <v>32</v>
      </c>
      <c r="AY26" s="26" t="s">
        <v>32</v>
      </c>
      <c r="AZ26" s="34" t="s">
        <v>32</v>
      </c>
      <c r="BA26" s="32" t="s">
        <v>32</v>
      </c>
      <c r="BB26" s="34" t="s">
        <v>32</v>
      </c>
      <c r="BC26" s="33">
        <f t="shared" si="26"/>
        <v>11660</v>
      </c>
      <c r="BD26" s="129"/>
      <c r="BE26" s="25">
        <v>46197</v>
      </c>
      <c r="BF26" s="28">
        <v>3949</v>
      </c>
      <c r="BG26" s="75">
        <v>2772</v>
      </c>
      <c r="BH26" s="75">
        <v>13</v>
      </c>
      <c r="BI26" s="26">
        <v>0</v>
      </c>
      <c r="BJ26" s="26">
        <v>0</v>
      </c>
      <c r="BK26" s="32">
        <f t="shared" si="2"/>
        <v>0</v>
      </c>
      <c r="BL26" s="34" t="s">
        <v>32</v>
      </c>
      <c r="BM26" s="34"/>
      <c r="BN26" s="26" t="s">
        <v>32</v>
      </c>
      <c r="BO26" s="34" t="s">
        <v>32</v>
      </c>
      <c r="BP26" s="32" t="s">
        <v>32</v>
      </c>
      <c r="BQ26" s="32"/>
      <c r="BR26" s="34" t="s">
        <v>32</v>
      </c>
      <c r="BS26" s="28"/>
      <c r="BT26" s="28" t="s">
        <v>32</v>
      </c>
      <c r="BU26" s="26" t="s">
        <v>32</v>
      </c>
      <c r="BV26" s="34" t="s">
        <v>32</v>
      </c>
      <c r="BW26" s="32" t="s">
        <v>32</v>
      </c>
      <c r="BX26" s="32" t="s">
        <v>32</v>
      </c>
      <c r="BY26" s="82" t="s">
        <v>32</v>
      </c>
      <c r="BZ26" s="28" t="s">
        <v>32</v>
      </c>
      <c r="CA26" s="26" t="s">
        <v>32</v>
      </c>
      <c r="CB26" s="34" t="s">
        <v>32</v>
      </c>
      <c r="CC26" s="32" t="s">
        <v>32</v>
      </c>
      <c r="CD26" s="34"/>
      <c r="CE26" s="33">
        <f t="shared" si="19"/>
        <v>0</v>
      </c>
      <c r="CF26" s="24"/>
      <c r="CG26" s="25">
        <v>46227</v>
      </c>
      <c r="CH26" s="28" t="s">
        <v>32</v>
      </c>
      <c r="CI26" s="75" t="s">
        <v>32</v>
      </c>
      <c r="CJ26" s="75" t="s">
        <v>32</v>
      </c>
      <c r="CK26" s="26"/>
      <c r="CL26" s="26"/>
      <c r="CM26" s="32">
        <f t="shared" si="3"/>
        <v>0</v>
      </c>
      <c r="CN26" s="34" t="s">
        <v>32</v>
      </c>
      <c r="CO26" s="34"/>
      <c r="CP26" s="26" t="s">
        <v>32</v>
      </c>
      <c r="CQ26" s="34" t="s">
        <v>32</v>
      </c>
      <c r="CR26" s="32" t="s">
        <v>32</v>
      </c>
      <c r="CS26" s="32"/>
      <c r="CT26" s="34" t="s">
        <v>32</v>
      </c>
      <c r="CU26" s="28"/>
      <c r="CV26" s="28" t="s">
        <v>32</v>
      </c>
      <c r="CW26" s="82" t="s">
        <v>32</v>
      </c>
      <c r="CX26" s="34" t="s">
        <v>32</v>
      </c>
      <c r="CY26" s="32" t="s">
        <v>32</v>
      </c>
      <c r="CZ26" s="32" t="s">
        <v>32</v>
      </c>
      <c r="DA26" s="29" t="s">
        <v>32</v>
      </c>
      <c r="DB26" s="28" t="s">
        <v>32</v>
      </c>
      <c r="DC26" s="26" t="s">
        <v>32</v>
      </c>
      <c r="DD26" s="34" t="s">
        <v>32</v>
      </c>
      <c r="DE26" s="32" t="s">
        <v>32</v>
      </c>
      <c r="DF26" s="34"/>
      <c r="DG26" s="33">
        <f t="shared" si="20"/>
        <v>0</v>
      </c>
      <c r="DH26" s="24"/>
      <c r="DI26" s="25" t="s">
        <v>32</v>
      </c>
      <c r="DJ26" s="28" t="s">
        <v>32</v>
      </c>
      <c r="DK26" s="75" t="s">
        <v>32</v>
      </c>
      <c r="DL26" s="75" t="s">
        <v>32</v>
      </c>
      <c r="DM26" s="26"/>
      <c r="DN26" s="26"/>
      <c r="DO26" s="32">
        <f t="shared" si="4"/>
        <v>0</v>
      </c>
      <c r="DP26" s="34" t="s">
        <v>32</v>
      </c>
      <c r="DQ26" s="34"/>
      <c r="DR26" s="26" t="s">
        <v>32</v>
      </c>
      <c r="DS26" s="34" t="s">
        <v>32</v>
      </c>
      <c r="DT26" s="32" t="s">
        <v>32</v>
      </c>
      <c r="DU26" s="32"/>
      <c r="DV26" s="34" t="s">
        <v>32</v>
      </c>
      <c r="DW26" s="28"/>
      <c r="DX26" s="28" t="s">
        <v>32</v>
      </c>
      <c r="DY26" s="82" t="s">
        <v>32</v>
      </c>
      <c r="DZ26" s="34" t="s">
        <v>32</v>
      </c>
      <c r="EA26" s="32" t="s">
        <v>32</v>
      </c>
      <c r="EB26" s="32" t="s">
        <v>32</v>
      </c>
      <c r="EC26" s="29" t="s">
        <v>32</v>
      </c>
      <c r="ED26" s="28" t="s">
        <v>32</v>
      </c>
      <c r="EE26" s="26" t="s">
        <v>32</v>
      </c>
      <c r="EF26" s="34" t="s">
        <v>32</v>
      </c>
      <c r="EG26" s="32" t="s">
        <v>32</v>
      </c>
      <c r="EH26" s="34"/>
      <c r="EI26" s="33">
        <f t="shared" si="21"/>
        <v>0</v>
      </c>
      <c r="EJ26" s="24"/>
      <c r="EK26" s="25" t="s">
        <v>32</v>
      </c>
      <c r="EL26" s="28" t="s">
        <v>32</v>
      </c>
      <c r="EM26" s="75" t="s">
        <v>32</v>
      </c>
      <c r="EN26" s="75" t="s">
        <v>32</v>
      </c>
      <c r="EO26" s="26"/>
      <c r="EP26" s="26"/>
      <c r="EQ26" s="32">
        <f t="shared" si="5"/>
        <v>0</v>
      </c>
      <c r="ER26" s="34" t="s">
        <v>32</v>
      </c>
      <c r="ES26" s="34"/>
      <c r="ET26" s="26" t="s">
        <v>32</v>
      </c>
      <c r="EU26" s="34" t="s">
        <v>32</v>
      </c>
      <c r="EV26" s="32" t="s">
        <v>32</v>
      </c>
      <c r="EW26" s="32"/>
      <c r="EX26" s="34" t="s">
        <v>32</v>
      </c>
      <c r="EY26" s="28"/>
      <c r="EZ26" s="28" t="s">
        <v>32</v>
      </c>
      <c r="FA26" s="82" t="s">
        <v>32</v>
      </c>
      <c r="FB26" s="34" t="s">
        <v>32</v>
      </c>
      <c r="FC26" s="32" t="s">
        <v>32</v>
      </c>
      <c r="FD26" s="32" t="s">
        <v>32</v>
      </c>
      <c r="FE26" s="29" t="s">
        <v>32</v>
      </c>
      <c r="FF26" s="28" t="s">
        <v>32</v>
      </c>
      <c r="FG26" s="26" t="s">
        <v>32</v>
      </c>
      <c r="FH26" s="34" t="s">
        <v>32</v>
      </c>
      <c r="FI26" s="32" t="s">
        <v>32</v>
      </c>
      <c r="FJ26" s="34"/>
      <c r="FK26" s="33">
        <f t="shared" si="22"/>
        <v>0</v>
      </c>
      <c r="FL26" s="24"/>
      <c r="FM26" s="25" t="s">
        <v>32</v>
      </c>
      <c r="FN26" s="28" t="s">
        <v>32</v>
      </c>
      <c r="FO26" s="75" t="s">
        <v>32</v>
      </c>
      <c r="FP26" s="75" t="s">
        <v>32</v>
      </c>
      <c r="FQ26" s="26"/>
      <c r="FR26" s="26"/>
      <c r="FS26" s="32">
        <f t="shared" si="6"/>
        <v>0</v>
      </c>
      <c r="FT26" s="34" t="s">
        <v>32</v>
      </c>
      <c r="FU26" s="34"/>
      <c r="FV26" s="26" t="s">
        <v>32</v>
      </c>
      <c r="FW26" s="34" t="s">
        <v>32</v>
      </c>
      <c r="FX26" s="32" t="s">
        <v>32</v>
      </c>
      <c r="FY26" s="32"/>
      <c r="FZ26" s="34" t="s">
        <v>32</v>
      </c>
      <c r="GA26" s="28"/>
      <c r="GB26" s="28" t="s">
        <v>32</v>
      </c>
      <c r="GC26" s="82" t="s">
        <v>32</v>
      </c>
      <c r="GD26" s="34" t="s">
        <v>32</v>
      </c>
      <c r="GE26" s="32" t="s">
        <v>32</v>
      </c>
      <c r="GF26" s="32" t="s">
        <v>32</v>
      </c>
      <c r="GG26" s="29" t="s">
        <v>32</v>
      </c>
      <c r="GH26" s="28" t="s">
        <v>32</v>
      </c>
      <c r="GI26" s="26" t="s">
        <v>32</v>
      </c>
      <c r="GJ26" s="34" t="s">
        <v>32</v>
      </c>
      <c r="GK26" s="32" t="s">
        <v>32</v>
      </c>
      <c r="GL26" s="34"/>
      <c r="GM26" s="33">
        <f t="shared" si="23"/>
        <v>0</v>
      </c>
      <c r="GN26" s="24"/>
      <c r="GO26" s="25" t="s">
        <v>32</v>
      </c>
      <c r="GP26" s="28" t="s">
        <v>32</v>
      </c>
      <c r="GQ26" s="75" t="s">
        <v>32</v>
      </c>
      <c r="GR26" s="75" t="s">
        <v>32</v>
      </c>
      <c r="GS26" s="26"/>
      <c r="GT26" s="26"/>
      <c r="GU26" s="32">
        <f t="shared" si="7"/>
        <v>0</v>
      </c>
      <c r="GV26" s="34" t="s">
        <v>32</v>
      </c>
      <c r="GW26" s="34"/>
      <c r="GX26" s="26" t="s">
        <v>32</v>
      </c>
      <c r="GY26" s="34" t="s">
        <v>32</v>
      </c>
      <c r="GZ26" s="32" t="s">
        <v>32</v>
      </c>
      <c r="HA26" s="32"/>
      <c r="HB26" s="34" t="s">
        <v>32</v>
      </c>
      <c r="HC26" s="28"/>
      <c r="HD26" s="28" t="s">
        <v>32</v>
      </c>
      <c r="HE26" s="82" t="s">
        <v>32</v>
      </c>
      <c r="HF26" s="34" t="s">
        <v>32</v>
      </c>
      <c r="HG26" s="32" t="s">
        <v>32</v>
      </c>
      <c r="HH26" s="32" t="s">
        <v>32</v>
      </c>
      <c r="HI26" s="29" t="s">
        <v>32</v>
      </c>
      <c r="HJ26" s="28" t="s">
        <v>32</v>
      </c>
      <c r="HK26" s="26" t="s">
        <v>32</v>
      </c>
      <c r="HL26" s="34" t="s">
        <v>32</v>
      </c>
      <c r="HM26" s="32" t="s">
        <v>32</v>
      </c>
      <c r="HN26" s="34"/>
      <c r="HO26" s="33">
        <f t="shared" si="24"/>
        <v>0</v>
      </c>
      <c r="HP26" s="24"/>
      <c r="HQ26" s="25" t="s">
        <v>32</v>
      </c>
      <c r="HR26" s="28" t="s">
        <v>32</v>
      </c>
      <c r="HS26" s="75" t="s">
        <v>32</v>
      </c>
      <c r="HT26" s="75" t="s">
        <v>32</v>
      </c>
      <c r="HU26" s="26"/>
      <c r="HV26" s="26"/>
      <c r="HW26" s="32">
        <f t="shared" si="8"/>
        <v>0</v>
      </c>
      <c r="HX26" s="34" t="s">
        <v>32</v>
      </c>
      <c r="HY26" s="34"/>
      <c r="HZ26" s="26" t="s">
        <v>32</v>
      </c>
      <c r="IA26" s="34" t="s">
        <v>32</v>
      </c>
      <c r="IB26" s="32" t="s">
        <v>32</v>
      </c>
      <c r="IC26" s="32"/>
      <c r="ID26" s="34" t="s">
        <v>32</v>
      </c>
      <c r="IE26" s="28"/>
      <c r="IF26" s="28" t="s">
        <v>32</v>
      </c>
      <c r="IG26" s="82" t="s">
        <v>32</v>
      </c>
      <c r="IH26" s="34" t="s">
        <v>32</v>
      </c>
      <c r="II26" s="32" t="s">
        <v>32</v>
      </c>
      <c r="IJ26" s="32" t="s">
        <v>32</v>
      </c>
      <c r="IK26" s="29" t="s">
        <v>32</v>
      </c>
      <c r="IL26" s="28" t="s">
        <v>32</v>
      </c>
      <c r="IM26" s="26" t="s">
        <v>32</v>
      </c>
      <c r="IN26" s="34" t="s">
        <v>32</v>
      </c>
      <c r="IO26" s="32" t="s">
        <v>32</v>
      </c>
      <c r="IP26" s="34"/>
      <c r="IQ26" s="33">
        <f t="shared" si="25"/>
        <v>0</v>
      </c>
      <c r="IR26" s="111"/>
    </row>
    <row r="27" spans="1:252" x14ac:dyDescent="0.3">
      <c r="A27" s="25">
        <v>46137</v>
      </c>
      <c r="B27" s="28">
        <v>2039</v>
      </c>
      <c r="C27" s="75">
        <v>1577</v>
      </c>
      <c r="D27" s="75">
        <v>3</v>
      </c>
      <c r="E27" s="26">
        <v>0</v>
      </c>
      <c r="F27" s="26">
        <v>0</v>
      </c>
      <c r="G27" s="32">
        <f t="shared" si="0"/>
        <v>0</v>
      </c>
      <c r="H27" s="34" t="s">
        <v>32</v>
      </c>
      <c r="I27" s="34"/>
      <c r="J27" s="26" t="s">
        <v>32</v>
      </c>
      <c r="K27" s="34" t="s">
        <v>32</v>
      </c>
      <c r="L27" s="32" t="s">
        <v>32</v>
      </c>
      <c r="M27" s="32"/>
      <c r="N27" s="34" t="s">
        <v>32</v>
      </c>
      <c r="O27" s="28"/>
      <c r="P27" s="28" t="s">
        <v>32</v>
      </c>
      <c r="Q27" s="82" t="s">
        <v>32</v>
      </c>
      <c r="R27" s="34" t="s">
        <v>32</v>
      </c>
      <c r="S27" s="32"/>
      <c r="T27" s="32" t="s">
        <v>32</v>
      </c>
      <c r="U27" s="75"/>
      <c r="V27" s="28" t="s">
        <v>32</v>
      </c>
      <c r="W27" s="26" t="s">
        <v>32</v>
      </c>
      <c r="X27" s="34" t="s">
        <v>32</v>
      </c>
      <c r="Y27" s="32" t="s">
        <v>32</v>
      </c>
      <c r="Z27" s="34"/>
      <c r="AA27" s="33">
        <f t="shared" si="18"/>
        <v>0</v>
      </c>
      <c r="AB27" s="24"/>
      <c r="AC27" s="25">
        <v>46167</v>
      </c>
      <c r="AD27" s="28">
        <v>2861</v>
      </c>
      <c r="AE27" s="75">
        <v>0</v>
      </c>
      <c r="AF27" s="75">
        <v>5.5</v>
      </c>
      <c r="AG27" s="26">
        <v>0</v>
      </c>
      <c r="AH27" s="26">
        <v>0</v>
      </c>
      <c r="AI27" s="32">
        <f t="shared" si="1"/>
        <v>0</v>
      </c>
      <c r="AJ27" s="34" t="s">
        <v>32</v>
      </c>
      <c r="AK27" s="34"/>
      <c r="AL27" s="26" t="s">
        <v>32</v>
      </c>
      <c r="AM27" s="34" t="s">
        <v>32</v>
      </c>
      <c r="AN27" s="32" t="s">
        <v>32</v>
      </c>
      <c r="AO27" s="32"/>
      <c r="AP27" s="34" t="s">
        <v>32</v>
      </c>
      <c r="AQ27" s="28"/>
      <c r="AR27" s="28" t="s">
        <v>32</v>
      </c>
      <c r="AS27" s="82" t="s">
        <v>32</v>
      </c>
      <c r="AT27" s="34" t="s">
        <v>32</v>
      </c>
      <c r="AU27" s="32" t="s">
        <v>32</v>
      </c>
      <c r="AV27" s="32" t="s">
        <v>32</v>
      </c>
      <c r="AW27" s="75" t="s">
        <v>32</v>
      </c>
      <c r="AX27" s="28" t="s">
        <v>32</v>
      </c>
      <c r="AY27" s="26" t="s">
        <v>32</v>
      </c>
      <c r="AZ27" s="34" t="s">
        <v>32</v>
      </c>
      <c r="BA27" s="32" t="s">
        <v>32</v>
      </c>
      <c r="BB27" s="34"/>
      <c r="BC27" s="33">
        <f t="shared" si="26"/>
        <v>0</v>
      </c>
      <c r="BD27" s="129"/>
      <c r="BE27" s="25">
        <v>46198</v>
      </c>
      <c r="BF27" s="28">
        <v>3993</v>
      </c>
      <c r="BG27" s="75">
        <v>5724</v>
      </c>
      <c r="BH27" s="75">
        <v>10.5</v>
      </c>
      <c r="BI27" s="26">
        <v>4583</v>
      </c>
      <c r="BJ27" s="26">
        <v>237300</v>
      </c>
      <c r="BK27" s="32">
        <f t="shared" si="2"/>
        <v>874150</v>
      </c>
      <c r="BL27" s="34" t="s">
        <v>32</v>
      </c>
      <c r="BM27" s="34"/>
      <c r="BN27" s="26">
        <v>367600</v>
      </c>
      <c r="BO27" s="34" t="s">
        <v>32</v>
      </c>
      <c r="BP27" s="32">
        <v>3090</v>
      </c>
      <c r="BQ27" s="32"/>
      <c r="BR27" s="34" t="s">
        <v>32</v>
      </c>
      <c r="BS27" s="28"/>
      <c r="BT27" s="28" t="s">
        <v>32</v>
      </c>
      <c r="BU27" s="26">
        <v>960</v>
      </c>
      <c r="BV27" s="34" t="s">
        <v>32</v>
      </c>
      <c r="BW27" s="32">
        <v>1500</v>
      </c>
      <c r="BX27" s="32" t="s">
        <v>174</v>
      </c>
      <c r="BY27" s="82">
        <v>1000</v>
      </c>
      <c r="BZ27" s="28" t="s">
        <v>32</v>
      </c>
      <c r="CA27" s="26">
        <v>500000</v>
      </c>
      <c r="CB27" s="34" t="s">
        <v>141</v>
      </c>
      <c r="CC27" s="32" t="s">
        <v>32</v>
      </c>
      <c r="CD27" s="34"/>
      <c r="CE27" s="33">
        <f t="shared" si="19"/>
        <v>874150</v>
      </c>
      <c r="CF27" s="24"/>
      <c r="CG27" s="25">
        <v>46228</v>
      </c>
      <c r="CH27" s="28" t="s">
        <v>32</v>
      </c>
      <c r="CI27" s="75" t="s">
        <v>32</v>
      </c>
      <c r="CJ27" s="75" t="s">
        <v>32</v>
      </c>
      <c r="CK27" s="26"/>
      <c r="CL27" s="26"/>
      <c r="CM27" s="32">
        <f t="shared" si="3"/>
        <v>0</v>
      </c>
      <c r="CN27" s="34" t="s">
        <v>32</v>
      </c>
      <c r="CO27" s="34"/>
      <c r="CP27" s="26" t="s">
        <v>32</v>
      </c>
      <c r="CQ27" s="34" t="s">
        <v>32</v>
      </c>
      <c r="CR27" s="32" t="s">
        <v>32</v>
      </c>
      <c r="CS27" s="32"/>
      <c r="CT27" s="34" t="s">
        <v>32</v>
      </c>
      <c r="CU27" s="28"/>
      <c r="CV27" s="28" t="s">
        <v>32</v>
      </c>
      <c r="CW27" s="82" t="s">
        <v>32</v>
      </c>
      <c r="CX27" s="34" t="s">
        <v>32</v>
      </c>
      <c r="CY27" s="32"/>
      <c r="CZ27" s="32" t="s">
        <v>32</v>
      </c>
      <c r="DA27" s="29"/>
      <c r="DB27" s="28" t="s">
        <v>32</v>
      </c>
      <c r="DC27" s="26" t="s">
        <v>32</v>
      </c>
      <c r="DD27" s="34" t="s">
        <v>32</v>
      </c>
      <c r="DE27" s="32" t="s">
        <v>32</v>
      </c>
      <c r="DF27" s="34"/>
      <c r="DG27" s="33">
        <f t="shared" si="20"/>
        <v>0</v>
      </c>
      <c r="DH27" s="24"/>
      <c r="DI27" s="25" t="s">
        <v>32</v>
      </c>
      <c r="DJ27" s="28" t="s">
        <v>32</v>
      </c>
      <c r="DK27" s="75" t="s">
        <v>32</v>
      </c>
      <c r="DL27" s="75" t="s">
        <v>32</v>
      </c>
      <c r="DM27" s="26"/>
      <c r="DN27" s="26"/>
      <c r="DO27" s="32">
        <f t="shared" si="4"/>
        <v>0</v>
      </c>
      <c r="DP27" s="34" t="s">
        <v>32</v>
      </c>
      <c r="DQ27" s="34"/>
      <c r="DR27" s="26" t="s">
        <v>32</v>
      </c>
      <c r="DS27" s="34" t="s">
        <v>32</v>
      </c>
      <c r="DT27" s="32" t="s">
        <v>32</v>
      </c>
      <c r="DU27" s="32"/>
      <c r="DV27" s="34" t="s">
        <v>32</v>
      </c>
      <c r="DW27" s="28"/>
      <c r="DX27" s="28" t="s">
        <v>32</v>
      </c>
      <c r="DY27" s="82" t="s">
        <v>32</v>
      </c>
      <c r="DZ27" s="34" t="s">
        <v>32</v>
      </c>
      <c r="EA27" s="32"/>
      <c r="EB27" s="32" t="s">
        <v>32</v>
      </c>
      <c r="EC27" s="29"/>
      <c r="ED27" s="28" t="s">
        <v>32</v>
      </c>
      <c r="EE27" s="26" t="s">
        <v>32</v>
      </c>
      <c r="EF27" s="34" t="s">
        <v>32</v>
      </c>
      <c r="EG27" s="32" t="s">
        <v>32</v>
      </c>
      <c r="EH27" s="34"/>
      <c r="EI27" s="33">
        <f t="shared" si="21"/>
        <v>0</v>
      </c>
      <c r="EJ27" s="24"/>
      <c r="EK27" s="25" t="s">
        <v>32</v>
      </c>
      <c r="EL27" s="28" t="s">
        <v>32</v>
      </c>
      <c r="EM27" s="75" t="s">
        <v>32</v>
      </c>
      <c r="EN27" s="75" t="s">
        <v>32</v>
      </c>
      <c r="EO27" s="26"/>
      <c r="EP27" s="26"/>
      <c r="EQ27" s="32">
        <f t="shared" si="5"/>
        <v>0</v>
      </c>
      <c r="ER27" s="34" t="s">
        <v>32</v>
      </c>
      <c r="ES27" s="34"/>
      <c r="ET27" s="26" t="s">
        <v>32</v>
      </c>
      <c r="EU27" s="34" t="s">
        <v>32</v>
      </c>
      <c r="EV27" s="32" t="s">
        <v>32</v>
      </c>
      <c r="EW27" s="32"/>
      <c r="EX27" s="34" t="s">
        <v>32</v>
      </c>
      <c r="EY27" s="28"/>
      <c r="EZ27" s="28" t="s">
        <v>32</v>
      </c>
      <c r="FA27" s="82" t="s">
        <v>32</v>
      </c>
      <c r="FB27" s="34" t="s">
        <v>32</v>
      </c>
      <c r="FC27" s="32"/>
      <c r="FD27" s="32" t="s">
        <v>32</v>
      </c>
      <c r="FE27" s="29"/>
      <c r="FF27" s="28" t="s">
        <v>32</v>
      </c>
      <c r="FG27" s="26" t="s">
        <v>32</v>
      </c>
      <c r="FH27" s="34" t="s">
        <v>32</v>
      </c>
      <c r="FI27" s="32" t="s">
        <v>32</v>
      </c>
      <c r="FJ27" s="34"/>
      <c r="FK27" s="33">
        <f t="shared" si="22"/>
        <v>0</v>
      </c>
      <c r="FL27" s="24"/>
      <c r="FM27" s="25" t="s">
        <v>32</v>
      </c>
      <c r="FN27" s="28" t="s">
        <v>32</v>
      </c>
      <c r="FO27" s="75" t="s">
        <v>32</v>
      </c>
      <c r="FP27" s="75" t="s">
        <v>32</v>
      </c>
      <c r="FQ27" s="26"/>
      <c r="FR27" s="26"/>
      <c r="FS27" s="32">
        <f t="shared" si="6"/>
        <v>0</v>
      </c>
      <c r="FT27" s="34" t="s">
        <v>32</v>
      </c>
      <c r="FU27" s="34"/>
      <c r="FV27" s="26" t="s">
        <v>32</v>
      </c>
      <c r="FW27" s="34" t="s">
        <v>32</v>
      </c>
      <c r="FX27" s="32" t="s">
        <v>32</v>
      </c>
      <c r="FY27" s="32"/>
      <c r="FZ27" s="34" t="s">
        <v>32</v>
      </c>
      <c r="GA27" s="28"/>
      <c r="GB27" s="28" t="s">
        <v>32</v>
      </c>
      <c r="GC27" s="82" t="s">
        <v>32</v>
      </c>
      <c r="GD27" s="34" t="s">
        <v>32</v>
      </c>
      <c r="GE27" s="32"/>
      <c r="GF27" s="32" t="s">
        <v>32</v>
      </c>
      <c r="GG27" s="29"/>
      <c r="GH27" s="28" t="s">
        <v>32</v>
      </c>
      <c r="GI27" s="26" t="s">
        <v>32</v>
      </c>
      <c r="GJ27" s="34" t="s">
        <v>32</v>
      </c>
      <c r="GK27" s="32" t="s">
        <v>32</v>
      </c>
      <c r="GL27" s="34"/>
      <c r="GM27" s="33">
        <f t="shared" si="23"/>
        <v>0</v>
      </c>
      <c r="GN27" s="24"/>
      <c r="GO27" s="25" t="s">
        <v>32</v>
      </c>
      <c r="GP27" s="28" t="s">
        <v>32</v>
      </c>
      <c r="GQ27" s="75" t="s">
        <v>32</v>
      </c>
      <c r="GR27" s="75" t="s">
        <v>32</v>
      </c>
      <c r="GS27" s="26"/>
      <c r="GT27" s="26"/>
      <c r="GU27" s="32">
        <f t="shared" si="7"/>
        <v>0</v>
      </c>
      <c r="GV27" s="34" t="s">
        <v>32</v>
      </c>
      <c r="GW27" s="34"/>
      <c r="GX27" s="26" t="s">
        <v>32</v>
      </c>
      <c r="GY27" s="34" t="s">
        <v>32</v>
      </c>
      <c r="GZ27" s="32" t="s">
        <v>32</v>
      </c>
      <c r="HA27" s="32"/>
      <c r="HB27" s="34" t="s">
        <v>32</v>
      </c>
      <c r="HC27" s="28"/>
      <c r="HD27" s="28" t="s">
        <v>32</v>
      </c>
      <c r="HE27" s="82" t="s">
        <v>32</v>
      </c>
      <c r="HF27" s="34" t="s">
        <v>32</v>
      </c>
      <c r="HG27" s="32"/>
      <c r="HH27" s="32" t="s">
        <v>32</v>
      </c>
      <c r="HI27" s="29"/>
      <c r="HJ27" s="28" t="s">
        <v>32</v>
      </c>
      <c r="HK27" s="26" t="s">
        <v>32</v>
      </c>
      <c r="HL27" s="34" t="s">
        <v>32</v>
      </c>
      <c r="HM27" s="32" t="s">
        <v>32</v>
      </c>
      <c r="HN27" s="34"/>
      <c r="HO27" s="33">
        <f t="shared" si="24"/>
        <v>0</v>
      </c>
      <c r="HP27" s="24"/>
      <c r="HQ27" s="25" t="s">
        <v>32</v>
      </c>
      <c r="HR27" s="28" t="s">
        <v>32</v>
      </c>
      <c r="HS27" s="75" t="s">
        <v>32</v>
      </c>
      <c r="HT27" s="75" t="s">
        <v>32</v>
      </c>
      <c r="HU27" s="26"/>
      <c r="HV27" s="26"/>
      <c r="HW27" s="32">
        <f t="shared" si="8"/>
        <v>0</v>
      </c>
      <c r="HX27" s="34" t="s">
        <v>32</v>
      </c>
      <c r="HY27" s="34"/>
      <c r="HZ27" s="26" t="s">
        <v>32</v>
      </c>
      <c r="IA27" s="34" t="s">
        <v>32</v>
      </c>
      <c r="IB27" s="32" t="s">
        <v>32</v>
      </c>
      <c r="IC27" s="32"/>
      <c r="ID27" s="34" t="s">
        <v>32</v>
      </c>
      <c r="IE27" s="28"/>
      <c r="IF27" s="28" t="s">
        <v>32</v>
      </c>
      <c r="IG27" s="82" t="s">
        <v>32</v>
      </c>
      <c r="IH27" s="34" t="s">
        <v>32</v>
      </c>
      <c r="II27" s="32"/>
      <c r="IJ27" s="32" t="s">
        <v>32</v>
      </c>
      <c r="IK27" s="29"/>
      <c r="IL27" s="28" t="s">
        <v>32</v>
      </c>
      <c r="IM27" s="26" t="s">
        <v>32</v>
      </c>
      <c r="IN27" s="34" t="s">
        <v>32</v>
      </c>
      <c r="IO27" s="32" t="s">
        <v>32</v>
      </c>
      <c r="IP27" s="34"/>
      <c r="IQ27" s="33">
        <f t="shared" si="25"/>
        <v>0</v>
      </c>
      <c r="IR27" s="111"/>
    </row>
    <row r="28" spans="1:252" x14ac:dyDescent="0.3">
      <c r="A28" s="25">
        <v>46138</v>
      </c>
      <c r="B28" s="28">
        <v>3919</v>
      </c>
      <c r="C28" s="75">
        <v>3298</v>
      </c>
      <c r="D28" s="75">
        <v>5</v>
      </c>
      <c r="E28" s="26">
        <v>5516</v>
      </c>
      <c r="F28" s="26">
        <v>236351</v>
      </c>
      <c r="G28" s="32">
        <f t="shared" si="0"/>
        <v>46330</v>
      </c>
      <c r="H28" s="34">
        <v>16100</v>
      </c>
      <c r="I28" s="34">
        <v>14700</v>
      </c>
      <c r="J28" s="26">
        <v>14970</v>
      </c>
      <c r="K28" s="34" t="s">
        <v>32</v>
      </c>
      <c r="L28" s="32" t="s">
        <v>32</v>
      </c>
      <c r="M28" s="32"/>
      <c r="N28" s="34"/>
      <c r="O28" s="28"/>
      <c r="P28" s="28" t="s">
        <v>32</v>
      </c>
      <c r="Q28" s="82">
        <v>560</v>
      </c>
      <c r="R28" s="34" t="s">
        <v>32</v>
      </c>
      <c r="S28" s="32" t="s">
        <v>32</v>
      </c>
      <c r="T28" s="32" t="s">
        <v>32</v>
      </c>
      <c r="U28" s="75" t="s">
        <v>32</v>
      </c>
      <c r="V28" s="28" t="s">
        <v>32</v>
      </c>
      <c r="W28" s="26" t="s">
        <v>32</v>
      </c>
      <c r="X28" s="34" t="s">
        <v>32</v>
      </c>
      <c r="Y28" s="32" t="s">
        <v>32</v>
      </c>
      <c r="Z28" s="34"/>
      <c r="AA28" s="33">
        <f t="shared" si="18"/>
        <v>46330</v>
      </c>
      <c r="AB28" s="24"/>
      <c r="AC28" s="25">
        <v>46168</v>
      </c>
      <c r="AD28" s="28">
        <v>3047</v>
      </c>
      <c r="AE28" s="75">
        <v>0</v>
      </c>
      <c r="AF28" s="75">
        <v>11</v>
      </c>
      <c r="AG28" s="26">
        <v>11940</v>
      </c>
      <c r="AH28" s="26">
        <v>643037</v>
      </c>
      <c r="AI28" s="32">
        <f t="shared" si="1"/>
        <v>206530</v>
      </c>
      <c r="AJ28" s="34">
        <v>10500</v>
      </c>
      <c r="AK28" s="34">
        <v>9400</v>
      </c>
      <c r="AL28" s="26">
        <v>60000</v>
      </c>
      <c r="AM28" s="34">
        <v>103000</v>
      </c>
      <c r="AN28" s="32" t="s">
        <v>32</v>
      </c>
      <c r="AO28" s="32"/>
      <c r="AP28" s="34">
        <v>5000</v>
      </c>
      <c r="AQ28" s="28"/>
      <c r="AR28" s="28" t="s">
        <v>32</v>
      </c>
      <c r="AS28" s="82">
        <v>1730</v>
      </c>
      <c r="AT28" s="34" t="s">
        <v>32</v>
      </c>
      <c r="AU28" s="32"/>
      <c r="AV28" s="32" t="s">
        <v>32</v>
      </c>
      <c r="AW28" s="75"/>
      <c r="AX28" s="28" t="s">
        <v>32</v>
      </c>
      <c r="AY28" s="26" t="s">
        <v>32</v>
      </c>
      <c r="AZ28" s="34" t="s">
        <v>32</v>
      </c>
      <c r="BA28" s="32">
        <v>16900</v>
      </c>
      <c r="BB28" s="34" t="s">
        <v>190</v>
      </c>
      <c r="BC28" s="33">
        <f t="shared" si="26"/>
        <v>206530</v>
      </c>
      <c r="BD28" s="129"/>
      <c r="BE28" s="25">
        <v>46199</v>
      </c>
      <c r="BF28" s="28">
        <v>4096</v>
      </c>
      <c r="BG28" s="75">
        <v>0</v>
      </c>
      <c r="BH28" s="75">
        <v>4.75</v>
      </c>
      <c r="BI28" s="26">
        <v>0</v>
      </c>
      <c r="BJ28" s="26">
        <v>0</v>
      </c>
      <c r="BK28" s="32">
        <f t="shared" si="2"/>
        <v>0</v>
      </c>
      <c r="BL28" s="34" t="s">
        <v>32</v>
      </c>
      <c r="BM28" s="34"/>
      <c r="BN28" s="26" t="s">
        <v>32</v>
      </c>
      <c r="BO28" s="34" t="s">
        <v>32</v>
      </c>
      <c r="BP28" s="32" t="s">
        <v>32</v>
      </c>
      <c r="BQ28" s="32"/>
      <c r="BR28" s="34"/>
      <c r="BS28" s="28"/>
      <c r="BT28" s="28" t="s">
        <v>32</v>
      </c>
      <c r="BU28" s="26" t="s">
        <v>32</v>
      </c>
      <c r="BV28" s="34" t="s">
        <v>32</v>
      </c>
      <c r="BW28" s="32" t="s">
        <v>32</v>
      </c>
      <c r="BX28" s="32" t="s">
        <v>32</v>
      </c>
      <c r="BY28" s="82" t="s">
        <v>32</v>
      </c>
      <c r="BZ28" s="28" t="s">
        <v>32</v>
      </c>
      <c r="CA28" s="26" t="s">
        <v>32</v>
      </c>
      <c r="CB28" s="34" t="s">
        <v>32</v>
      </c>
      <c r="CC28" s="32" t="s">
        <v>32</v>
      </c>
      <c r="CD28" s="34"/>
      <c r="CE28" s="33">
        <f t="shared" si="19"/>
        <v>0</v>
      </c>
      <c r="CF28" s="24"/>
      <c r="CG28" s="25">
        <v>46229</v>
      </c>
      <c r="CH28" s="28" t="s">
        <v>32</v>
      </c>
      <c r="CI28" s="75" t="s">
        <v>32</v>
      </c>
      <c r="CJ28" s="75" t="s">
        <v>32</v>
      </c>
      <c r="CK28" s="26"/>
      <c r="CL28" s="26"/>
      <c r="CM28" s="32">
        <f t="shared" si="3"/>
        <v>0</v>
      </c>
      <c r="CN28" s="34" t="s">
        <v>32</v>
      </c>
      <c r="CO28" s="34"/>
      <c r="CP28" s="26" t="s">
        <v>32</v>
      </c>
      <c r="CQ28" s="34" t="s">
        <v>32</v>
      </c>
      <c r="CR28" s="32" t="s">
        <v>32</v>
      </c>
      <c r="CS28" s="32"/>
      <c r="CT28" s="34"/>
      <c r="CU28" s="28"/>
      <c r="CV28" s="28" t="s">
        <v>32</v>
      </c>
      <c r="CW28" s="82" t="s">
        <v>32</v>
      </c>
      <c r="CX28" s="34" t="s">
        <v>32</v>
      </c>
      <c r="CY28" s="32" t="s">
        <v>32</v>
      </c>
      <c r="CZ28" s="32" t="s">
        <v>32</v>
      </c>
      <c r="DA28" s="29" t="s">
        <v>32</v>
      </c>
      <c r="DB28" s="28" t="s">
        <v>32</v>
      </c>
      <c r="DC28" s="26" t="s">
        <v>32</v>
      </c>
      <c r="DD28" s="34" t="s">
        <v>32</v>
      </c>
      <c r="DE28" s="32" t="s">
        <v>32</v>
      </c>
      <c r="DF28" s="34"/>
      <c r="DG28" s="33">
        <f t="shared" si="20"/>
        <v>0</v>
      </c>
      <c r="DH28" s="24"/>
      <c r="DI28" s="25" t="s">
        <v>32</v>
      </c>
      <c r="DJ28" s="28" t="s">
        <v>32</v>
      </c>
      <c r="DK28" s="75" t="s">
        <v>32</v>
      </c>
      <c r="DL28" s="75" t="s">
        <v>32</v>
      </c>
      <c r="DM28" s="26"/>
      <c r="DN28" s="26"/>
      <c r="DO28" s="32">
        <f t="shared" si="4"/>
        <v>0</v>
      </c>
      <c r="DP28" s="34" t="s">
        <v>32</v>
      </c>
      <c r="DQ28" s="34"/>
      <c r="DR28" s="26" t="s">
        <v>32</v>
      </c>
      <c r="DS28" s="34" t="s">
        <v>32</v>
      </c>
      <c r="DT28" s="32" t="s">
        <v>32</v>
      </c>
      <c r="DU28" s="32"/>
      <c r="DV28" s="34"/>
      <c r="DW28" s="28"/>
      <c r="DX28" s="28" t="s">
        <v>32</v>
      </c>
      <c r="DY28" s="82" t="s">
        <v>32</v>
      </c>
      <c r="DZ28" s="34" t="s">
        <v>32</v>
      </c>
      <c r="EA28" s="32" t="s">
        <v>32</v>
      </c>
      <c r="EB28" s="32" t="s">
        <v>32</v>
      </c>
      <c r="EC28" s="29" t="s">
        <v>32</v>
      </c>
      <c r="ED28" s="28" t="s">
        <v>32</v>
      </c>
      <c r="EE28" s="26" t="s">
        <v>32</v>
      </c>
      <c r="EF28" s="34" t="s">
        <v>32</v>
      </c>
      <c r="EG28" s="32" t="s">
        <v>32</v>
      </c>
      <c r="EH28" s="34"/>
      <c r="EI28" s="33">
        <f t="shared" si="21"/>
        <v>0</v>
      </c>
      <c r="EJ28" s="24"/>
      <c r="EK28" s="25" t="s">
        <v>32</v>
      </c>
      <c r="EL28" s="28" t="s">
        <v>32</v>
      </c>
      <c r="EM28" s="75" t="s">
        <v>32</v>
      </c>
      <c r="EN28" s="75" t="s">
        <v>32</v>
      </c>
      <c r="EO28" s="26"/>
      <c r="EP28" s="26"/>
      <c r="EQ28" s="32">
        <f t="shared" si="5"/>
        <v>0</v>
      </c>
      <c r="ER28" s="34" t="s">
        <v>32</v>
      </c>
      <c r="ES28" s="34"/>
      <c r="ET28" s="26" t="s">
        <v>32</v>
      </c>
      <c r="EU28" s="34" t="s">
        <v>32</v>
      </c>
      <c r="EV28" s="32" t="s">
        <v>32</v>
      </c>
      <c r="EW28" s="32"/>
      <c r="EX28" s="34"/>
      <c r="EY28" s="28"/>
      <c r="EZ28" s="28" t="s">
        <v>32</v>
      </c>
      <c r="FA28" s="82" t="s">
        <v>32</v>
      </c>
      <c r="FB28" s="34" t="s">
        <v>32</v>
      </c>
      <c r="FC28" s="32" t="s">
        <v>32</v>
      </c>
      <c r="FD28" s="32" t="s">
        <v>32</v>
      </c>
      <c r="FE28" s="29" t="s">
        <v>32</v>
      </c>
      <c r="FF28" s="28" t="s">
        <v>32</v>
      </c>
      <c r="FG28" s="26" t="s">
        <v>32</v>
      </c>
      <c r="FH28" s="34" t="s">
        <v>32</v>
      </c>
      <c r="FI28" s="32" t="s">
        <v>32</v>
      </c>
      <c r="FJ28" s="34"/>
      <c r="FK28" s="33">
        <f t="shared" si="22"/>
        <v>0</v>
      </c>
      <c r="FL28" s="24"/>
      <c r="FM28" s="25" t="s">
        <v>32</v>
      </c>
      <c r="FN28" s="28" t="s">
        <v>32</v>
      </c>
      <c r="FO28" s="75" t="s">
        <v>32</v>
      </c>
      <c r="FP28" s="75" t="s">
        <v>32</v>
      </c>
      <c r="FQ28" s="26"/>
      <c r="FR28" s="26"/>
      <c r="FS28" s="32">
        <f t="shared" si="6"/>
        <v>0</v>
      </c>
      <c r="FT28" s="34" t="s">
        <v>32</v>
      </c>
      <c r="FU28" s="34"/>
      <c r="FV28" s="26" t="s">
        <v>32</v>
      </c>
      <c r="FW28" s="34" t="s">
        <v>32</v>
      </c>
      <c r="FX28" s="32" t="s">
        <v>32</v>
      </c>
      <c r="FY28" s="32"/>
      <c r="FZ28" s="34"/>
      <c r="GA28" s="28"/>
      <c r="GB28" s="28" t="s">
        <v>32</v>
      </c>
      <c r="GC28" s="82" t="s">
        <v>32</v>
      </c>
      <c r="GD28" s="34" t="s">
        <v>32</v>
      </c>
      <c r="GE28" s="32" t="s">
        <v>32</v>
      </c>
      <c r="GF28" s="32" t="s">
        <v>32</v>
      </c>
      <c r="GG28" s="29" t="s">
        <v>32</v>
      </c>
      <c r="GH28" s="28" t="s">
        <v>32</v>
      </c>
      <c r="GI28" s="26" t="s">
        <v>32</v>
      </c>
      <c r="GJ28" s="34" t="s">
        <v>32</v>
      </c>
      <c r="GK28" s="32" t="s">
        <v>32</v>
      </c>
      <c r="GL28" s="34"/>
      <c r="GM28" s="33">
        <f t="shared" si="23"/>
        <v>0</v>
      </c>
      <c r="GN28" s="24"/>
      <c r="GO28" s="25" t="s">
        <v>32</v>
      </c>
      <c r="GP28" s="28" t="s">
        <v>32</v>
      </c>
      <c r="GQ28" s="75" t="s">
        <v>32</v>
      </c>
      <c r="GR28" s="75" t="s">
        <v>32</v>
      </c>
      <c r="GS28" s="26"/>
      <c r="GT28" s="26"/>
      <c r="GU28" s="32">
        <f t="shared" si="7"/>
        <v>0</v>
      </c>
      <c r="GV28" s="34" t="s">
        <v>32</v>
      </c>
      <c r="GW28" s="34"/>
      <c r="GX28" s="26" t="s">
        <v>32</v>
      </c>
      <c r="GY28" s="34" t="s">
        <v>32</v>
      </c>
      <c r="GZ28" s="32" t="s">
        <v>32</v>
      </c>
      <c r="HA28" s="32"/>
      <c r="HB28" s="34"/>
      <c r="HC28" s="28"/>
      <c r="HD28" s="28" t="s">
        <v>32</v>
      </c>
      <c r="HE28" s="82" t="s">
        <v>32</v>
      </c>
      <c r="HF28" s="34" t="s">
        <v>32</v>
      </c>
      <c r="HG28" s="32" t="s">
        <v>32</v>
      </c>
      <c r="HH28" s="32" t="s">
        <v>32</v>
      </c>
      <c r="HI28" s="29" t="s">
        <v>32</v>
      </c>
      <c r="HJ28" s="28" t="s">
        <v>32</v>
      </c>
      <c r="HK28" s="26" t="s">
        <v>32</v>
      </c>
      <c r="HL28" s="34" t="s">
        <v>32</v>
      </c>
      <c r="HM28" s="32" t="s">
        <v>32</v>
      </c>
      <c r="HN28" s="34"/>
      <c r="HO28" s="33">
        <f t="shared" si="24"/>
        <v>0</v>
      </c>
      <c r="HP28" s="24"/>
      <c r="HQ28" s="25" t="s">
        <v>32</v>
      </c>
      <c r="HR28" s="28" t="s">
        <v>32</v>
      </c>
      <c r="HS28" s="75" t="s">
        <v>32</v>
      </c>
      <c r="HT28" s="75" t="s">
        <v>32</v>
      </c>
      <c r="HU28" s="26"/>
      <c r="HV28" s="26"/>
      <c r="HW28" s="32">
        <f t="shared" si="8"/>
        <v>0</v>
      </c>
      <c r="HX28" s="34" t="s">
        <v>32</v>
      </c>
      <c r="HY28" s="34"/>
      <c r="HZ28" s="26" t="s">
        <v>32</v>
      </c>
      <c r="IA28" s="34" t="s">
        <v>32</v>
      </c>
      <c r="IB28" s="32" t="s">
        <v>32</v>
      </c>
      <c r="IC28" s="32"/>
      <c r="ID28" s="34"/>
      <c r="IE28" s="28"/>
      <c r="IF28" s="28" t="s">
        <v>32</v>
      </c>
      <c r="IG28" s="82" t="s">
        <v>32</v>
      </c>
      <c r="IH28" s="34" t="s">
        <v>32</v>
      </c>
      <c r="II28" s="32" t="s">
        <v>32</v>
      </c>
      <c r="IJ28" s="32" t="s">
        <v>32</v>
      </c>
      <c r="IK28" s="29" t="s">
        <v>32</v>
      </c>
      <c r="IL28" s="28" t="s">
        <v>32</v>
      </c>
      <c r="IM28" s="26" t="s">
        <v>32</v>
      </c>
      <c r="IN28" s="34" t="s">
        <v>32</v>
      </c>
      <c r="IO28" s="32" t="s">
        <v>32</v>
      </c>
      <c r="IP28" s="34"/>
      <c r="IQ28" s="33">
        <f t="shared" si="25"/>
        <v>0</v>
      </c>
      <c r="IR28" s="111"/>
    </row>
    <row r="29" spans="1:252" x14ac:dyDescent="0.3">
      <c r="A29" s="25">
        <v>46139</v>
      </c>
      <c r="B29" s="28">
        <v>3591</v>
      </c>
      <c r="C29" s="75">
        <v>3204</v>
      </c>
      <c r="D29" s="75">
        <v>5</v>
      </c>
      <c r="E29" s="26">
        <v>0</v>
      </c>
      <c r="F29" s="26">
        <v>0</v>
      </c>
      <c r="G29" s="32">
        <f t="shared" si="0"/>
        <v>0</v>
      </c>
      <c r="H29" s="34" t="s">
        <v>32</v>
      </c>
      <c r="I29" s="34"/>
      <c r="J29" s="26" t="s">
        <v>32</v>
      </c>
      <c r="K29" s="34" t="s">
        <v>32</v>
      </c>
      <c r="L29" s="32" t="s">
        <v>32</v>
      </c>
      <c r="M29" s="32"/>
      <c r="N29" s="34"/>
      <c r="O29" s="28" t="s">
        <v>32</v>
      </c>
      <c r="P29" s="28" t="s">
        <v>32</v>
      </c>
      <c r="Q29" s="82" t="s">
        <v>32</v>
      </c>
      <c r="R29" s="34" t="s">
        <v>32</v>
      </c>
      <c r="S29" s="32" t="s">
        <v>32</v>
      </c>
      <c r="T29" s="32" t="s">
        <v>32</v>
      </c>
      <c r="U29" s="75" t="s">
        <v>32</v>
      </c>
      <c r="V29" s="28" t="s">
        <v>32</v>
      </c>
      <c r="W29" s="26" t="s">
        <v>32</v>
      </c>
      <c r="X29" s="34" t="s">
        <v>32</v>
      </c>
      <c r="Y29" s="32" t="s">
        <v>32</v>
      </c>
      <c r="Z29" s="34"/>
      <c r="AA29" s="33">
        <f t="shared" si="18"/>
        <v>0</v>
      </c>
      <c r="AB29" s="24"/>
      <c r="AC29" s="25">
        <v>46169</v>
      </c>
      <c r="AD29" s="28">
        <v>2731</v>
      </c>
      <c r="AE29" s="75">
        <v>1052</v>
      </c>
      <c r="AF29" s="75">
        <v>13.5</v>
      </c>
      <c r="AG29" s="26">
        <v>0</v>
      </c>
      <c r="AH29" s="26">
        <v>0</v>
      </c>
      <c r="AI29" s="32">
        <f t="shared" si="1"/>
        <v>0</v>
      </c>
      <c r="AJ29" s="34" t="s">
        <v>32</v>
      </c>
      <c r="AK29" s="34"/>
      <c r="AL29" s="26" t="s">
        <v>32</v>
      </c>
      <c r="AM29" s="34" t="s">
        <v>32</v>
      </c>
      <c r="AN29" s="32" t="s">
        <v>32</v>
      </c>
      <c r="AO29" s="32"/>
      <c r="AP29" s="34"/>
      <c r="AQ29" s="28"/>
      <c r="AR29" s="28" t="s">
        <v>32</v>
      </c>
      <c r="AS29" s="82" t="s">
        <v>32</v>
      </c>
      <c r="AT29" s="34" t="s">
        <v>32</v>
      </c>
      <c r="AU29" s="32" t="s">
        <v>32</v>
      </c>
      <c r="AV29" s="32" t="s">
        <v>32</v>
      </c>
      <c r="AW29" s="75" t="s">
        <v>32</v>
      </c>
      <c r="AX29" s="28" t="s">
        <v>32</v>
      </c>
      <c r="AY29" s="26" t="s">
        <v>32</v>
      </c>
      <c r="AZ29" s="34" t="s">
        <v>32</v>
      </c>
      <c r="BA29" s="32" t="s">
        <v>32</v>
      </c>
      <c r="BB29" s="34"/>
      <c r="BC29" s="33">
        <f t="shared" si="26"/>
        <v>0</v>
      </c>
      <c r="BD29" s="129"/>
      <c r="BE29" s="25">
        <v>46200</v>
      </c>
      <c r="BF29" s="28">
        <v>3860</v>
      </c>
      <c r="BG29" s="75">
        <v>0</v>
      </c>
      <c r="BH29" s="75">
        <v>10</v>
      </c>
      <c r="BI29" s="26">
        <v>2609</v>
      </c>
      <c r="BJ29" s="26">
        <v>190750</v>
      </c>
      <c r="BK29" s="32">
        <f t="shared" si="2"/>
        <v>29725</v>
      </c>
      <c r="BL29" s="34">
        <v>14700</v>
      </c>
      <c r="BM29" s="34">
        <v>13300</v>
      </c>
      <c r="BN29" s="26" t="s">
        <v>32</v>
      </c>
      <c r="BO29" s="34" t="s">
        <v>32</v>
      </c>
      <c r="BP29" s="32" t="s">
        <v>32</v>
      </c>
      <c r="BQ29" s="32"/>
      <c r="BR29" s="34"/>
      <c r="BS29" s="28" t="s">
        <v>32</v>
      </c>
      <c r="BT29" s="28" t="s">
        <v>32</v>
      </c>
      <c r="BU29" s="26">
        <v>1375</v>
      </c>
      <c r="BV29" s="34" t="s">
        <v>32</v>
      </c>
      <c r="BW29" s="32" t="s">
        <v>32</v>
      </c>
      <c r="BX29" s="32" t="s">
        <v>32</v>
      </c>
      <c r="BY29" s="82" t="s">
        <v>32</v>
      </c>
      <c r="BZ29" s="28" t="s">
        <v>32</v>
      </c>
      <c r="CA29" s="26">
        <v>350</v>
      </c>
      <c r="CB29" s="34" t="s">
        <v>40</v>
      </c>
      <c r="CC29" s="32" t="s">
        <v>32</v>
      </c>
      <c r="CD29" s="34"/>
      <c r="CE29" s="33">
        <f t="shared" si="19"/>
        <v>29725</v>
      </c>
      <c r="CF29" s="24"/>
      <c r="CG29" s="25">
        <v>46230</v>
      </c>
      <c r="CH29" s="28" t="s">
        <v>32</v>
      </c>
      <c r="CI29" s="75" t="s">
        <v>32</v>
      </c>
      <c r="CJ29" s="75" t="s">
        <v>32</v>
      </c>
      <c r="CK29" s="26"/>
      <c r="CL29" s="26"/>
      <c r="CM29" s="32">
        <f t="shared" si="3"/>
        <v>0</v>
      </c>
      <c r="CN29" s="34" t="s">
        <v>32</v>
      </c>
      <c r="CO29" s="34"/>
      <c r="CP29" s="26" t="s">
        <v>32</v>
      </c>
      <c r="CQ29" s="34" t="s">
        <v>32</v>
      </c>
      <c r="CR29" s="32" t="s">
        <v>32</v>
      </c>
      <c r="CS29" s="32"/>
      <c r="CT29" s="34"/>
      <c r="CU29" s="28" t="s">
        <v>32</v>
      </c>
      <c r="CV29" s="28" t="s">
        <v>32</v>
      </c>
      <c r="CW29" s="82" t="s">
        <v>32</v>
      </c>
      <c r="CX29" s="34" t="s">
        <v>32</v>
      </c>
      <c r="CY29" s="32" t="s">
        <v>32</v>
      </c>
      <c r="CZ29" s="32" t="s">
        <v>32</v>
      </c>
      <c r="DA29" s="29" t="s">
        <v>32</v>
      </c>
      <c r="DB29" s="28" t="s">
        <v>32</v>
      </c>
      <c r="DC29" s="26" t="s">
        <v>32</v>
      </c>
      <c r="DD29" s="34" t="s">
        <v>32</v>
      </c>
      <c r="DE29" s="32" t="s">
        <v>32</v>
      </c>
      <c r="DF29" s="34"/>
      <c r="DG29" s="33">
        <f t="shared" si="20"/>
        <v>0</v>
      </c>
      <c r="DH29" s="24"/>
      <c r="DI29" s="25" t="s">
        <v>32</v>
      </c>
      <c r="DJ29" s="28" t="s">
        <v>32</v>
      </c>
      <c r="DK29" s="75" t="s">
        <v>32</v>
      </c>
      <c r="DL29" s="75" t="s">
        <v>32</v>
      </c>
      <c r="DM29" s="26"/>
      <c r="DN29" s="26"/>
      <c r="DO29" s="32">
        <f t="shared" si="4"/>
        <v>0</v>
      </c>
      <c r="DP29" s="34" t="s">
        <v>32</v>
      </c>
      <c r="DQ29" s="34"/>
      <c r="DR29" s="26" t="s">
        <v>32</v>
      </c>
      <c r="DS29" s="34" t="s">
        <v>32</v>
      </c>
      <c r="DT29" s="32" t="s">
        <v>32</v>
      </c>
      <c r="DU29" s="32"/>
      <c r="DV29" s="34"/>
      <c r="DW29" s="28" t="s">
        <v>32</v>
      </c>
      <c r="DX29" s="28" t="s">
        <v>32</v>
      </c>
      <c r="DY29" s="82" t="s">
        <v>32</v>
      </c>
      <c r="DZ29" s="34" t="s">
        <v>32</v>
      </c>
      <c r="EA29" s="32" t="s">
        <v>32</v>
      </c>
      <c r="EB29" s="32" t="s">
        <v>32</v>
      </c>
      <c r="EC29" s="29" t="s">
        <v>32</v>
      </c>
      <c r="ED29" s="28" t="s">
        <v>32</v>
      </c>
      <c r="EE29" s="26" t="s">
        <v>32</v>
      </c>
      <c r="EF29" s="34" t="s">
        <v>32</v>
      </c>
      <c r="EG29" s="32" t="s">
        <v>32</v>
      </c>
      <c r="EH29" s="34"/>
      <c r="EI29" s="33">
        <f t="shared" si="21"/>
        <v>0</v>
      </c>
      <c r="EJ29" s="24"/>
      <c r="EK29" s="25" t="s">
        <v>32</v>
      </c>
      <c r="EL29" s="28" t="s">
        <v>32</v>
      </c>
      <c r="EM29" s="75" t="s">
        <v>32</v>
      </c>
      <c r="EN29" s="75" t="s">
        <v>32</v>
      </c>
      <c r="EO29" s="26"/>
      <c r="EP29" s="26"/>
      <c r="EQ29" s="32">
        <f t="shared" si="5"/>
        <v>0</v>
      </c>
      <c r="ER29" s="34" t="s">
        <v>32</v>
      </c>
      <c r="ES29" s="34"/>
      <c r="ET29" s="26" t="s">
        <v>32</v>
      </c>
      <c r="EU29" s="34" t="s">
        <v>32</v>
      </c>
      <c r="EV29" s="32" t="s">
        <v>32</v>
      </c>
      <c r="EW29" s="32"/>
      <c r="EX29" s="34"/>
      <c r="EY29" s="28" t="s">
        <v>32</v>
      </c>
      <c r="EZ29" s="28" t="s">
        <v>32</v>
      </c>
      <c r="FA29" s="82" t="s">
        <v>32</v>
      </c>
      <c r="FB29" s="34" t="s">
        <v>32</v>
      </c>
      <c r="FC29" s="32" t="s">
        <v>32</v>
      </c>
      <c r="FD29" s="32" t="s">
        <v>32</v>
      </c>
      <c r="FE29" s="29" t="s">
        <v>32</v>
      </c>
      <c r="FF29" s="28" t="s">
        <v>32</v>
      </c>
      <c r="FG29" s="26" t="s">
        <v>32</v>
      </c>
      <c r="FH29" s="34" t="s">
        <v>32</v>
      </c>
      <c r="FI29" s="32" t="s">
        <v>32</v>
      </c>
      <c r="FJ29" s="34"/>
      <c r="FK29" s="33">
        <f t="shared" si="22"/>
        <v>0</v>
      </c>
      <c r="FL29" s="24"/>
      <c r="FM29" s="25" t="s">
        <v>32</v>
      </c>
      <c r="FN29" s="28" t="s">
        <v>32</v>
      </c>
      <c r="FO29" s="75" t="s">
        <v>32</v>
      </c>
      <c r="FP29" s="75" t="s">
        <v>32</v>
      </c>
      <c r="FQ29" s="26"/>
      <c r="FR29" s="26"/>
      <c r="FS29" s="32">
        <f t="shared" si="6"/>
        <v>0</v>
      </c>
      <c r="FT29" s="34" t="s">
        <v>32</v>
      </c>
      <c r="FU29" s="34"/>
      <c r="FV29" s="26" t="s">
        <v>32</v>
      </c>
      <c r="FW29" s="34" t="s">
        <v>32</v>
      </c>
      <c r="FX29" s="32" t="s">
        <v>32</v>
      </c>
      <c r="FY29" s="32"/>
      <c r="FZ29" s="34"/>
      <c r="GA29" s="28" t="s">
        <v>32</v>
      </c>
      <c r="GB29" s="28" t="s">
        <v>32</v>
      </c>
      <c r="GC29" s="82" t="s">
        <v>32</v>
      </c>
      <c r="GD29" s="34" t="s">
        <v>32</v>
      </c>
      <c r="GE29" s="32" t="s">
        <v>32</v>
      </c>
      <c r="GF29" s="32" t="s">
        <v>32</v>
      </c>
      <c r="GG29" s="29" t="s">
        <v>32</v>
      </c>
      <c r="GH29" s="28" t="s">
        <v>32</v>
      </c>
      <c r="GI29" s="26" t="s">
        <v>32</v>
      </c>
      <c r="GJ29" s="34" t="s">
        <v>32</v>
      </c>
      <c r="GK29" s="32" t="s">
        <v>32</v>
      </c>
      <c r="GL29" s="34"/>
      <c r="GM29" s="33">
        <f t="shared" si="23"/>
        <v>0</v>
      </c>
      <c r="GN29" s="24"/>
      <c r="GO29" s="25" t="s">
        <v>32</v>
      </c>
      <c r="GP29" s="28" t="s">
        <v>32</v>
      </c>
      <c r="GQ29" s="75" t="s">
        <v>32</v>
      </c>
      <c r="GR29" s="75" t="s">
        <v>32</v>
      </c>
      <c r="GS29" s="26"/>
      <c r="GT29" s="26"/>
      <c r="GU29" s="32">
        <f t="shared" si="7"/>
        <v>0</v>
      </c>
      <c r="GV29" s="34" t="s">
        <v>32</v>
      </c>
      <c r="GW29" s="34"/>
      <c r="GX29" s="26" t="s">
        <v>32</v>
      </c>
      <c r="GY29" s="34" t="s">
        <v>32</v>
      </c>
      <c r="GZ29" s="32" t="s">
        <v>32</v>
      </c>
      <c r="HA29" s="32"/>
      <c r="HB29" s="34"/>
      <c r="HC29" s="28" t="s">
        <v>32</v>
      </c>
      <c r="HD29" s="28" t="s">
        <v>32</v>
      </c>
      <c r="HE29" s="82" t="s">
        <v>32</v>
      </c>
      <c r="HF29" s="34" t="s">
        <v>32</v>
      </c>
      <c r="HG29" s="32" t="s">
        <v>32</v>
      </c>
      <c r="HH29" s="32" t="s">
        <v>32</v>
      </c>
      <c r="HI29" s="29" t="s">
        <v>32</v>
      </c>
      <c r="HJ29" s="28" t="s">
        <v>32</v>
      </c>
      <c r="HK29" s="26" t="s">
        <v>32</v>
      </c>
      <c r="HL29" s="34" t="s">
        <v>32</v>
      </c>
      <c r="HM29" s="32" t="s">
        <v>32</v>
      </c>
      <c r="HN29" s="34"/>
      <c r="HO29" s="33">
        <f t="shared" si="24"/>
        <v>0</v>
      </c>
      <c r="HP29" s="24"/>
      <c r="HQ29" s="25" t="s">
        <v>32</v>
      </c>
      <c r="HR29" s="28" t="s">
        <v>32</v>
      </c>
      <c r="HS29" s="75" t="s">
        <v>32</v>
      </c>
      <c r="HT29" s="75" t="s">
        <v>32</v>
      </c>
      <c r="HU29" s="26"/>
      <c r="HV29" s="26"/>
      <c r="HW29" s="32">
        <f t="shared" si="8"/>
        <v>0</v>
      </c>
      <c r="HX29" s="34" t="s">
        <v>32</v>
      </c>
      <c r="HY29" s="34"/>
      <c r="HZ29" s="26" t="s">
        <v>32</v>
      </c>
      <c r="IA29" s="34" t="s">
        <v>32</v>
      </c>
      <c r="IB29" s="32" t="s">
        <v>32</v>
      </c>
      <c r="IC29" s="32"/>
      <c r="ID29" s="34"/>
      <c r="IE29" s="28" t="s">
        <v>32</v>
      </c>
      <c r="IF29" s="28" t="s">
        <v>32</v>
      </c>
      <c r="IG29" s="82" t="s">
        <v>32</v>
      </c>
      <c r="IH29" s="34" t="s">
        <v>32</v>
      </c>
      <c r="II29" s="32" t="s">
        <v>32</v>
      </c>
      <c r="IJ29" s="32" t="s">
        <v>32</v>
      </c>
      <c r="IK29" s="29" t="s">
        <v>32</v>
      </c>
      <c r="IL29" s="28" t="s">
        <v>32</v>
      </c>
      <c r="IM29" s="26" t="s">
        <v>32</v>
      </c>
      <c r="IN29" s="34" t="s">
        <v>32</v>
      </c>
      <c r="IO29" s="32" t="s">
        <v>32</v>
      </c>
      <c r="IP29" s="34"/>
      <c r="IQ29" s="33">
        <f t="shared" si="25"/>
        <v>0</v>
      </c>
      <c r="IR29" s="111"/>
    </row>
    <row r="30" spans="1:252" x14ac:dyDescent="0.3">
      <c r="A30" s="25">
        <v>46140</v>
      </c>
      <c r="B30" s="28">
        <v>2385</v>
      </c>
      <c r="C30" s="75">
        <v>3977</v>
      </c>
      <c r="D30" s="75">
        <v>6</v>
      </c>
      <c r="E30" s="26">
        <v>1300</v>
      </c>
      <c r="F30" s="26">
        <v>44280</v>
      </c>
      <c r="G30" s="32">
        <f t="shared" si="0"/>
        <v>3540</v>
      </c>
      <c r="H30" s="34" t="s">
        <v>32</v>
      </c>
      <c r="I30" s="34"/>
      <c r="J30" s="26" t="s">
        <v>32</v>
      </c>
      <c r="K30" s="34" t="s">
        <v>32</v>
      </c>
      <c r="L30" s="32">
        <v>840</v>
      </c>
      <c r="M30" s="32"/>
      <c r="N30" s="34" t="s">
        <v>32</v>
      </c>
      <c r="O30" s="28" t="s">
        <v>32</v>
      </c>
      <c r="P30" s="28" t="s">
        <v>32</v>
      </c>
      <c r="Q30" s="82">
        <v>1950</v>
      </c>
      <c r="R30" s="34" t="s">
        <v>32</v>
      </c>
      <c r="S30" s="32" t="s">
        <v>32</v>
      </c>
      <c r="T30" s="32" t="s">
        <v>32</v>
      </c>
      <c r="U30" s="75">
        <v>750</v>
      </c>
      <c r="V30" s="28" t="s">
        <v>32</v>
      </c>
      <c r="W30" s="26" t="s">
        <v>32</v>
      </c>
      <c r="X30" s="34" t="s">
        <v>32</v>
      </c>
      <c r="Y30" s="32" t="s">
        <v>32</v>
      </c>
      <c r="Z30" s="34"/>
      <c r="AA30" s="33">
        <f t="shared" si="18"/>
        <v>3540</v>
      </c>
      <c r="AB30" s="24"/>
      <c r="AC30" s="25">
        <v>46170</v>
      </c>
      <c r="AD30" s="28">
        <v>2886</v>
      </c>
      <c r="AE30" s="75">
        <v>0</v>
      </c>
      <c r="AF30" s="75">
        <v>8.5</v>
      </c>
      <c r="AG30" s="26">
        <v>4942</v>
      </c>
      <c r="AH30" s="26">
        <v>206880</v>
      </c>
      <c r="AI30" s="32">
        <f t="shared" si="1"/>
        <v>381113</v>
      </c>
      <c r="AJ30" s="34">
        <v>44290</v>
      </c>
      <c r="AK30" s="34">
        <v>40210</v>
      </c>
      <c r="AL30" s="26">
        <v>232900</v>
      </c>
      <c r="AM30" s="34" t="s">
        <v>32</v>
      </c>
      <c r="AN30" s="32">
        <v>8000</v>
      </c>
      <c r="AO30" s="32"/>
      <c r="AP30" s="34">
        <v>17000</v>
      </c>
      <c r="AQ30" s="28" t="s">
        <v>32</v>
      </c>
      <c r="AR30" s="28" t="s">
        <v>32</v>
      </c>
      <c r="AS30" s="82">
        <v>4410</v>
      </c>
      <c r="AT30" s="34" t="s">
        <v>32</v>
      </c>
      <c r="AU30" s="32" t="s">
        <v>32</v>
      </c>
      <c r="AV30" s="32" t="s">
        <v>32</v>
      </c>
      <c r="AW30" s="75">
        <v>34303</v>
      </c>
      <c r="AX30" s="28" t="s">
        <v>32</v>
      </c>
      <c r="AY30" s="26" t="s">
        <v>32</v>
      </c>
      <c r="AZ30" s="34" t="s">
        <v>32</v>
      </c>
      <c r="BA30" s="32" t="s">
        <v>32</v>
      </c>
      <c r="BB30" s="34"/>
      <c r="BC30" s="33">
        <f t="shared" si="26"/>
        <v>381113</v>
      </c>
      <c r="BD30" s="129"/>
      <c r="BE30" s="25">
        <v>46201</v>
      </c>
      <c r="BF30" s="28">
        <v>2697</v>
      </c>
      <c r="BG30" s="75">
        <v>0</v>
      </c>
      <c r="BH30" s="75">
        <v>6</v>
      </c>
      <c r="BI30" s="26">
        <v>2206</v>
      </c>
      <c r="BJ30" s="26">
        <v>140016</v>
      </c>
      <c r="BK30" s="32">
        <f t="shared" si="2"/>
        <v>272475</v>
      </c>
      <c r="BL30" s="34">
        <v>18400</v>
      </c>
      <c r="BM30" s="34">
        <v>14200</v>
      </c>
      <c r="BN30" s="26">
        <v>238400</v>
      </c>
      <c r="BO30" s="34" t="s">
        <v>32</v>
      </c>
      <c r="BP30" s="32" t="s">
        <v>32</v>
      </c>
      <c r="BQ30" s="32"/>
      <c r="BR30" s="34" t="s">
        <v>32</v>
      </c>
      <c r="BS30" s="28" t="s">
        <v>32</v>
      </c>
      <c r="BT30" s="28" t="s">
        <v>32</v>
      </c>
      <c r="BU30" s="26">
        <v>975</v>
      </c>
      <c r="BV30" s="34" t="s">
        <v>32</v>
      </c>
      <c r="BW30" s="32" t="s">
        <v>32</v>
      </c>
      <c r="BX30" s="32" t="s">
        <v>32</v>
      </c>
      <c r="BY30" s="82" t="s">
        <v>32</v>
      </c>
      <c r="BZ30" s="28" t="s">
        <v>32</v>
      </c>
      <c r="CA30" s="26">
        <v>500</v>
      </c>
      <c r="CB30" s="34" t="s">
        <v>40</v>
      </c>
      <c r="CC30" s="32" t="s">
        <v>32</v>
      </c>
      <c r="CD30" s="34"/>
      <c r="CE30" s="33">
        <f t="shared" si="19"/>
        <v>272475</v>
      </c>
      <c r="CF30" s="24"/>
      <c r="CG30" s="25">
        <v>46231</v>
      </c>
      <c r="CH30" s="28" t="s">
        <v>32</v>
      </c>
      <c r="CI30" s="75" t="s">
        <v>32</v>
      </c>
      <c r="CJ30" s="75" t="s">
        <v>32</v>
      </c>
      <c r="CK30" s="26"/>
      <c r="CL30" s="26"/>
      <c r="CM30" s="32">
        <f t="shared" si="3"/>
        <v>0</v>
      </c>
      <c r="CN30" s="34" t="s">
        <v>32</v>
      </c>
      <c r="CO30" s="34"/>
      <c r="CP30" s="26" t="s">
        <v>32</v>
      </c>
      <c r="CQ30" s="34" t="s">
        <v>32</v>
      </c>
      <c r="CR30" s="32" t="s">
        <v>32</v>
      </c>
      <c r="CS30" s="32"/>
      <c r="CT30" s="34" t="s">
        <v>32</v>
      </c>
      <c r="CU30" s="28" t="s">
        <v>32</v>
      </c>
      <c r="CV30" s="28" t="s">
        <v>32</v>
      </c>
      <c r="CW30" s="82" t="s">
        <v>32</v>
      </c>
      <c r="CX30" s="34" t="s">
        <v>32</v>
      </c>
      <c r="CY30" s="32" t="s">
        <v>32</v>
      </c>
      <c r="CZ30" s="32" t="s">
        <v>32</v>
      </c>
      <c r="DA30" s="29" t="s">
        <v>32</v>
      </c>
      <c r="DB30" s="28" t="s">
        <v>32</v>
      </c>
      <c r="DC30" s="26" t="s">
        <v>32</v>
      </c>
      <c r="DD30" s="34" t="s">
        <v>32</v>
      </c>
      <c r="DE30" s="32" t="s">
        <v>32</v>
      </c>
      <c r="DF30" s="34"/>
      <c r="DG30" s="33">
        <f t="shared" si="20"/>
        <v>0</v>
      </c>
      <c r="DH30" s="24"/>
      <c r="DI30" s="25" t="s">
        <v>32</v>
      </c>
      <c r="DJ30" s="28" t="s">
        <v>32</v>
      </c>
      <c r="DK30" s="75" t="s">
        <v>32</v>
      </c>
      <c r="DL30" s="75" t="s">
        <v>32</v>
      </c>
      <c r="DM30" s="26"/>
      <c r="DN30" s="26"/>
      <c r="DO30" s="32">
        <f t="shared" si="4"/>
        <v>0</v>
      </c>
      <c r="DP30" s="34" t="s">
        <v>32</v>
      </c>
      <c r="DQ30" s="34"/>
      <c r="DR30" s="26" t="s">
        <v>32</v>
      </c>
      <c r="DS30" s="34" t="s">
        <v>32</v>
      </c>
      <c r="DT30" s="32" t="s">
        <v>32</v>
      </c>
      <c r="DU30" s="32"/>
      <c r="DV30" s="34" t="s">
        <v>32</v>
      </c>
      <c r="DW30" s="28" t="s">
        <v>32</v>
      </c>
      <c r="DX30" s="28" t="s">
        <v>32</v>
      </c>
      <c r="DY30" s="82" t="s">
        <v>32</v>
      </c>
      <c r="DZ30" s="34" t="s">
        <v>32</v>
      </c>
      <c r="EA30" s="32" t="s">
        <v>32</v>
      </c>
      <c r="EB30" s="32" t="s">
        <v>32</v>
      </c>
      <c r="EC30" s="29" t="s">
        <v>32</v>
      </c>
      <c r="ED30" s="28" t="s">
        <v>32</v>
      </c>
      <c r="EE30" s="26" t="s">
        <v>32</v>
      </c>
      <c r="EF30" s="34" t="s">
        <v>32</v>
      </c>
      <c r="EG30" s="32" t="s">
        <v>32</v>
      </c>
      <c r="EH30" s="34"/>
      <c r="EI30" s="33">
        <f t="shared" si="21"/>
        <v>0</v>
      </c>
      <c r="EJ30" s="24"/>
      <c r="EK30" s="25" t="s">
        <v>32</v>
      </c>
      <c r="EL30" s="28" t="s">
        <v>32</v>
      </c>
      <c r="EM30" s="75" t="s">
        <v>32</v>
      </c>
      <c r="EN30" s="75" t="s">
        <v>32</v>
      </c>
      <c r="EO30" s="26"/>
      <c r="EP30" s="26"/>
      <c r="EQ30" s="32">
        <f t="shared" si="5"/>
        <v>0</v>
      </c>
      <c r="ER30" s="34" t="s">
        <v>32</v>
      </c>
      <c r="ES30" s="34"/>
      <c r="ET30" s="26" t="s">
        <v>32</v>
      </c>
      <c r="EU30" s="34" t="s">
        <v>32</v>
      </c>
      <c r="EV30" s="32" t="s">
        <v>32</v>
      </c>
      <c r="EW30" s="32"/>
      <c r="EX30" s="34" t="s">
        <v>32</v>
      </c>
      <c r="EY30" s="28" t="s">
        <v>32</v>
      </c>
      <c r="EZ30" s="28" t="s">
        <v>32</v>
      </c>
      <c r="FA30" s="82" t="s">
        <v>32</v>
      </c>
      <c r="FB30" s="34" t="s">
        <v>32</v>
      </c>
      <c r="FC30" s="32" t="s">
        <v>32</v>
      </c>
      <c r="FD30" s="32" t="s">
        <v>32</v>
      </c>
      <c r="FE30" s="29" t="s">
        <v>32</v>
      </c>
      <c r="FF30" s="28" t="s">
        <v>32</v>
      </c>
      <c r="FG30" s="26" t="s">
        <v>32</v>
      </c>
      <c r="FH30" s="34" t="s">
        <v>32</v>
      </c>
      <c r="FI30" s="32" t="s">
        <v>32</v>
      </c>
      <c r="FJ30" s="34"/>
      <c r="FK30" s="33">
        <f t="shared" si="22"/>
        <v>0</v>
      </c>
      <c r="FL30" s="24"/>
      <c r="FM30" s="25" t="s">
        <v>32</v>
      </c>
      <c r="FN30" s="28" t="s">
        <v>32</v>
      </c>
      <c r="FO30" s="75" t="s">
        <v>32</v>
      </c>
      <c r="FP30" s="75" t="s">
        <v>32</v>
      </c>
      <c r="FQ30" s="26"/>
      <c r="FR30" s="26"/>
      <c r="FS30" s="32">
        <f t="shared" si="6"/>
        <v>0</v>
      </c>
      <c r="FT30" s="34" t="s">
        <v>32</v>
      </c>
      <c r="FU30" s="34"/>
      <c r="FV30" s="26" t="s">
        <v>32</v>
      </c>
      <c r="FW30" s="34" t="s">
        <v>32</v>
      </c>
      <c r="FX30" s="32" t="s">
        <v>32</v>
      </c>
      <c r="FY30" s="32"/>
      <c r="FZ30" s="34" t="s">
        <v>32</v>
      </c>
      <c r="GA30" s="28" t="s">
        <v>32</v>
      </c>
      <c r="GB30" s="28" t="s">
        <v>32</v>
      </c>
      <c r="GC30" s="82" t="s">
        <v>32</v>
      </c>
      <c r="GD30" s="34" t="s">
        <v>32</v>
      </c>
      <c r="GE30" s="32" t="s">
        <v>32</v>
      </c>
      <c r="GF30" s="32" t="s">
        <v>32</v>
      </c>
      <c r="GG30" s="29" t="s">
        <v>32</v>
      </c>
      <c r="GH30" s="28" t="s">
        <v>32</v>
      </c>
      <c r="GI30" s="26" t="s">
        <v>32</v>
      </c>
      <c r="GJ30" s="34" t="s">
        <v>32</v>
      </c>
      <c r="GK30" s="32" t="s">
        <v>32</v>
      </c>
      <c r="GL30" s="34"/>
      <c r="GM30" s="33">
        <f t="shared" si="23"/>
        <v>0</v>
      </c>
      <c r="GN30" s="24"/>
      <c r="GO30" s="25" t="s">
        <v>32</v>
      </c>
      <c r="GP30" s="28" t="s">
        <v>32</v>
      </c>
      <c r="GQ30" s="75" t="s">
        <v>32</v>
      </c>
      <c r="GR30" s="75" t="s">
        <v>32</v>
      </c>
      <c r="GS30" s="26"/>
      <c r="GT30" s="26"/>
      <c r="GU30" s="32">
        <f t="shared" si="7"/>
        <v>0</v>
      </c>
      <c r="GV30" s="34" t="s">
        <v>32</v>
      </c>
      <c r="GW30" s="34"/>
      <c r="GX30" s="26" t="s">
        <v>32</v>
      </c>
      <c r="GY30" s="34" t="s">
        <v>32</v>
      </c>
      <c r="GZ30" s="32" t="s">
        <v>32</v>
      </c>
      <c r="HA30" s="32"/>
      <c r="HB30" s="34" t="s">
        <v>32</v>
      </c>
      <c r="HC30" s="28" t="s">
        <v>32</v>
      </c>
      <c r="HD30" s="28" t="s">
        <v>32</v>
      </c>
      <c r="HE30" s="82" t="s">
        <v>32</v>
      </c>
      <c r="HF30" s="34" t="s">
        <v>32</v>
      </c>
      <c r="HG30" s="32" t="s">
        <v>32</v>
      </c>
      <c r="HH30" s="32" t="s">
        <v>32</v>
      </c>
      <c r="HI30" s="29" t="s">
        <v>32</v>
      </c>
      <c r="HJ30" s="28" t="s">
        <v>32</v>
      </c>
      <c r="HK30" s="26" t="s">
        <v>32</v>
      </c>
      <c r="HL30" s="34" t="s">
        <v>32</v>
      </c>
      <c r="HM30" s="32" t="s">
        <v>32</v>
      </c>
      <c r="HN30" s="34"/>
      <c r="HO30" s="33">
        <f t="shared" si="24"/>
        <v>0</v>
      </c>
      <c r="HP30" s="24"/>
      <c r="HQ30" s="25" t="s">
        <v>32</v>
      </c>
      <c r="HR30" s="28" t="s">
        <v>32</v>
      </c>
      <c r="HS30" s="75" t="s">
        <v>32</v>
      </c>
      <c r="HT30" s="75" t="s">
        <v>32</v>
      </c>
      <c r="HU30" s="26"/>
      <c r="HV30" s="26"/>
      <c r="HW30" s="32">
        <f t="shared" si="8"/>
        <v>0</v>
      </c>
      <c r="HX30" s="34" t="s">
        <v>32</v>
      </c>
      <c r="HY30" s="34"/>
      <c r="HZ30" s="26" t="s">
        <v>32</v>
      </c>
      <c r="IA30" s="34" t="s">
        <v>32</v>
      </c>
      <c r="IB30" s="32" t="s">
        <v>32</v>
      </c>
      <c r="IC30" s="32"/>
      <c r="ID30" s="34" t="s">
        <v>32</v>
      </c>
      <c r="IE30" s="28" t="s">
        <v>32</v>
      </c>
      <c r="IF30" s="28" t="s">
        <v>32</v>
      </c>
      <c r="IG30" s="82" t="s">
        <v>32</v>
      </c>
      <c r="IH30" s="34" t="s">
        <v>32</v>
      </c>
      <c r="II30" s="32" t="s">
        <v>32</v>
      </c>
      <c r="IJ30" s="32" t="s">
        <v>32</v>
      </c>
      <c r="IK30" s="29" t="s">
        <v>32</v>
      </c>
      <c r="IL30" s="28" t="s">
        <v>32</v>
      </c>
      <c r="IM30" s="26" t="s">
        <v>32</v>
      </c>
      <c r="IN30" s="34" t="s">
        <v>32</v>
      </c>
      <c r="IO30" s="32" t="s">
        <v>32</v>
      </c>
      <c r="IP30" s="34"/>
      <c r="IQ30" s="33">
        <f t="shared" si="25"/>
        <v>0</v>
      </c>
      <c r="IR30" s="111"/>
    </row>
    <row r="31" spans="1:252" x14ac:dyDescent="0.3">
      <c r="A31" s="25">
        <v>46141</v>
      </c>
      <c r="B31" s="28">
        <v>657</v>
      </c>
      <c r="C31" s="75">
        <v>1995</v>
      </c>
      <c r="D31" s="75">
        <v>3.25</v>
      </c>
      <c r="E31" s="26">
        <v>0</v>
      </c>
      <c r="F31" s="26">
        <v>0</v>
      </c>
      <c r="G31" s="32">
        <f t="shared" si="0"/>
        <v>0</v>
      </c>
      <c r="H31" s="34" t="s">
        <v>32</v>
      </c>
      <c r="I31" s="34" t="s">
        <v>32</v>
      </c>
      <c r="J31" s="26" t="s">
        <v>32</v>
      </c>
      <c r="K31" s="34" t="s">
        <v>32</v>
      </c>
      <c r="L31" s="32" t="s">
        <v>32</v>
      </c>
      <c r="M31" s="32" t="s">
        <v>32</v>
      </c>
      <c r="N31" s="34" t="s">
        <v>32</v>
      </c>
      <c r="O31" s="28" t="s">
        <v>32</v>
      </c>
      <c r="P31" s="28" t="s">
        <v>32</v>
      </c>
      <c r="Q31" s="82" t="s">
        <v>32</v>
      </c>
      <c r="R31" s="34" t="s">
        <v>32</v>
      </c>
      <c r="S31" s="32" t="s">
        <v>32</v>
      </c>
      <c r="T31" s="32" t="s">
        <v>32</v>
      </c>
      <c r="U31" s="75" t="s">
        <v>32</v>
      </c>
      <c r="V31" s="28" t="s">
        <v>32</v>
      </c>
      <c r="W31" s="26" t="s">
        <v>32</v>
      </c>
      <c r="X31" s="34" t="s">
        <v>32</v>
      </c>
      <c r="Y31" s="32" t="s">
        <v>32</v>
      </c>
      <c r="Z31" s="34" t="s">
        <v>32</v>
      </c>
      <c r="AA31" s="33">
        <f t="shared" si="18"/>
        <v>0</v>
      </c>
      <c r="AB31" s="24"/>
      <c r="AC31" s="25">
        <v>46171</v>
      </c>
      <c r="AD31" s="28">
        <v>1762</v>
      </c>
      <c r="AE31" s="75">
        <v>3493</v>
      </c>
      <c r="AF31" s="75">
        <v>8</v>
      </c>
      <c r="AG31" s="26">
        <v>3160</v>
      </c>
      <c r="AH31" s="26">
        <v>123100</v>
      </c>
      <c r="AI31" s="32">
        <f t="shared" si="1"/>
        <v>191188</v>
      </c>
      <c r="AJ31" s="34">
        <v>14630</v>
      </c>
      <c r="AK31" s="34">
        <v>13370</v>
      </c>
      <c r="AL31" s="26">
        <v>139147</v>
      </c>
      <c r="AM31" s="34" t="s">
        <v>32</v>
      </c>
      <c r="AN31" s="32">
        <v>2800</v>
      </c>
      <c r="AO31" s="32"/>
      <c r="AP31" s="34" t="s">
        <v>32</v>
      </c>
      <c r="AQ31" s="28" t="s">
        <v>32</v>
      </c>
      <c r="AR31" s="28" t="s">
        <v>32</v>
      </c>
      <c r="AS31" s="82">
        <v>620</v>
      </c>
      <c r="AT31" s="34" t="s">
        <v>32</v>
      </c>
      <c r="AU31" s="32" t="s">
        <v>32</v>
      </c>
      <c r="AV31" s="32" t="s">
        <v>32</v>
      </c>
      <c r="AW31" s="75">
        <v>20621</v>
      </c>
      <c r="AX31" s="28" t="s">
        <v>32</v>
      </c>
      <c r="AY31" s="26" t="s">
        <v>32</v>
      </c>
      <c r="AZ31" s="34" t="s">
        <v>32</v>
      </c>
      <c r="BA31" s="32" t="s">
        <v>32</v>
      </c>
      <c r="BB31" s="34"/>
      <c r="BC31" s="33">
        <f t="shared" si="26"/>
        <v>191188</v>
      </c>
      <c r="BD31" s="129"/>
      <c r="BE31" s="25">
        <v>46202</v>
      </c>
      <c r="BF31" s="28">
        <v>3865</v>
      </c>
      <c r="BG31" s="75">
        <v>8478</v>
      </c>
      <c r="BH31" s="75">
        <v>12</v>
      </c>
      <c r="BI31" s="26">
        <v>0</v>
      </c>
      <c r="BJ31" s="26">
        <v>0</v>
      </c>
      <c r="BK31" s="32">
        <f t="shared" si="2"/>
        <v>0</v>
      </c>
      <c r="BL31" s="34" t="s">
        <v>32</v>
      </c>
      <c r="BM31" s="34" t="s">
        <v>32</v>
      </c>
      <c r="BN31" s="26" t="s">
        <v>32</v>
      </c>
      <c r="BO31" s="34" t="s">
        <v>32</v>
      </c>
      <c r="BP31" s="32" t="s">
        <v>32</v>
      </c>
      <c r="BQ31" s="32" t="s">
        <v>32</v>
      </c>
      <c r="BR31" s="34" t="s">
        <v>32</v>
      </c>
      <c r="BS31" s="28" t="s">
        <v>32</v>
      </c>
      <c r="BT31" s="28" t="s">
        <v>32</v>
      </c>
      <c r="BU31" s="26" t="s">
        <v>32</v>
      </c>
      <c r="BV31" s="34" t="s">
        <v>32</v>
      </c>
      <c r="BW31" s="32" t="s">
        <v>32</v>
      </c>
      <c r="BX31" s="32" t="s">
        <v>32</v>
      </c>
      <c r="BY31" s="82" t="s">
        <v>32</v>
      </c>
      <c r="BZ31" s="28" t="s">
        <v>32</v>
      </c>
      <c r="CA31" s="26" t="s">
        <v>32</v>
      </c>
      <c r="CB31" s="34" t="s">
        <v>32</v>
      </c>
      <c r="CC31" s="32" t="s">
        <v>32</v>
      </c>
      <c r="CD31" s="34" t="s">
        <v>32</v>
      </c>
      <c r="CE31" s="33">
        <f t="shared" si="19"/>
        <v>0</v>
      </c>
      <c r="CF31" s="24"/>
      <c r="CG31" s="25">
        <v>46232</v>
      </c>
      <c r="CH31" s="28" t="s">
        <v>32</v>
      </c>
      <c r="CI31" s="75" t="s">
        <v>32</v>
      </c>
      <c r="CJ31" s="75" t="s">
        <v>32</v>
      </c>
      <c r="CK31" s="26"/>
      <c r="CL31" s="26"/>
      <c r="CM31" s="32">
        <f t="shared" si="3"/>
        <v>0</v>
      </c>
      <c r="CN31" s="34" t="s">
        <v>32</v>
      </c>
      <c r="CO31" s="34" t="s">
        <v>32</v>
      </c>
      <c r="CP31" s="26" t="s">
        <v>32</v>
      </c>
      <c r="CQ31" s="34" t="s">
        <v>32</v>
      </c>
      <c r="CR31" s="32" t="s">
        <v>32</v>
      </c>
      <c r="CS31" s="32" t="s">
        <v>32</v>
      </c>
      <c r="CT31" s="34" t="s">
        <v>32</v>
      </c>
      <c r="CU31" s="28" t="s">
        <v>32</v>
      </c>
      <c r="CV31" s="28" t="s">
        <v>32</v>
      </c>
      <c r="CW31" s="82" t="s">
        <v>32</v>
      </c>
      <c r="CX31" s="34" t="s">
        <v>32</v>
      </c>
      <c r="CY31" s="32" t="s">
        <v>32</v>
      </c>
      <c r="CZ31" s="32" t="s">
        <v>32</v>
      </c>
      <c r="DA31" s="29" t="s">
        <v>32</v>
      </c>
      <c r="DB31" s="28" t="s">
        <v>32</v>
      </c>
      <c r="DC31" s="26" t="s">
        <v>32</v>
      </c>
      <c r="DD31" s="34" t="s">
        <v>32</v>
      </c>
      <c r="DE31" s="32" t="s">
        <v>32</v>
      </c>
      <c r="DF31" s="34" t="s">
        <v>32</v>
      </c>
      <c r="DG31" s="33">
        <f t="shared" si="20"/>
        <v>0</v>
      </c>
      <c r="DH31" s="24"/>
      <c r="DI31" s="25" t="s">
        <v>32</v>
      </c>
      <c r="DJ31" s="28" t="s">
        <v>32</v>
      </c>
      <c r="DK31" s="75" t="s">
        <v>32</v>
      </c>
      <c r="DL31" s="75" t="s">
        <v>32</v>
      </c>
      <c r="DM31" s="26"/>
      <c r="DN31" s="26"/>
      <c r="DO31" s="32">
        <f t="shared" si="4"/>
        <v>0</v>
      </c>
      <c r="DP31" s="34" t="s">
        <v>32</v>
      </c>
      <c r="DQ31" s="34" t="s">
        <v>32</v>
      </c>
      <c r="DR31" s="26" t="s">
        <v>32</v>
      </c>
      <c r="DS31" s="34" t="s">
        <v>32</v>
      </c>
      <c r="DT31" s="32" t="s">
        <v>32</v>
      </c>
      <c r="DU31" s="32" t="s">
        <v>32</v>
      </c>
      <c r="DV31" s="34" t="s">
        <v>32</v>
      </c>
      <c r="DW31" s="28" t="s">
        <v>32</v>
      </c>
      <c r="DX31" s="28" t="s">
        <v>32</v>
      </c>
      <c r="DY31" s="82" t="s">
        <v>32</v>
      </c>
      <c r="DZ31" s="34" t="s">
        <v>32</v>
      </c>
      <c r="EA31" s="32" t="s">
        <v>32</v>
      </c>
      <c r="EB31" s="32" t="s">
        <v>32</v>
      </c>
      <c r="EC31" s="29" t="s">
        <v>32</v>
      </c>
      <c r="ED31" s="28" t="s">
        <v>32</v>
      </c>
      <c r="EE31" s="26" t="s">
        <v>32</v>
      </c>
      <c r="EF31" s="34" t="s">
        <v>32</v>
      </c>
      <c r="EG31" s="32" t="s">
        <v>32</v>
      </c>
      <c r="EH31" s="34" t="s">
        <v>32</v>
      </c>
      <c r="EI31" s="33">
        <f t="shared" si="21"/>
        <v>0</v>
      </c>
      <c r="EJ31" s="24"/>
      <c r="EK31" s="25" t="s">
        <v>32</v>
      </c>
      <c r="EL31" s="28" t="s">
        <v>32</v>
      </c>
      <c r="EM31" s="75" t="s">
        <v>32</v>
      </c>
      <c r="EN31" s="75" t="s">
        <v>32</v>
      </c>
      <c r="EO31" s="26"/>
      <c r="EP31" s="26"/>
      <c r="EQ31" s="32">
        <f t="shared" si="5"/>
        <v>0</v>
      </c>
      <c r="ER31" s="34" t="s">
        <v>32</v>
      </c>
      <c r="ES31" s="34" t="s">
        <v>32</v>
      </c>
      <c r="ET31" s="26" t="s">
        <v>32</v>
      </c>
      <c r="EU31" s="34" t="s">
        <v>32</v>
      </c>
      <c r="EV31" s="32" t="s">
        <v>32</v>
      </c>
      <c r="EW31" s="32" t="s">
        <v>32</v>
      </c>
      <c r="EX31" s="34" t="s">
        <v>32</v>
      </c>
      <c r="EY31" s="28" t="s">
        <v>32</v>
      </c>
      <c r="EZ31" s="28" t="s">
        <v>32</v>
      </c>
      <c r="FA31" s="82" t="s">
        <v>32</v>
      </c>
      <c r="FB31" s="34" t="s">
        <v>32</v>
      </c>
      <c r="FC31" s="32" t="s">
        <v>32</v>
      </c>
      <c r="FD31" s="32" t="s">
        <v>32</v>
      </c>
      <c r="FE31" s="29" t="s">
        <v>32</v>
      </c>
      <c r="FF31" s="28" t="s">
        <v>32</v>
      </c>
      <c r="FG31" s="26" t="s">
        <v>32</v>
      </c>
      <c r="FH31" s="34" t="s">
        <v>32</v>
      </c>
      <c r="FI31" s="32" t="s">
        <v>32</v>
      </c>
      <c r="FJ31" s="34" t="s">
        <v>32</v>
      </c>
      <c r="FK31" s="33">
        <f t="shared" si="22"/>
        <v>0</v>
      </c>
      <c r="FL31" s="24"/>
      <c r="FM31" s="25" t="s">
        <v>32</v>
      </c>
      <c r="FN31" s="28" t="s">
        <v>32</v>
      </c>
      <c r="FO31" s="75" t="s">
        <v>32</v>
      </c>
      <c r="FP31" s="75" t="s">
        <v>32</v>
      </c>
      <c r="FQ31" s="26"/>
      <c r="FR31" s="26"/>
      <c r="FS31" s="32">
        <f t="shared" si="6"/>
        <v>0</v>
      </c>
      <c r="FT31" s="34" t="s">
        <v>32</v>
      </c>
      <c r="FU31" s="34" t="s">
        <v>32</v>
      </c>
      <c r="FV31" s="26" t="s">
        <v>32</v>
      </c>
      <c r="FW31" s="34" t="s">
        <v>32</v>
      </c>
      <c r="FX31" s="32" t="s">
        <v>32</v>
      </c>
      <c r="FY31" s="32" t="s">
        <v>32</v>
      </c>
      <c r="FZ31" s="34" t="s">
        <v>32</v>
      </c>
      <c r="GA31" s="28" t="s">
        <v>32</v>
      </c>
      <c r="GB31" s="28" t="s">
        <v>32</v>
      </c>
      <c r="GC31" s="82" t="s">
        <v>32</v>
      </c>
      <c r="GD31" s="34" t="s">
        <v>32</v>
      </c>
      <c r="GE31" s="32" t="s">
        <v>32</v>
      </c>
      <c r="GF31" s="32" t="s">
        <v>32</v>
      </c>
      <c r="GG31" s="29" t="s">
        <v>32</v>
      </c>
      <c r="GH31" s="28" t="s">
        <v>32</v>
      </c>
      <c r="GI31" s="26" t="s">
        <v>32</v>
      </c>
      <c r="GJ31" s="34" t="s">
        <v>32</v>
      </c>
      <c r="GK31" s="32" t="s">
        <v>32</v>
      </c>
      <c r="GL31" s="34" t="s">
        <v>32</v>
      </c>
      <c r="GM31" s="33">
        <f t="shared" si="23"/>
        <v>0</v>
      </c>
      <c r="GN31" s="24"/>
      <c r="GO31" s="25" t="s">
        <v>32</v>
      </c>
      <c r="GP31" s="28" t="s">
        <v>32</v>
      </c>
      <c r="GQ31" s="75" t="s">
        <v>32</v>
      </c>
      <c r="GR31" s="75" t="s">
        <v>32</v>
      </c>
      <c r="GS31" s="26"/>
      <c r="GT31" s="26"/>
      <c r="GU31" s="32">
        <f t="shared" si="7"/>
        <v>0</v>
      </c>
      <c r="GV31" s="34" t="s">
        <v>32</v>
      </c>
      <c r="GW31" s="34" t="s">
        <v>32</v>
      </c>
      <c r="GX31" s="26" t="s">
        <v>32</v>
      </c>
      <c r="GY31" s="34" t="s">
        <v>32</v>
      </c>
      <c r="GZ31" s="32" t="s">
        <v>32</v>
      </c>
      <c r="HA31" s="32" t="s">
        <v>32</v>
      </c>
      <c r="HB31" s="34" t="s">
        <v>32</v>
      </c>
      <c r="HC31" s="28" t="s">
        <v>32</v>
      </c>
      <c r="HD31" s="28" t="s">
        <v>32</v>
      </c>
      <c r="HE31" s="82" t="s">
        <v>32</v>
      </c>
      <c r="HF31" s="34" t="s">
        <v>32</v>
      </c>
      <c r="HG31" s="32" t="s">
        <v>32</v>
      </c>
      <c r="HH31" s="32" t="s">
        <v>32</v>
      </c>
      <c r="HI31" s="29" t="s">
        <v>32</v>
      </c>
      <c r="HJ31" s="28" t="s">
        <v>32</v>
      </c>
      <c r="HK31" s="26" t="s">
        <v>32</v>
      </c>
      <c r="HL31" s="34" t="s">
        <v>32</v>
      </c>
      <c r="HM31" s="32" t="s">
        <v>32</v>
      </c>
      <c r="HN31" s="34" t="s">
        <v>32</v>
      </c>
      <c r="HO31" s="33">
        <f t="shared" si="24"/>
        <v>0</v>
      </c>
      <c r="HP31" s="24"/>
      <c r="HQ31" s="25" t="s">
        <v>32</v>
      </c>
      <c r="HR31" s="28" t="s">
        <v>32</v>
      </c>
      <c r="HS31" s="75" t="s">
        <v>32</v>
      </c>
      <c r="HT31" s="75" t="s">
        <v>32</v>
      </c>
      <c r="HU31" s="26"/>
      <c r="HV31" s="26"/>
      <c r="HW31" s="32">
        <f t="shared" si="8"/>
        <v>0</v>
      </c>
      <c r="HX31" s="34" t="s">
        <v>32</v>
      </c>
      <c r="HY31" s="34" t="s">
        <v>32</v>
      </c>
      <c r="HZ31" s="26" t="s">
        <v>32</v>
      </c>
      <c r="IA31" s="34" t="s">
        <v>32</v>
      </c>
      <c r="IB31" s="32" t="s">
        <v>32</v>
      </c>
      <c r="IC31" s="32" t="s">
        <v>32</v>
      </c>
      <c r="ID31" s="34" t="s">
        <v>32</v>
      </c>
      <c r="IE31" s="28" t="s">
        <v>32</v>
      </c>
      <c r="IF31" s="28" t="s">
        <v>32</v>
      </c>
      <c r="IG31" s="82" t="s">
        <v>32</v>
      </c>
      <c r="IH31" s="34" t="s">
        <v>32</v>
      </c>
      <c r="II31" s="32" t="s">
        <v>32</v>
      </c>
      <c r="IJ31" s="32" t="s">
        <v>32</v>
      </c>
      <c r="IK31" s="29" t="s">
        <v>32</v>
      </c>
      <c r="IL31" s="28" t="s">
        <v>32</v>
      </c>
      <c r="IM31" s="26" t="s">
        <v>32</v>
      </c>
      <c r="IN31" s="34" t="s">
        <v>32</v>
      </c>
      <c r="IO31" s="32" t="s">
        <v>32</v>
      </c>
      <c r="IP31" s="34" t="s">
        <v>32</v>
      </c>
      <c r="IQ31" s="33">
        <f t="shared" si="25"/>
        <v>0</v>
      </c>
      <c r="IR31" s="111"/>
    </row>
    <row r="32" spans="1:252" x14ac:dyDescent="0.3">
      <c r="A32" s="25">
        <v>46142</v>
      </c>
      <c r="B32" s="28">
        <v>199</v>
      </c>
      <c r="C32" s="75">
        <v>2197</v>
      </c>
      <c r="D32" s="75">
        <v>3.5</v>
      </c>
      <c r="E32" s="26">
        <v>1319</v>
      </c>
      <c r="F32" s="26">
        <v>86450</v>
      </c>
      <c r="G32" s="32">
        <f t="shared" si="0"/>
        <v>716263</v>
      </c>
      <c r="H32" s="34">
        <v>19790</v>
      </c>
      <c r="I32" s="34">
        <v>18010</v>
      </c>
      <c r="J32" s="26" t="s">
        <v>32</v>
      </c>
      <c r="K32" s="34">
        <v>150000</v>
      </c>
      <c r="L32" s="32">
        <v>5010</v>
      </c>
      <c r="M32" s="32"/>
      <c r="N32" s="34" t="s">
        <v>32</v>
      </c>
      <c r="O32" s="28" t="s">
        <v>32</v>
      </c>
      <c r="P32" s="28" t="s">
        <v>32</v>
      </c>
      <c r="Q32" s="82">
        <v>5735</v>
      </c>
      <c r="R32" s="34">
        <v>6200</v>
      </c>
      <c r="S32" s="32">
        <v>457840</v>
      </c>
      <c r="T32" s="32" t="s">
        <v>186</v>
      </c>
      <c r="U32" s="75" t="s">
        <v>32</v>
      </c>
      <c r="V32" s="28" t="s">
        <v>32</v>
      </c>
      <c r="W32" s="26">
        <v>10000</v>
      </c>
      <c r="X32" s="34" t="s">
        <v>32</v>
      </c>
      <c r="Y32" s="32">
        <v>43678</v>
      </c>
      <c r="Z32" s="34" t="s">
        <v>187</v>
      </c>
      <c r="AA32" s="33">
        <f t="shared" si="18"/>
        <v>716263</v>
      </c>
      <c r="AB32" s="24"/>
      <c r="AC32" s="25">
        <v>46172</v>
      </c>
      <c r="AD32" s="28">
        <v>2027</v>
      </c>
      <c r="AE32" s="75">
        <v>6172</v>
      </c>
      <c r="AF32" s="75">
        <v>9</v>
      </c>
      <c r="AG32" s="26">
        <v>0</v>
      </c>
      <c r="AH32" s="26">
        <v>0</v>
      </c>
      <c r="AI32" s="32">
        <f t="shared" si="1"/>
        <v>0</v>
      </c>
      <c r="AJ32" s="34" t="s">
        <v>32</v>
      </c>
      <c r="AK32" s="34" t="s">
        <v>32</v>
      </c>
      <c r="AL32" s="26" t="s">
        <v>32</v>
      </c>
      <c r="AM32" s="34" t="s">
        <v>32</v>
      </c>
      <c r="AN32" s="32" t="s">
        <v>32</v>
      </c>
      <c r="AO32" s="32" t="s">
        <v>32</v>
      </c>
      <c r="AP32" s="34" t="s">
        <v>32</v>
      </c>
      <c r="AQ32" s="28" t="s">
        <v>32</v>
      </c>
      <c r="AR32" s="28" t="s">
        <v>32</v>
      </c>
      <c r="AS32" s="82" t="s">
        <v>32</v>
      </c>
      <c r="AT32" s="34" t="s">
        <v>32</v>
      </c>
      <c r="AU32" s="32" t="s">
        <v>32</v>
      </c>
      <c r="AV32" s="32" t="s">
        <v>32</v>
      </c>
      <c r="AW32" s="75" t="s">
        <v>32</v>
      </c>
      <c r="AX32" s="28" t="s">
        <v>32</v>
      </c>
      <c r="AY32" s="26" t="s">
        <v>32</v>
      </c>
      <c r="AZ32" s="34" t="s">
        <v>32</v>
      </c>
      <c r="BA32" s="32" t="s">
        <v>32</v>
      </c>
      <c r="BB32" s="34" t="s">
        <v>32</v>
      </c>
      <c r="BC32" s="33">
        <f t="shared" si="26"/>
        <v>0</v>
      </c>
      <c r="BD32" s="129"/>
      <c r="BE32" s="25">
        <v>46203</v>
      </c>
      <c r="BF32" s="28">
        <v>3858</v>
      </c>
      <c r="BG32" s="75">
        <v>0</v>
      </c>
      <c r="BH32" s="75">
        <v>7</v>
      </c>
      <c r="BI32" s="26">
        <v>4245</v>
      </c>
      <c r="BJ32" s="26">
        <v>206712</v>
      </c>
      <c r="BK32" s="32">
        <f t="shared" si="2"/>
        <v>808831</v>
      </c>
      <c r="BL32" s="34">
        <v>43630</v>
      </c>
      <c r="BM32" s="34">
        <v>35670</v>
      </c>
      <c r="BN32" s="26">
        <v>216700</v>
      </c>
      <c r="BO32" s="34">
        <v>45000</v>
      </c>
      <c r="BP32" s="32" t="s">
        <v>32</v>
      </c>
      <c r="BQ32" s="32"/>
      <c r="BR32" s="34">
        <v>26000</v>
      </c>
      <c r="BS32" s="28">
        <v>2500</v>
      </c>
      <c r="BT32" s="28" t="s">
        <v>32</v>
      </c>
      <c r="BU32" s="26">
        <v>1740</v>
      </c>
      <c r="BV32" s="34" t="s">
        <v>32</v>
      </c>
      <c r="BW32" s="32">
        <v>412148</v>
      </c>
      <c r="BX32" s="32" t="s">
        <v>195</v>
      </c>
      <c r="BY32" s="82" t="s">
        <v>32</v>
      </c>
      <c r="BZ32" s="28" t="s">
        <v>32</v>
      </c>
      <c r="CA32" s="26">
        <v>25443</v>
      </c>
      <c r="CB32" s="34" t="s">
        <v>196</v>
      </c>
      <c r="CC32" s="32" t="s">
        <v>32</v>
      </c>
      <c r="CD32" s="34" t="s">
        <v>32</v>
      </c>
      <c r="CE32" s="33">
        <f t="shared" si="19"/>
        <v>808831</v>
      </c>
      <c r="CF32" s="24"/>
      <c r="CG32" s="25">
        <v>46233</v>
      </c>
      <c r="CH32" s="28" t="s">
        <v>32</v>
      </c>
      <c r="CI32" s="75" t="s">
        <v>33</v>
      </c>
      <c r="CJ32" s="75" t="s">
        <v>32</v>
      </c>
      <c r="CK32" s="26"/>
      <c r="CL32" s="26"/>
      <c r="CM32" s="32">
        <f t="shared" si="3"/>
        <v>0</v>
      </c>
      <c r="CN32" s="34" t="s">
        <v>32</v>
      </c>
      <c r="CO32" s="34"/>
      <c r="CP32" s="26" t="s">
        <v>32</v>
      </c>
      <c r="CQ32" s="34" t="s">
        <v>32</v>
      </c>
      <c r="CR32" s="32" t="s">
        <v>32</v>
      </c>
      <c r="CS32" s="32"/>
      <c r="CT32" s="34" t="s">
        <v>32</v>
      </c>
      <c r="CU32" s="28" t="s">
        <v>32</v>
      </c>
      <c r="CV32" s="28" t="s">
        <v>32</v>
      </c>
      <c r="CW32" s="82" t="s">
        <v>32</v>
      </c>
      <c r="CX32" s="34" t="s">
        <v>32</v>
      </c>
      <c r="CY32" s="32" t="s">
        <v>32</v>
      </c>
      <c r="CZ32" s="32" t="s">
        <v>32</v>
      </c>
      <c r="DA32" s="29" t="s">
        <v>32</v>
      </c>
      <c r="DB32" s="28" t="s">
        <v>32</v>
      </c>
      <c r="DC32" s="26" t="s">
        <v>32</v>
      </c>
      <c r="DD32" s="34" t="s">
        <v>32</v>
      </c>
      <c r="DE32" s="32" t="s">
        <v>32</v>
      </c>
      <c r="DF32" s="34" t="s">
        <v>32</v>
      </c>
      <c r="DG32" s="33">
        <f t="shared" si="20"/>
        <v>0</v>
      </c>
      <c r="DH32" s="24"/>
      <c r="DI32" s="25" t="s">
        <v>32</v>
      </c>
      <c r="DJ32" s="28" t="s">
        <v>32</v>
      </c>
      <c r="DK32" s="75" t="s">
        <v>33</v>
      </c>
      <c r="DL32" s="75" t="s">
        <v>32</v>
      </c>
      <c r="DM32" s="26"/>
      <c r="DN32" s="26"/>
      <c r="DO32" s="32">
        <f t="shared" si="4"/>
        <v>0</v>
      </c>
      <c r="DP32" s="34" t="s">
        <v>32</v>
      </c>
      <c r="DQ32" s="34"/>
      <c r="DR32" s="26" t="s">
        <v>32</v>
      </c>
      <c r="DS32" s="34" t="s">
        <v>32</v>
      </c>
      <c r="DT32" s="32" t="s">
        <v>32</v>
      </c>
      <c r="DU32" s="32"/>
      <c r="DV32" s="34" t="s">
        <v>32</v>
      </c>
      <c r="DW32" s="28" t="s">
        <v>32</v>
      </c>
      <c r="DX32" s="28" t="s">
        <v>32</v>
      </c>
      <c r="DY32" s="82" t="s">
        <v>32</v>
      </c>
      <c r="DZ32" s="34" t="s">
        <v>32</v>
      </c>
      <c r="EA32" s="32" t="s">
        <v>32</v>
      </c>
      <c r="EB32" s="32" t="s">
        <v>32</v>
      </c>
      <c r="EC32" s="29" t="s">
        <v>32</v>
      </c>
      <c r="ED32" s="28" t="s">
        <v>32</v>
      </c>
      <c r="EE32" s="26" t="s">
        <v>32</v>
      </c>
      <c r="EF32" s="34" t="s">
        <v>32</v>
      </c>
      <c r="EG32" s="32" t="s">
        <v>32</v>
      </c>
      <c r="EH32" s="34" t="s">
        <v>32</v>
      </c>
      <c r="EI32" s="33">
        <f t="shared" si="21"/>
        <v>0</v>
      </c>
      <c r="EJ32" s="24"/>
      <c r="EK32" s="25" t="s">
        <v>32</v>
      </c>
      <c r="EL32" s="28" t="s">
        <v>32</v>
      </c>
      <c r="EM32" s="75" t="s">
        <v>33</v>
      </c>
      <c r="EN32" s="75" t="s">
        <v>32</v>
      </c>
      <c r="EO32" s="26"/>
      <c r="EP32" s="26"/>
      <c r="EQ32" s="32">
        <f t="shared" si="5"/>
        <v>0</v>
      </c>
      <c r="ER32" s="34" t="s">
        <v>32</v>
      </c>
      <c r="ES32" s="34"/>
      <c r="ET32" s="26" t="s">
        <v>32</v>
      </c>
      <c r="EU32" s="34" t="s">
        <v>32</v>
      </c>
      <c r="EV32" s="32" t="s">
        <v>32</v>
      </c>
      <c r="EW32" s="32"/>
      <c r="EX32" s="34" t="s">
        <v>32</v>
      </c>
      <c r="EY32" s="28" t="s">
        <v>32</v>
      </c>
      <c r="EZ32" s="28" t="s">
        <v>32</v>
      </c>
      <c r="FA32" s="82" t="s">
        <v>32</v>
      </c>
      <c r="FB32" s="34" t="s">
        <v>32</v>
      </c>
      <c r="FC32" s="32" t="s">
        <v>32</v>
      </c>
      <c r="FD32" s="32" t="s">
        <v>32</v>
      </c>
      <c r="FE32" s="29" t="s">
        <v>32</v>
      </c>
      <c r="FF32" s="28" t="s">
        <v>32</v>
      </c>
      <c r="FG32" s="26" t="s">
        <v>32</v>
      </c>
      <c r="FH32" s="34" t="s">
        <v>32</v>
      </c>
      <c r="FI32" s="32" t="s">
        <v>32</v>
      </c>
      <c r="FJ32" s="34" t="s">
        <v>32</v>
      </c>
      <c r="FK32" s="33">
        <f t="shared" si="22"/>
        <v>0</v>
      </c>
      <c r="FL32" s="24"/>
      <c r="FM32" s="25" t="s">
        <v>32</v>
      </c>
      <c r="FN32" s="28" t="s">
        <v>32</v>
      </c>
      <c r="FO32" s="75" t="s">
        <v>33</v>
      </c>
      <c r="FP32" s="75" t="s">
        <v>32</v>
      </c>
      <c r="FQ32" s="26"/>
      <c r="FR32" s="26"/>
      <c r="FS32" s="32">
        <f t="shared" si="6"/>
        <v>0</v>
      </c>
      <c r="FT32" s="34" t="s">
        <v>32</v>
      </c>
      <c r="FU32" s="34"/>
      <c r="FV32" s="26" t="s">
        <v>32</v>
      </c>
      <c r="FW32" s="34" t="s">
        <v>32</v>
      </c>
      <c r="FX32" s="32" t="s">
        <v>32</v>
      </c>
      <c r="FY32" s="32"/>
      <c r="FZ32" s="34" t="s">
        <v>32</v>
      </c>
      <c r="GA32" s="28" t="s">
        <v>32</v>
      </c>
      <c r="GB32" s="28" t="s">
        <v>32</v>
      </c>
      <c r="GC32" s="82" t="s">
        <v>32</v>
      </c>
      <c r="GD32" s="34" t="s">
        <v>32</v>
      </c>
      <c r="GE32" s="32" t="s">
        <v>32</v>
      </c>
      <c r="GF32" s="32" t="s">
        <v>32</v>
      </c>
      <c r="GG32" s="29" t="s">
        <v>32</v>
      </c>
      <c r="GH32" s="28" t="s">
        <v>32</v>
      </c>
      <c r="GI32" s="26" t="s">
        <v>32</v>
      </c>
      <c r="GJ32" s="34" t="s">
        <v>32</v>
      </c>
      <c r="GK32" s="32" t="s">
        <v>32</v>
      </c>
      <c r="GL32" s="34" t="s">
        <v>32</v>
      </c>
      <c r="GM32" s="33">
        <f t="shared" si="23"/>
        <v>0</v>
      </c>
      <c r="GN32" s="24"/>
      <c r="GO32" s="25" t="s">
        <v>32</v>
      </c>
      <c r="GP32" s="28" t="s">
        <v>32</v>
      </c>
      <c r="GQ32" s="75" t="s">
        <v>33</v>
      </c>
      <c r="GR32" s="75" t="s">
        <v>32</v>
      </c>
      <c r="GS32" s="26"/>
      <c r="GT32" s="26"/>
      <c r="GU32" s="32">
        <f t="shared" si="7"/>
        <v>0</v>
      </c>
      <c r="GV32" s="34" t="s">
        <v>32</v>
      </c>
      <c r="GW32" s="34"/>
      <c r="GX32" s="26" t="s">
        <v>32</v>
      </c>
      <c r="GY32" s="34" t="s">
        <v>32</v>
      </c>
      <c r="GZ32" s="32" t="s">
        <v>32</v>
      </c>
      <c r="HA32" s="32"/>
      <c r="HB32" s="34" t="s">
        <v>32</v>
      </c>
      <c r="HC32" s="28" t="s">
        <v>32</v>
      </c>
      <c r="HD32" s="28" t="s">
        <v>32</v>
      </c>
      <c r="HE32" s="82" t="s">
        <v>32</v>
      </c>
      <c r="HF32" s="34" t="s">
        <v>32</v>
      </c>
      <c r="HG32" s="32" t="s">
        <v>32</v>
      </c>
      <c r="HH32" s="32" t="s">
        <v>32</v>
      </c>
      <c r="HI32" s="29" t="s">
        <v>32</v>
      </c>
      <c r="HJ32" s="28" t="s">
        <v>32</v>
      </c>
      <c r="HK32" s="26" t="s">
        <v>32</v>
      </c>
      <c r="HL32" s="34" t="s">
        <v>32</v>
      </c>
      <c r="HM32" s="32" t="s">
        <v>32</v>
      </c>
      <c r="HN32" s="34" t="s">
        <v>32</v>
      </c>
      <c r="HO32" s="33">
        <f t="shared" si="24"/>
        <v>0</v>
      </c>
      <c r="HP32" s="24"/>
      <c r="HQ32" s="25" t="s">
        <v>32</v>
      </c>
      <c r="HR32" s="28" t="s">
        <v>32</v>
      </c>
      <c r="HS32" s="75" t="s">
        <v>33</v>
      </c>
      <c r="HT32" s="75" t="s">
        <v>32</v>
      </c>
      <c r="HU32" s="26"/>
      <c r="HV32" s="26"/>
      <c r="HW32" s="32">
        <f t="shared" si="8"/>
        <v>0</v>
      </c>
      <c r="HX32" s="34" t="s">
        <v>32</v>
      </c>
      <c r="HY32" s="34"/>
      <c r="HZ32" s="26" t="s">
        <v>32</v>
      </c>
      <c r="IA32" s="34" t="s">
        <v>32</v>
      </c>
      <c r="IB32" s="32" t="s">
        <v>32</v>
      </c>
      <c r="IC32" s="32"/>
      <c r="ID32" s="34" t="s">
        <v>32</v>
      </c>
      <c r="IE32" s="28" t="s">
        <v>32</v>
      </c>
      <c r="IF32" s="28" t="s">
        <v>32</v>
      </c>
      <c r="IG32" s="82" t="s">
        <v>32</v>
      </c>
      <c r="IH32" s="34" t="s">
        <v>32</v>
      </c>
      <c r="II32" s="32" t="s">
        <v>32</v>
      </c>
      <c r="IJ32" s="32" t="s">
        <v>32</v>
      </c>
      <c r="IK32" s="29" t="s">
        <v>32</v>
      </c>
      <c r="IL32" s="28" t="s">
        <v>32</v>
      </c>
      <c r="IM32" s="26" t="s">
        <v>32</v>
      </c>
      <c r="IN32" s="34" t="s">
        <v>32</v>
      </c>
      <c r="IO32" s="32" t="s">
        <v>32</v>
      </c>
      <c r="IP32" s="34" t="s">
        <v>32</v>
      </c>
      <c r="IQ32" s="33">
        <f t="shared" si="25"/>
        <v>0</v>
      </c>
      <c r="IR32" s="111"/>
    </row>
    <row r="33" spans="1:252" x14ac:dyDescent="0.3">
      <c r="A33" s="25" t="s">
        <v>32</v>
      </c>
      <c r="B33" s="28" t="s">
        <v>32</v>
      </c>
      <c r="C33" s="75" t="s">
        <v>32</v>
      </c>
      <c r="D33" s="75" t="s">
        <v>32</v>
      </c>
      <c r="E33" s="26"/>
      <c r="F33" s="26"/>
      <c r="G33" s="32">
        <f t="shared" si="0"/>
        <v>0</v>
      </c>
      <c r="H33" s="34" t="s">
        <v>32</v>
      </c>
      <c r="I33" s="34"/>
      <c r="J33" s="26" t="s">
        <v>32</v>
      </c>
      <c r="K33" s="34" t="s">
        <v>32</v>
      </c>
      <c r="L33" s="32" t="s">
        <v>33</v>
      </c>
      <c r="M33" s="32"/>
      <c r="N33" s="34"/>
      <c r="O33" s="28" t="s">
        <v>32</v>
      </c>
      <c r="P33" s="28" t="s">
        <v>32</v>
      </c>
      <c r="Q33" s="82" t="s">
        <v>32</v>
      </c>
      <c r="R33" s="34" t="s">
        <v>32</v>
      </c>
      <c r="S33" s="32" t="s">
        <v>32</v>
      </c>
      <c r="T33" s="32" t="s">
        <v>32</v>
      </c>
      <c r="U33" s="75" t="s">
        <v>32</v>
      </c>
      <c r="V33" s="28" t="s">
        <v>32</v>
      </c>
      <c r="W33" s="26" t="s">
        <v>32</v>
      </c>
      <c r="X33" s="34" t="s">
        <v>32</v>
      </c>
      <c r="Y33" s="32" t="s">
        <v>32</v>
      </c>
      <c r="Z33" s="34" t="s">
        <v>32</v>
      </c>
      <c r="AA33" s="33">
        <f t="shared" si="18"/>
        <v>0</v>
      </c>
      <c r="AB33" s="24"/>
      <c r="AC33" s="25">
        <v>46173</v>
      </c>
      <c r="AD33" s="28">
        <v>3197</v>
      </c>
      <c r="AE33" s="75">
        <v>6308</v>
      </c>
      <c r="AF33" s="75">
        <v>17</v>
      </c>
      <c r="AG33" s="26">
        <v>12675</v>
      </c>
      <c r="AH33" s="26">
        <v>191056</v>
      </c>
      <c r="AI33" s="32">
        <f t="shared" si="1"/>
        <v>789955</v>
      </c>
      <c r="AJ33" s="34" t="s">
        <v>32</v>
      </c>
      <c r="AK33" s="34"/>
      <c r="AL33" s="26">
        <v>250800</v>
      </c>
      <c r="AM33" s="34" t="s">
        <v>32</v>
      </c>
      <c r="AN33" s="32">
        <v>1550</v>
      </c>
      <c r="AO33" s="32">
        <v>21060</v>
      </c>
      <c r="AP33" s="34" t="s">
        <v>32</v>
      </c>
      <c r="AQ33" s="28" t="s">
        <v>32</v>
      </c>
      <c r="AR33" s="28" t="s">
        <v>32</v>
      </c>
      <c r="AS33" s="82">
        <v>955</v>
      </c>
      <c r="AT33" s="34" t="s">
        <v>32</v>
      </c>
      <c r="AU33" s="32">
        <v>508590</v>
      </c>
      <c r="AV33" s="32" t="s">
        <v>191</v>
      </c>
      <c r="AW33" s="75">
        <v>2500</v>
      </c>
      <c r="AX33" s="28" t="s">
        <v>32</v>
      </c>
      <c r="AY33" s="26">
        <v>4500</v>
      </c>
      <c r="AZ33" s="34" t="s">
        <v>68</v>
      </c>
      <c r="BA33" s="32" t="s">
        <v>32</v>
      </c>
      <c r="BB33" s="34" t="s">
        <v>32</v>
      </c>
      <c r="BC33" s="33">
        <f t="shared" si="26"/>
        <v>789955</v>
      </c>
      <c r="BD33" s="129"/>
      <c r="BE33" s="25" t="s">
        <v>32</v>
      </c>
      <c r="BF33" s="28" t="s">
        <v>32</v>
      </c>
      <c r="BG33" s="75" t="s">
        <v>32</v>
      </c>
      <c r="BH33" s="75" t="s">
        <v>32</v>
      </c>
      <c r="BI33" s="26"/>
      <c r="BJ33" s="26"/>
      <c r="BK33" s="32">
        <f t="shared" si="2"/>
        <v>0</v>
      </c>
      <c r="BL33" s="34" t="s">
        <v>32</v>
      </c>
      <c r="BM33" s="34"/>
      <c r="BN33" s="26" t="s">
        <v>32</v>
      </c>
      <c r="BO33" s="34" t="s">
        <v>32</v>
      </c>
      <c r="BP33" s="32" t="s">
        <v>33</v>
      </c>
      <c r="BQ33" s="32"/>
      <c r="BR33" s="34"/>
      <c r="BS33" s="28" t="s">
        <v>32</v>
      </c>
      <c r="BT33" s="28" t="s">
        <v>32</v>
      </c>
      <c r="BU33" s="26" t="s">
        <v>32</v>
      </c>
      <c r="BV33" s="34" t="s">
        <v>32</v>
      </c>
      <c r="BW33" s="32" t="s">
        <v>32</v>
      </c>
      <c r="BX33" s="32" t="s">
        <v>32</v>
      </c>
      <c r="BY33" s="82" t="s">
        <v>32</v>
      </c>
      <c r="BZ33" s="28" t="s">
        <v>32</v>
      </c>
      <c r="CA33" s="26" t="s">
        <v>32</v>
      </c>
      <c r="CB33" s="34" t="s">
        <v>32</v>
      </c>
      <c r="CC33" s="32" t="s">
        <v>32</v>
      </c>
      <c r="CD33" s="34" t="s">
        <v>32</v>
      </c>
      <c r="CE33" s="33">
        <f t="shared" si="19"/>
        <v>0</v>
      </c>
      <c r="CF33" s="24"/>
      <c r="CG33" s="25">
        <v>46234</v>
      </c>
      <c r="CH33" s="28" t="s">
        <v>32</v>
      </c>
      <c r="CI33" s="75" t="s">
        <v>32</v>
      </c>
      <c r="CJ33" s="75" t="s">
        <v>32</v>
      </c>
      <c r="CK33" s="26"/>
      <c r="CL33" s="26"/>
      <c r="CM33" s="32">
        <f t="shared" si="3"/>
        <v>0</v>
      </c>
      <c r="CN33" s="34" t="s">
        <v>32</v>
      </c>
      <c r="CO33" s="34"/>
      <c r="CP33" s="26" t="s">
        <v>32</v>
      </c>
      <c r="CQ33" s="34" t="s">
        <v>32</v>
      </c>
      <c r="CR33" s="32" t="s">
        <v>33</v>
      </c>
      <c r="CS33" s="32"/>
      <c r="CT33" s="34"/>
      <c r="CU33" s="28" t="s">
        <v>32</v>
      </c>
      <c r="CV33" s="28" t="s">
        <v>32</v>
      </c>
      <c r="CW33" s="82" t="s">
        <v>32</v>
      </c>
      <c r="CX33" s="34" t="s">
        <v>32</v>
      </c>
      <c r="CY33" s="32" t="s">
        <v>32</v>
      </c>
      <c r="CZ33" s="32" t="s">
        <v>32</v>
      </c>
      <c r="DA33" s="29" t="s">
        <v>32</v>
      </c>
      <c r="DB33" s="28" t="s">
        <v>32</v>
      </c>
      <c r="DC33" s="26" t="s">
        <v>32</v>
      </c>
      <c r="DD33" s="34" t="s">
        <v>32</v>
      </c>
      <c r="DE33" s="32" t="s">
        <v>32</v>
      </c>
      <c r="DF33" s="34" t="s">
        <v>32</v>
      </c>
      <c r="DG33" s="33">
        <f t="shared" si="20"/>
        <v>0</v>
      </c>
      <c r="DH33" s="24"/>
      <c r="DI33" s="25" t="s">
        <v>32</v>
      </c>
      <c r="DJ33" s="28" t="s">
        <v>32</v>
      </c>
      <c r="DK33" s="75" t="s">
        <v>32</v>
      </c>
      <c r="DL33" s="75" t="s">
        <v>32</v>
      </c>
      <c r="DM33" s="26"/>
      <c r="DN33" s="26"/>
      <c r="DO33" s="32">
        <f t="shared" si="4"/>
        <v>0</v>
      </c>
      <c r="DP33" s="34" t="s">
        <v>32</v>
      </c>
      <c r="DQ33" s="34"/>
      <c r="DR33" s="26" t="s">
        <v>32</v>
      </c>
      <c r="DS33" s="34" t="s">
        <v>32</v>
      </c>
      <c r="DT33" s="32" t="s">
        <v>33</v>
      </c>
      <c r="DU33" s="32"/>
      <c r="DV33" s="34"/>
      <c r="DW33" s="28" t="s">
        <v>32</v>
      </c>
      <c r="DX33" s="28" t="s">
        <v>32</v>
      </c>
      <c r="DY33" s="82" t="s">
        <v>32</v>
      </c>
      <c r="DZ33" s="34" t="s">
        <v>32</v>
      </c>
      <c r="EA33" s="32" t="s">
        <v>32</v>
      </c>
      <c r="EB33" s="32" t="s">
        <v>32</v>
      </c>
      <c r="EC33" s="29" t="s">
        <v>32</v>
      </c>
      <c r="ED33" s="28" t="s">
        <v>32</v>
      </c>
      <c r="EE33" s="26" t="s">
        <v>32</v>
      </c>
      <c r="EF33" s="34" t="s">
        <v>32</v>
      </c>
      <c r="EG33" s="32" t="s">
        <v>32</v>
      </c>
      <c r="EH33" s="34" t="s">
        <v>32</v>
      </c>
      <c r="EI33" s="33">
        <f t="shared" si="21"/>
        <v>0</v>
      </c>
      <c r="EJ33" s="24"/>
      <c r="EK33" s="25" t="s">
        <v>32</v>
      </c>
      <c r="EL33" s="28" t="s">
        <v>32</v>
      </c>
      <c r="EM33" s="75" t="s">
        <v>32</v>
      </c>
      <c r="EN33" s="75" t="s">
        <v>32</v>
      </c>
      <c r="EO33" s="26"/>
      <c r="EP33" s="26"/>
      <c r="EQ33" s="32">
        <f t="shared" si="5"/>
        <v>0</v>
      </c>
      <c r="ER33" s="34" t="s">
        <v>32</v>
      </c>
      <c r="ES33" s="34"/>
      <c r="ET33" s="26" t="s">
        <v>32</v>
      </c>
      <c r="EU33" s="34" t="s">
        <v>32</v>
      </c>
      <c r="EV33" s="32" t="s">
        <v>33</v>
      </c>
      <c r="EW33" s="32"/>
      <c r="EX33" s="34"/>
      <c r="EY33" s="28" t="s">
        <v>32</v>
      </c>
      <c r="EZ33" s="28" t="s">
        <v>32</v>
      </c>
      <c r="FA33" s="82" t="s">
        <v>32</v>
      </c>
      <c r="FB33" s="34" t="s">
        <v>32</v>
      </c>
      <c r="FC33" s="32" t="s">
        <v>32</v>
      </c>
      <c r="FD33" s="32" t="s">
        <v>32</v>
      </c>
      <c r="FE33" s="29" t="s">
        <v>32</v>
      </c>
      <c r="FF33" s="28" t="s">
        <v>32</v>
      </c>
      <c r="FG33" s="26" t="s">
        <v>32</v>
      </c>
      <c r="FH33" s="34" t="s">
        <v>32</v>
      </c>
      <c r="FI33" s="32" t="s">
        <v>32</v>
      </c>
      <c r="FJ33" s="34" t="s">
        <v>32</v>
      </c>
      <c r="FK33" s="33">
        <f t="shared" si="22"/>
        <v>0</v>
      </c>
      <c r="FL33" s="24"/>
      <c r="FM33" s="25" t="s">
        <v>32</v>
      </c>
      <c r="FN33" s="28" t="s">
        <v>32</v>
      </c>
      <c r="FO33" s="75" t="s">
        <v>32</v>
      </c>
      <c r="FP33" s="75" t="s">
        <v>32</v>
      </c>
      <c r="FQ33" s="26"/>
      <c r="FR33" s="26"/>
      <c r="FS33" s="32">
        <f t="shared" si="6"/>
        <v>0</v>
      </c>
      <c r="FT33" s="34" t="s">
        <v>32</v>
      </c>
      <c r="FU33" s="34"/>
      <c r="FV33" s="26" t="s">
        <v>32</v>
      </c>
      <c r="FW33" s="34" t="s">
        <v>32</v>
      </c>
      <c r="FX33" s="32" t="s">
        <v>33</v>
      </c>
      <c r="FY33" s="32"/>
      <c r="FZ33" s="34"/>
      <c r="GA33" s="28" t="s">
        <v>32</v>
      </c>
      <c r="GB33" s="28" t="s">
        <v>32</v>
      </c>
      <c r="GC33" s="82" t="s">
        <v>32</v>
      </c>
      <c r="GD33" s="34" t="s">
        <v>32</v>
      </c>
      <c r="GE33" s="32" t="s">
        <v>32</v>
      </c>
      <c r="GF33" s="32" t="s">
        <v>32</v>
      </c>
      <c r="GG33" s="29" t="s">
        <v>32</v>
      </c>
      <c r="GH33" s="28" t="s">
        <v>32</v>
      </c>
      <c r="GI33" s="26" t="s">
        <v>32</v>
      </c>
      <c r="GJ33" s="34" t="s">
        <v>32</v>
      </c>
      <c r="GK33" s="32" t="s">
        <v>32</v>
      </c>
      <c r="GL33" s="34" t="s">
        <v>32</v>
      </c>
      <c r="GM33" s="33">
        <f t="shared" si="23"/>
        <v>0</v>
      </c>
      <c r="GN33" s="24"/>
      <c r="GO33" s="25" t="s">
        <v>32</v>
      </c>
      <c r="GP33" s="28" t="s">
        <v>32</v>
      </c>
      <c r="GQ33" s="75" t="s">
        <v>32</v>
      </c>
      <c r="GR33" s="75" t="s">
        <v>32</v>
      </c>
      <c r="GS33" s="26"/>
      <c r="GT33" s="26"/>
      <c r="GU33" s="32">
        <f t="shared" si="7"/>
        <v>0</v>
      </c>
      <c r="GV33" s="34" t="s">
        <v>32</v>
      </c>
      <c r="GW33" s="34"/>
      <c r="GX33" s="26" t="s">
        <v>32</v>
      </c>
      <c r="GY33" s="34" t="s">
        <v>32</v>
      </c>
      <c r="GZ33" s="32" t="s">
        <v>33</v>
      </c>
      <c r="HA33" s="32"/>
      <c r="HB33" s="34"/>
      <c r="HC33" s="28" t="s">
        <v>32</v>
      </c>
      <c r="HD33" s="28" t="s">
        <v>32</v>
      </c>
      <c r="HE33" s="82" t="s">
        <v>32</v>
      </c>
      <c r="HF33" s="34" t="s">
        <v>32</v>
      </c>
      <c r="HG33" s="32" t="s">
        <v>32</v>
      </c>
      <c r="HH33" s="32" t="s">
        <v>32</v>
      </c>
      <c r="HI33" s="29" t="s">
        <v>32</v>
      </c>
      <c r="HJ33" s="28" t="s">
        <v>32</v>
      </c>
      <c r="HK33" s="26" t="s">
        <v>32</v>
      </c>
      <c r="HL33" s="34" t="s">
        <v>32</v>
      </c>
      <c r="HM33" s="32" t="s">
        <v>32</v>
      </c>
      <c r="HN33" s="34" t="s">
        <v>32</v>
      </c>
      <c r="HO33" s="33">
        <f t="shared" si="24"/>
        <v>0</v>
      </c>
      <c r="HP33" s="24"/>
      <c r="HQ33" s="25" t="s">
        <v>32</v>
      </c>
      <c r="HR33" s="28" t="s">
        <v>32</v>
      </c>
      <c r="HS33" s="75" t="s">
        <v>32</v>
      </c>
      <c r="HT33" s="75" t="s">
        <v>32</v>
      </c>
      <c r="HU33" s="26"/>
      <c r="HV33" s="26"/>
      <c r="HW33" s="32">
        <f t="shared" si="8"/>
        <v>0</v>
      </c>
      <c r="HX33" s="34" t="s">
        <v>32</v>
      </c>
      <c r="HY33" s="34"/>
      <c r="HZ33" s="26" t="s">
        <v>32</v>
      </c>
      <c r="IA33" s="34" t="s">
        <v>32</v>
      </c>
      <c r="IB33" s="32" t="s">
        <v>33</v>
      </c>
      <c r="IC33" s="32"/>
      <c r="ID33" s="34"/>
      <c r="IE33" s="28" t="s">
        <v>32</v>
      </c>
      <c r="IF33" s="28" t="s">
        <v>32</v>
      </c>
      <c r="IG33" s="82" t="s">
        <v>32</v>
      </c>
      <c r="IH33" s="34" t="s">
        <v>32</v>
      </c>
      <c r="II33" s="32" t="s">
        <v>32</v>
      </c>
      <c r="IJ33" s="32" t="s">
        <v>32</v>
      </c>
      <c r="IK33" s="29" t="s">
        <v>32</v>
      </c>
      <c r="IL33" s="28" t="s">
        <v>32</v>
      </c>
      <c r="IM33" s="26" t="s">
        <v>32</v>
      </c>
      <c r="IN33" s="34" t="s">
        <v>32</v>
      </c>
      <c r="IO33" s="32" t="s">
        <v>32</v>
      </c>
      <c r="IP33" s="34" t="s">
        <v>32</v>
      </c>
      <c r="IQ33" s="33">
        <f t="shared" si="25"/>
        <v>0</v>
      </c>
      <c r="IR33" s="111"/>
    </row>
    <row r="34" spans="1:252" x14ac:dyDescent="0.3">
      <c r="A34" s="35"/>
      <c r="B34" s="38">
        <f>SUM(B3:B33)</f>
        <v>81781</v>
      </c>
      <c r="C34" s="78">
        <f>SUM(C3:C33)</f>
        <v>74969</v>
      </c>
      <c r="D34" s="78">
        <f>SUM(D3:D33)</f>
        <v>220</v>
      </c>
      <c r="E34" s="66">
        <f>SUM(E3:E33)</f>
        <v>91300</v>
      </c>
      <c r="F34" s="66">
        <f>SUM(F3:F33)</f>
        <v>3876883</v>
      </c>
      <c r="G34" s="80"/>
      <c r="H34" s="35">
        <f t="shared" ref="H34:Y34" si="27">SUM(H3:H33)</f>
        <v>210510</v>
      </c>
      <c r="I34" s="35">
        <f t="shared" si="27"/>
        <v>158260</v>
      </c>
      <c r="J34" s="66">
        <f t="shared" si="27"/>
        <v>572901</v>
      </c>
      <c r="K34" s="35">
        <f t="shared" si="27"/>
        <v>454400</v>
      </c>
      <c r="L34" s="37">
        <f t="shared" si="27"/>
        <v>138718</v>
      </c>
      <c r="M34" s="37">
        <f t="shared" si="27"/>
        <v>37200</v>
      </c>
      <c r="N34" s="35">
        <f t="shared" si="27"/>
        <v>318990</v>
      </c>
      <c r="O34" s="38">
        <f t="shared" si="27"/>
        <v>21046</v>
      </c>
      <c r="P34" s="38">
        <f t="shared" si="27"/>
        <v>0</v>
      </c>
      <c r="Q34" s="83">
        <f t="shared" si="27"/>
        <v>23725</v>
      </c>
      <c r="R34" s="35">
        <f t="shared" si="27"/>
        <v>6200</v>
      </c>
      <c r="S34" s="37">
        <f t="shared" si="27"/>
        <v>726534</v>
      </c>
      <c r="T34" s="37">
        <f t="shared" si="27"/>
        <v>0</v>
      </c>
      <c r="U34" s="77">
        <f t="shared" si="27"/>
        <v>25750</v>
      </c>
      <c r="V34" s="38">
        <f t="shared" si="27"/>
        <v>0</v>
      </c>
      <c r="W34" s="36">
        <f t="shared" si="27"/>
        <v>110000</v>
      </c>
      <c r="X34" s="35">
        <f t="shared" si="27"/>
        <v>550000</v>
      </c>
      <c r="Y34" s="37">
        <f t="shared" si="27"/>
        <v>63678</v>
      </c>
      <c r="Z34" s="35"/>
      <c r="AA34" s="42">
        <f>SUM(H34:Z34)</f>
        <v>3417912</v>
      </c>
      <c r="AB34" s="24"/>
      <c r="AC34" s="130"/>
      <c r="AD34" s="38">
        <f t="shared" ref="AD34:AI34" si="28">SUM(AD3:AD33)</f>
        <v>86174</v>
      </c>
      <c r="AE34" s="78">
        <f t="shared" si="28"/>
        <v>63153</v>
      </c>
      <c r="AF34" s="78">
        <f t="shared" si="28"/>
        <v>235.75</v>
      </c>
      <c r="AG34" s="66">
        <f t="shared" si="28"/>
        <v>87635</v>
      </c>
      <c r="AH34" s="66">
        <f t="shared" si="28"/>
        <v>4136245</v>
      </c>
      <c r="AI34" s="80">
        <f t="shared" si="28"/>
        <v>3999621</v>
      </c>
      <c r="AJ34" s="35">
        <f t="shared" ref="AJ34:BA34" si="29">SUM(AJ3:AJ33)</f>
        <v>271894</v>
      </c>
      <c r="AK34" s="35">
        <f t="shared" si="29"/>
        <v>199696</v>
      </c>
      <c r="AL34" s="66">
        <f t="shared" si="29"/>
        <v>1107199</v>
      </c>
      <c r="AM34" s="35">
        <f t="shared" si="29"/>
        <v>377100</v>
      </c>
      <c r="AN34" s="37">
        <f t="shared" si="29"/>
        <v>51944</v>
      </c>
      <c r="AO34" s="37">
        <f t="shared" si="29"/>
        <v>36190</v>
      </c>
      <c r="AP34" s="35">
        <f t="shared" si="29"/>
        <v>300650</v>
      </c>
      <c r="AQ34" s="38">
        <f t="shared" si="29"/>
        <v>12500</v>
      </c>
      <c r="AR34" s="38">
        <f t="shared" si="29"/>
        <v>0</v>
      </c>
      <c r="AS34" s="83">
        <f t="shared" si="29"/>
        <v>25664</v>
      </c>
      <c r="AT34" s="35">
        <f t="shared" si="29"/>
        <v>900</v>
      </c>
      <c r="AU34" s="37">
        <f t="shared" si="29"/>
        <v>982388</v>
      </c>
      <c r="AV34" s="37">
        <f t="shared" si="29"/>
        <v>0</v>
      </c>
      <c r="AW34" s="77">
        <f t="shared" si="29"/>
        <v>74856</v>
      </c>
      <c r="AX34" s="38">
        <f t="shared" si="29"/>
        <v>0</v>
      </c>
      <c r="AY34" s="36">
        <f t="shared" si="29"/>
        <v>537000</v>
      </c>
      <c r="AZ34" s="35">
        <f t="shared" si="29"/>
        <v>0</v>
      </c>
      <c r="BA34" s="37">
        <f t="shared" si="29"/>
        <v>21640</v>
      </c>
      <c r="BB34" s="35"/>
      <c r="BC34" s="42">
        <f>SUM(AJ34:BB34)</f>
        <v>3999621</v>
      </c>
      <c r="BD34" s="138"/>
      <c r="BE34" s="35"/>
      <c r="BF34" s="38">
        <f>SUM(BF3:BF33)</f>
        <v>85721</v>
      </c>
      <c r="BG34" s="78">
        <f>SUM(BG3:BG33)</f>
        <v>92096</v>
      </c>
      <c r="BH34" s="78">
        <f>SUM(BH3:BH33)</f>
        <v>287.5</v>
      </c>
      <c r="BI34" s="66">
        <f>SUM(BI3:BI33)</f>
        <v>72530</v>
      </c>
      <c r="BJ34" s="66">
        <f>SUM(BJ3:BJ33)</f>
        <v>3999141</v>
      </c>
      <c r="BK34" s="80">
        <f>SUM(BK3:BK33)</f>
        <v>4863754</v>
      </c>
      <c r="BL34" s="35">
        <f t="shared" ref="BL34:CC34" si="30">SUM(BL3:BL33)</f>
        <v>275987</v>
      </c>
      <c r="BM34" s="35">
        <f t="shared" si="30"/>
        <v>185363</v>
      </c>
      <c r="BN34" s="66">
        <f t="shared" si="30"/>
        <v>1957084</v>
      </c>
      <c r="BO34" s="35">
        <f t="shared" si="30"/>
        <v>329500</v>
      </c>
      <c r="BP34" s="37">
        <f t="shared" si="30"/>
        <v>54481</v>
      </c>
      <c r="BQ34" s="37">
        <f t="shared" si="30"/>
        <v>41550</v>
      </c>
      <c r="BR34" s="35">
        <f t="shared" si="30"/>
        <v>324850</v>
      </c>
      <c r="BS34" s="38">
        <f t="shared" si="30"/>
        <v>8980</v>
      </c>
      <c r="BT34" s="38">
        <f t="shared" si="30"/>
        <v>0</v>
      </c>
      <c r="BU34" s="36">
        <f t="shared" si="30"/>
        <v>25873</v>
      </c>
      <c r="BV34" s="35">
        <f t="shared" si="30"/>
        <v>900</v>
      </c>
      <c r="BW34" s="37">
        <f t="shared" si="30"/>
        <v>1019843</v>
      </c>
      <c r="BX34" s="37">
        <f t="shared" si="30"/>
        <v>0</v>
      </c>
      <c r="BY34" s="83">
        <f t="shared" si="30"/>
        <v>12500</v>
      </c>
      <c r="BZ34" s="38">
        <f t="shared" si="30"/>
        <v>0</v>
      </c>
      <c r="CA34" s="36">
        <f t="shared" si="30"/>
        <v>626843</v>
      </c>
      <c r="CB34" s="35">
        <f t="shared" si="30"/>
        <v>0</v>
      </c>
      <c r="CC34" s="37">
        <f t="shared" si="30"/>
        <v>0</v>
      </c>
      <c r="CD34" s="35"/>
      <c r="CE34" s="42">
        <f>SUM(BL34:CD34)</f>
        <v>4863754</v>
      </c>
      <c r="CF34" s="24"/>
      <c r="CG34" s="35"/>
      <c r="CH34" s="38">
        <f>SUM(CH3:CH33)</f>
        <v>3347</v>
      </c>
      <c r="CI34" s="78">
        <f>SUM(CI3:CI33)</f>
        <v>0</v>
      </c>
      <c r="CJ34" s="78">
        <f>SUM(CJ3:CJ33)</f>
        <v>7</v>
      </c>
      <c r="CK34" s="66">
        <f>SUM(CK3:CK33)</f>
        <v>0</v>
      </c>
      <c r="CL34" s="66">
        <f>SUM(CL3:CL33)</f>
        <v>0</v>
      </c>
      <c r="CM34" s="80"/>
      <c r="CN34" s="35">
        <f t="shared" ref="CN34:DE34" si="31">SUM(CN3:CN33)</f>
        <v>0</v>
      </c>
      <c r="CO34" s="35">
        <f t="shared" si="31"/>
        <v>0</v>
      </c>
      <c r="CP34" s="66">
        <f t="shared" si="31"/>
        <v>0</v>
      </c>
      <c r="CQ34" s="35">
        <f t="shared" si="31"/>
        <v>0</v>
      </c>
      <c r="CR34" s="37">
        <f t="shared" si="31"/>
        <v>0</v>
      </c>
      <c r="CS34" s="37">
        <f t="shared" si="31"/>
        <v>0</v>
      </c>
      <c r="CT34" s="35">
        <f t="shared" si="31"/>
        <v>0</v>
      </c>
      <c r="CU34" s="38">
        <f t="shared" si="31"/>
        <v>0</v>
      </c>
      <c r="CV34" s="38">
        <f t="shared" si="31"/>
        <v>0</v>
      </c>
      <c r="CW34" s="83">
        <f t="shared" si="31"/>
        <v>0</v>
      </c>
      <c r="CX34" s="35">
        <f t="shared" si="31"/>
        <v>0</v>
      </c>
      <c r="CY34" s="37">
        <f t="shared" si="31"/>
        <v>0</v>
      </c>
      <c r="CZ34" s="37">
        <f t="shared" si="31"/>
        <v>0</v>
      </c>
      <c r="DA34" s="41">
        <f t="shared" si="31"/>
        <v>0</v>
      </c>
      <c r="DB34" s="38">
        <f t="shared" si="31"/>
        <v>0</v>
      </c>
      <c r="DC34" s="36">
        <f t="shared" si="31"/>
        <v>0</v>
      </c>
      <c r="DD34" s="35">
        <f t="shared" si="31"/>
        <v>0</v>
      </c>
      <c r="DE34" s="37">
        <f t="shared" si="31"/>
        <v>0</v>
      </c>
      <c r="DF34" s="35"/>
      <c r="DG34" s="42">
        <f>SUM(CN34:DF34)</f>
        <v>0</v>
      </c>
      <c r="DH34" s="24"/>
      <c r="DI34" s="35"/>
      <c r="DJ34" s="38">
        <f>SUM(DJ3:DJ33)</f>
        <v>0</v>
      </c>
      <c r="DK34" s="78">
        <f>SUM(DK3:DK33)</f>
        <v>0</v>
      </c>
      <c r="DL34" s="78">
        <f>SUM(DL3:DL33)</f>
        <v>0</v>
      </c>
      <c r="DM34" s="66">
        <f>SUM(DM3:DM33)</f>
        <v>0</v>
      </c>
      <c r="DN34" s="66">
        <f>SUM(DN3:DN33)</f>
        <v>0</v>
      </c>
      <c r="DO34" s="80"/>
      <c r="DP34" s="35">
        <f t="shared" ref="DP34:EG34" si="32">SUM(DP3:DP33)</f>
        <v>0</v>
      </c>
      <c r="DQ34" s="35">
        <f t="shared" si="32"/>
        <v>0</v>
      </c>
      <c r="DR34" s="66">
        <f t="shared" si="32"/>
        <v>0</v>
      </c>
      <c r="DS34" s="35">
        <f t="shared" si="32"/>
        <v>0</v>
      </c>
      <c r="DT34" s="37">
        <f t="shared" si="32"/>
        <v>0</v>
      </c>
      <c r="DU34" s="37">
        <f t="shared" si="32"/>
        <v>0</v>
      </c>
      <c r="DV34" s="35">
        <f t="shared" si="32"/>
        <v>0</v>
      </c>
      <c r="DW34" s="38">
        <f t="shared" si="32"/>
        <v>0</v>
      </c>
      <c r="DX34" s="38">
        <f t="shared" si="32"/>
        <v>0</v>
      </c>
      <c r="DY34" s="83">
        <f t="shared" si="32"/>
        <v>0</v>
      </c>
      <c r="DZ34" s="35">
        <f t="shared" si="32"/>
        <v>0</v>
      </c>
      <c r="EA34" s="37">
        <f t="shared" si="32"/>
        <v>0</v>
      </c>
      <c r="EB34" s="37">
        <f t="shared" si="32"/>
        <v>0</v>
      </c>
      <c r="EC34" s="41">
        <f t="shared" si="32"/>
        <v>0</v>
      </c>
      <c r="ED34" s="38">
        <f t="shared" si="32"/>
        <v>0</v>
      </c>
      <c r="EE34" s="36">
        <f t="shared" si="32"/>
        <v>0</v>
      </c>
      <c r="EF34" s="35">
        <f t="shared" si="32"/>
        <v>0</v>
      </c>
      <c r="EG34" s="37">
        <f t="shared" si="32"/>
        <v>0</v>
      </c>
      <c r="EH34" s="35"/>
      <c r="EI34" s="42">
        <f>SUM(DP34:EH34)</f>
        <v>0</v>
      </c>
      <c r="EJ34" s="24"/>
      <c r="EK34" s="35"/>
      <c r="EL34" s="38">
        <f>SUM(EL3:EL33)</f>
        <v>0</v>
      </c>
      <c r="EM34" s="78">
        <f>SUM(EM3:EM33)</f>
        <v>0</v>
      </c>
      <c r="EN34" s="78">
        <f>SUM(EN3:EN33)</f>
        <v>0</v>
      </c>
      <c r="EO34" s="66">
        <f>SUM(EO3:EO33)</f>
        <v>0</v>
      </c>
      <c r="EP34" s="66">
        <f>SUM(EP3:EP33)</f>
        <v>0</v>
      </c>
      <c r="EQ34" s="80"/>
      <c r="ER34" s="35">
        <f t="shared" ref="ER34:FI34" si="33">SUM(ER3:ER33)</f>
        <v>0</v>
      </c>
      <c r="ES34" s="35">
        <f t="shared" si="33"/>
        <v>0</v>
      </c>
      <c r="ET34" s="66">
        <f t="shared" si="33"/>
        <v>0</v>
      </c>
      <c r="EU34" s="35">
        <f t="shared" si="33"/>
        <v>0</v>
      </c>
      <c r="EV34" s="37">
        <f t="shared" si="33"/>
        <v>0</v>
      </c>
      <c r="EW34" s="37">
        <f t="shared" si="33"/>
        <v>0</v>
      </c>
      <c r="EX34" s="35">
        <f t="shared" si="33"/>
        <v>0</v>
      </c>
      <c r="EY34" s="38">
        <f t="shared" si="33"/>
        <v>0</v>
      </c>
      <c r="EZ34" s="38">
        <f t="shared" si="33"/>
        <v>0</v>
      </c>
      <c r="FA34" s="83">
        <f t="shared" si="33"/>
        <v>0</v>
      </c>
      <c r="FB34" s="35">
        <f t="shared" si="33"/>
        <v>0</v>
      </c>
      <c r="FC34" s="37">
        <f t="shared" si="33"/>
        <v>0</v>
      </c>
      <c r="FD34" s="37">
        <f t="shared" si="33"/>
        <v>0</v>
      </c>
      <c r="FE34" s="41">
        <f t="shared" si="33"/>
        <v>0</v>
      </c>
      <c r="FF34" s="38">
        <f t="shared" si="33"/>
        <v>0</v>
      </c>
      <c r="FG34" s="36">
        <f t="shared" si="33"/>
        <v>0</v>
      </c>
      <c r="FH34" s="35">
        <f t="shared" si="33"/>
        <v>0</v>
      </c>
      <c r="FI34" s="37">
        <f t="shared" si="33"/>
        <v>0</v>
      </c>
      <c r="FJ34" s="35"/>
      <c r="FK34" s="42">
        <f>SUM(ER34:FJ34)</f>
        <v>0</v>
      </c>
      <c r="FL34" s="24"/>
      <c r="FM34" s="35"/>
      <c r="FN34" s="38">
        <f>SUM(FN3:FN33)</f>
        <v>0</v>
      </c>
      <c r="FO34" s="78">
        <f>SUM(FO3:FO33)</f>
        <v>0</v>
      </c>
      <c r="FP34" s="78">
        <f>SUM(FP3:FP33)</f>
        <v>0</v>
      </c>
      <c r="FQ34" s="66">
        <f>SUM(FQ3:FQ33)</f>
        <v>0</v>
      </c>
      <c r="FR34" s="66">
        <f>SUM(FR3:FR33)</f>
        <v>0</v>
      </c>
      <c r="FS34" s="80"/>
      <c r="FT34" s="35">
        <f t="shared" ref="FT34:GK34" si="34">SUM(FT3:FT33)</f>
        <v>0</v>
      </c>
      <c r="FU34" s="35">
        <f t="shared" si="34"/>
        <v>0</v>
      </c>
      <c r="FV34" s="66">
        <f t="shared" si="34"/>
        <v>0</v>
      </c>
      <c r="FW34" s="35">
        <f t="shared" si="34"/>
        <v>0</v>
      </c>
      <c r="FX34" s="37">
        <f t="shared" si="34"/>
        <v>0</v>
      </c>
      <c r="FY34" s="37">
        <f t="shared" si="34"/>
        <v>0</v>
      </c>
      <c r="FZ34" s="35">
        <f t="shared" si="34"/>
        <v>0</v>
      </c>
      <c r="GA34" s="38">
        <f t="shared" si="34"/>
        <v>0</v>
      </c>
      <c r="GB34" s="38">
        <f t="shared" si="34"/>
        <v>0</v>
      </c>
      <c r="GC34" s="83">
        <f t="shared" si="34"/>
        <v>0</v>
      </c>
      <c r="GD34" s="35">
        <f t="shared" si="34"/>
        <v>0</v>
      </c>
      <c r="GE34" s="37">
        <f t="shared" si="34"/>
        <v>0</v>
      </c>
      <c r="GF34" s="37">
        <f t="shared" si="34"/>
        <v>0</v>
      </c>
      <c r="GG34" s="41">
        <f t="shared" si="34"/>
        <v>0</v>
      </c>
      <c r="GH34" s="38">
        <f t="shared" si="34"/>
        <v>0</v>
      </c>
      <c r="GI34" s="36">
        <f t="shared" si="34"/>
        <v>0</v>
      </c>
      <c r="GJ34" s="35">
        <f t="shared" si="34"/>
        <v>0</v>
      </c>
      <c r="GK34" s="37">
        <f t="shared" si="34"/>
        <v>0</v>
      </c>
      <c r="GL34" s="35"/>
      <c r="GM34" s="42">
        <f>SUM(FT34:GL34)</f>
        <v>0</v>
      </c>
      <c r="GN34" s="24"/>
      <c r="GO34" s="35"/>
      <c r="GP34" s="38">
        <f>SUM(GP3:GP33)</f>
        <v>0</v>
      </c>
      <c r="GQ34" s="78">
        <f>SUM(GQ3:GQ33)</f>
        <v>0</v>
      </c>
      <c r="GR34" s="78">
        <f>SUM(GR3:GR33)</f>
        <v>0</v>
      </c>
      <c r="GS34" s="66">
        <f>SUM(GS3:GS33)</f>
        <v>0</v>
      </c>
      <c r="GT34" s="66">
        <f>SUM(GT3:GT33)</f>
        <v>0</v>
      </c>
      <c r="GU34" s="80"/>
      <c r="GV34" s="35">
        <f t="shared" ref="GV34:HM34" si="35">SUM(GV3:GV33)</f>
        <v>0</v>
      </c>
      <c r="GW34" s="35">
        <f t="shared" si="35"/>
        <v>0</v>
      </c>
      <c r="GX34" s="66">
        <f t="shared" si="35"/>
        <v>0</v>
      </c>
      <c r="GY34" s="35">
        <f t="shared" si="35"/>
        <v>0</v>
      </c>
      <c r="GZ34" s="37">
        <f t="shared" si="35"/>
        <v>0</v>
      </c>
      <c r="HA34" s="37">
        <f t="shared" si="35"/>
        <v>0</v>
      </c>
      <c r="HB34" s="35">
        <f t="shared" si="35"/>
        <v>0</v>
      </c>
      <c r="HC34" s="38">
        <f t="shared" si="35"/>
        <v>0</v>
      </c>
      <c r="HD34" s="38">
        <f t="shared" si="35"/>
        <v>0</v>
      </c>
      <c r="HE34" s="83">
        <f t="shared" si="35"/>
        <v>0</v>
      </c>
      <c r="HF34" s="35">
        <f t="shared" si="35"/>
        <v>0</v>
      </c>
      <c r="HG34" s="37">
        <f t="shared" si="35"/>
        <v>0</v>
      </c>
      <c r="HH34" s="37">
        <f t="shared" si="35"/>
        <v>0</v>
      </c>
      <c r="HI34" s="41">
        <f t="shared" si="35"/>
        <v>0</v>
      </c>
      <c r="HJ34" s="38">
        <f t="shared" si="35"/>
        <v>0</v>
      </c>
      <c r="HK34" s="36">
        <f t="shared" si="35"/>
        <v>0</v>
      </c>
      <c r="HL34" s="35">
        <f t="shared" si="35"/>
        <v>0</v>
      </c>
      <c r="HM34" s="37">
        <f t="shared" si="35"/>
        <v>0</v>
      </c>
      <c r="HN34" s="35"/>
      <c r="HO34" s="42">
        <f>SUM(GV34:HN34)</f>
        <v>0</v>
      </c>
      <c r="HP34" s="24"/>
      <c r="HQ34" s="35"/>
      <c r="HR34" s="38">
        <f>SUM(HR3:HR33)</f>
        <v>0</v>
      </c>
      <c r="HS34" s="78">
        <f>SUM(HS3:HS33)</f>
        <v>0</v>
      </c>
      <c r="HT34" s="78">
        <f>SUM(HT3:HT33)</f>
        <v>0</v>
      </c>
      <c r="HU34" s="66">
        <f>SUM(HU3:HU33)</f>
        <v>0</v>
      </c>
      <c r="HV34" s="66">
        <f>SUM(HV3:HV33)</f>
        <v>0</v>
      </c>
      <c r="HW34" s="80"/>
      <c r="HX34" s="35">
        <f t="shared" ref="HX34:IO34" si="36">SUM(HX3:HX33)</f>
        <v>0</v>
      </c>
      <c r="HY34" s="35">
        <f t="shared" si="36"/>
        <v>0</v>
      </c>
      <c r="HZ34" s="66">
        <f t="shared" si="36"/>
        <v>0</v>
      </c>
      <c r="IA34" s="35">
        <f t="shared" si="36"/>
        <v>0</v>
      </c>
      <c r="IB34" s="37">
        <f t="shared" si="36"/>
        <v>0</v>
      </c>
      <c r="IC34" s="37">
        <f t="shared" si="36"/>
        <v>0</v>
      </c>
      <c r="ID34" s="35">
        <f t="shared" si="36"/>
        <v>0</v>
      </c>
      <c r="IE34" s="38">
        <f t="shared" si="36"/>
        <v>0</v>
      </c>
      <c r="IF34" s="38">
        <f t="shared" si="36"/>
        <v>0</v>
      </c>
      <c r="IG34" s="83">
        <f t="shared" si="36"/>
        <v>0</v>
      </c>
      <c r="IH34" s="35">
        <f t="shared" si="36"/>
        <v>0</v>
      </c>
      <c r="II34" s="37">
        <f t="shared" si="36"/>
        <v>0</v>
      </c>
      <c r="IJ34" s="37">
        <f t="shared" si="36"/>
        <v>0</v>
      </c>
      <c r="IK34" s="41">
        <f t="shared" si="36"/>
        <v>0</v>
      </c>
      <c r="IL34" s="38">
        <f t="shared" si="36"/>
        <v>0</v>
      </c>
      <c r="IM34" s="36">
        <f t="shared" si="36"/>
        <v>0</v>
      </c>
      <c r="IN34" s="35">
        <f t="shared" si="36"/>
        <v>0</v>
      </c>
      <c r="IO34" s="37">
        <f t="shared" si="36"/>
        <v>0</v>
      </c>
      <c r="IP34" s="35"/>
      <c r="IQ34" s="42">
        <f>SUM(HX34:IP34)</f>
        <v>0</v>
      </c>
      <c r="IR34" s="111"/>
    </row>
    <row r="35" spans="1:252" s="137" customFormat="1" ht="37.799999999999997" customHeight="1" x14ac:dyDescent="0.3">
      <c r="A35" s="131" t="s">
        <v>0</v>
      </c>
      <c r="B35" s="108" t="s">
        <v>161</v>
      </c>
      <c r="C35" s="104" t="s">
        <v>155</v>
      </c>
      <c r="D35" s="104" t="s">
        <v>162</v>
      </c>
      <c r="E35" s="99" t="s">
        <v>1</v>
      </c>
      <c r="F35" s="99" t="s">
        <v>152</v>
      </c>
      <c r="G35" s="132" t="s">
        <v>3</v>
      </c>
      <c r="H35" s="107" t="s">
        <v>163</v>
      </c>
      <c r="I35" s="108" t="s">
        <v>38</v>
      </c>
      <c r="J35" s="99" t="s">
        <v>156</v>
      </c>
      <c r="K35" s="107" t="s">
        <v>157</v>
      </c>
      <c r="L35" s="132" t="s">
        <v>10</v>
      </c>
      <c r="M35" s="104" t="s">
        <v>39</v>
      </c>
      <c r="N35" s="107" t="s">
        <v>158</v>
      </c>
      <c r="O35" s="108" t="s">
        <v>164</v>
      </c>
      <c r="P35" s="108" t="s">
        <v>13</v>
      </c>
      <c r="Q35" s="133" t="s">
        <v>14</v>
      </c>
      <c r="R35" s="107" t="s">
        <v>159</v>
      </c>
      <c r="S35" s="108" t="s">
        <v>16</v>
      </c>
      <c r="T35" s="108" t="s">
        <v>17</v>
      </c>
      <c r="U35" s="104" t="s">
        <v>160</v>
      </c>
      <c r="V35" s="132" t="s">
        <v>19</v>
      </c>
      <c r="W35" s="133" t="s">
        <v>20</v>
      </c>
      <c r="X35" s="133" t="s">
        <v>21</v>
      </c>
      <c r="Y35" s="134" t="s">
        <v>22</v>
      </c>
      <c r="Z35" s="134" t="s">
        <v>17</v>
      </c>
      <c r="AA35" s="132" t="s">
        <v>4</v>
      </c>
      <c r="AB35" s="135"/>
      <c r="AC35" s="131" t="s">
        <v>0</v>
      </c>
      <c r="AD35" s="108" t="s">
        <v>161</v>
      </c>
      <c r="AE35" s="104" t="s">
        <v>155</v>
      </c>
      <c r="AF35" s="104" t="s">
        <v>162</v>
      </c>
      <c r="AG35" s="99" t="s">
        <v>1</v>
      </c>
      <c r="AH35" s="99" t="s">
        <v>152</v>
      </c>
      <c r="AI35" s="132" t="s">
        <v>3</v>
      </c>
      <c r="AJ35" s="107" t="s">
        <v>163</v>
      </c>
      <c r="AK35" s="108" t="s">
        <v>38</v>
      </c>
      <c r="AL35" s="99" t="s">
        <v>156</v>
      </c>
      <c r="AM35" s="107" t="s">
        <v>157</v>
      </c>
      <c r="AN35" s="132" t="s">
        <v>10</v>
      </c>
      <c r="AO35" s="104" t="s">
        <v>39</v>
      </c>
      <c r="AP35" s="107" t="s">
        <v>158</v>
      </c>
      <c r="AQ35" s="108" t="s">
        <v>164</v>
      </c>
      <c r="AR35" s="108" t="s">
        <v>13</v>
      </c>
      <c r="AS35" s="133" t="s">
        <v>14</v>
      </c>
      <c r="AT35" s="107" t="s">
        <v>159</v>
      </c>
      <c r="AU35" s="108" t="s">
        <v>16</v>
      </c>
      <c r="AV35" s="108" t="s">
        <v>17</v>
      </c>
      <c r="AW35" s="104" t="s">
        <v>160</v>
      </c>
      <c r="AX35" s="132" t="s">
        <v>19</v>
      </c>
      <c r="AY35" s="133" t="s">
        <v>20</v>
      </c>
      <c r="AZ35" s="133" t="s">
        <v>21</v>
      </c>
      <c r="BA35" s="134" t="s">
        <v>22</v>
      </c>
      <c r="BB35" s="134" t="s">
        <v>17</v>
      </c>
      <c r="BC35" s="132" t="s">
        <v>4</v>
      </c>
      <c r="BD35" s="132"/>
      <c r="BE35" s="98"/>
      <c r="BF35" s="108">
        <v>4</v>
      </c>
      <c r="BG35" s="97" t="s">
        <v>5</v>
      </c>
      <c r="BH35" s="97" t="s">
        <v>6</v>
      </c>
      <c r="BI35" s="99" t="s">
        <v>1</v>
      </c>
      <c r="BJ35" s="99" t="s">
        <v>152</v>
      </c>
      <c r="BK35" s="119" t="s">
        <v>3</v>
      </c>
      <c r="BL35" s="98" t="s">
        <v>7</v>
      </c>
      <c r="BM35" s="98" t="s">
        <v>38</v>
      </c>
      <c r="BN35" s="99" t="s">
        <v>8</v>
      </c>
      <c r="BO35" s="98" t="s">
        <v>9</v>
      </c>
      <c r="BP35" s="132" t="s">
        <v>10</v>
      </c>
      <c r="BQ35" s="132" t="s">
        <v>39</v>
      </c>
      <c r="BR35" s="98" t="s">
        <v>11</v>
      </c>
      <c r="BS35" s="108" t="s">
        <v>60</v>
      </c>
      <c r="BT35" s="108" t="s">
        <v>13</v>
      </c>
      <c r="BU35" s="133" t="s">
        <v>14</v>
      </c>
      <c r="BV35" s="98" t="s">
        <v>15</v>
      </c>
      <c r="BW35" s="132" t="s">
        <v>16</v>
      </c>
      <c r="BX35" s="132" t="s">
        <v>17</v>
      </c>
      <c r="BY35" s="134" t="s">
        <v>18</v>
      </c>
      <c r="BZ35" s="108" t="s">
        <v>19</v>
      </c>
      <c r="CA35" s="133" t="s">
        <v>20</v>
      </c>
      <c r="CB35" s="98" t="s">
        <v>21</v>
      </c>
      <c r="CC35" s="132" t="s">
        <v>22</v>
      </c>
      <c r="CD35" s="98" t="s">
        <v>17</v>
      </c>
      <c r="CE35" s="132" t="s">
        <v>4</v>
      </c>
      <c r="CF35" s="135"/>
      <c r="CG35" s="131" t="s">
        <v>0</v>
      </c>
      <c r="CH35" s="108" t="s">
        <v>161</v>
      </c>
      <c r="CI35" s="104" t="s">
        <v>155</v>
      </c>
      <c r="CJ35" s="104" t="s">
        <v>162</v>
      </c>
      <c r="CK35" s="99" t="s">
        <v>1</v>
      </c>
      <c r="CL35" s="99" t="s">
        <v>152</v>
      </c>
      <c r="CM35" s="132" t="s">
        <v>3</v>
      </c>
      <c r="CN35" s="107" t="s">
        <v>163</v>
      </c>
      <c r="CO35" s="108" t="s">
        <v>38</v>
      </c>
      <c r="CP35" s="99" t="s">
        <v>156</v>
      </c>
      <c r="CQ35" s="107" t="s">
        <v>157</v>
      </c>
      <c r="CR35" s="132" t="s">
        <v>10</v>
      </c>
      <c r="CS35" s="104" t="s">
        <v>39</v>
      </c>
      <c r="CT35" s="107" t="s">
        <v>158</v>
      </c>
      <c r="CU35" s="108" t="s">
        <v>164</v>
      </c>
      <c r="CV35" s="108" t="s">
        <v>13</v>
      </c>
      <c r="CW35" s="133" t="s">
        <v>14</v>
      </c>
      <c r="CX35" s="107" t="s">
        <v>159</v>
      </c>
      <c r="CY35" s="108" t="s">
        <v>16</v>
      </c>
      <c r="CZ35" s="108" t="s">
        <v>17</v>
      </c>
      <c r="DA35" s="104" t="s">
        <v>160</v>
      </c>
      <c r="DB35" s="132" t="s">
        <v>19</v>
      </c>
      <c r="DC35" s="133" t="s">
        <v>20</v>
      </c>
      <c r="DD35" s="133" t="s">
        <v>21</v>
      </c>
      <c r="DE35" s="134" t="s">
        <v>22</v>
      </c>
      <c r="DF35" s="134" t="s">
        <v>17</v>
      </c>
      <c r="DG35" s="132" t="s">
        <v>4</v>
      </c>
      <c r="DH35" s="135"/>
      <c r="DI35" s="131" t="s">
        <v>0</v>
      </c>
      <c r="DJ35" s="108" t="s">
        <v>161</v>
      </c>
      <c r="DK35" s="104" t="s">
        <v>155</v>
      </c>
      <c r="DL35" s="104" t="s">
        <v>162</v>
      </c>
      <c r="DM35" s="99" t="s">
        <v>1</v>
      </c>
      <c r="DN35" s="99" t="s">
        <v>152</v>
      </c>
      <c r="DO35" s="132" t="s">
        <v>3</v>
      </c>
      <c r="DP35" s="107" t="s">
        <v>163</v>
      </c>
      <c r="DQ35" s="108" t="s">
        <v>38</v>
      </c>
      <c r="DR35" s="99" t="s">
        <v>156</v>
      </c>
      <c r="DS35" s="107" t="s">
        <v>157</v>
      </c>
      <c r="DT35" s="132" t="s">
        <v>10</v>
      </c>
      <c r="DU35" s="104" t="s">
        <v>39</v>
      </c>
      <c r="DV35" s="107" t="s">
        <v>158</v>
      </c>
      <c r="DW35" s="108" t="s">
        <v>164</v>
      </c>
      <c r="DX35" s="108" t="s">
        <v>13</v>
      </c>
      <c r="DY35" s="133" t="s">
        <v>14</v>
      </c>
      <c r="DZ35" s="107" t="s">
        <v>159</v>
      </c>
      <c r="EA35" s="108" t="s">
        <v>16</v>
      </c>
      <c r="EB35" s="108" t="s">
        <v>17</v>
      </c>
      <c r="EC35" s="104" t="s">
        <v>160</v>
      </c>
      <c r="ED35" s="132" t="s">
        <v>19</v>
      </c>
      <c r="EE35" s="133" t="s">
        <v>20</v>
      </c>
      <c r="EF35" s="133" t="s">
        <v>21</v>
      </c>
      <c r="EG35" s="134" t="s">
        <v>22</v>
      </c>
      <c r="EH35" s="134" t="s">
        <v>17</v>
      </c>
      <c r="EI35" s="132" t="s">
        <v>4</v>
      </c>
      <c r="EJ35" s="135"/>
      <c r="EK35" s="131" t="s">
        <v>0</v>
      </c>
      <c r="EL35" s="108" t="s">
        <v>161</v>
      </c>
      <c r="EM35" s="104" t="s">
        <v>155</v>
      </c>
      <c r="EN35" s="104" t="s">
        <v>162</v>
      </c>
      <c r="EO35" s="99" t="s">
        <v>1</v>
      </c>
      <c r="EP35" s="99" t="s">
        <v>152</v>
      </c>
      <c r="EQ35" s="132" t="s">
        <v>3</v>
      </c>
      <c r="ER35" s="107" t="s">
        <v>163</v>
      </c>
      <c r="ES35" s="108" t="s">
        <v>38</v>
      </c>
      <c r="ET35" s="99" t="s">
        <v>156</v>
      </c>
      <c r="EU35" s="107" t="s">
        <v>157</v>
      </c>
      <c r="EV35" s="132" t="s">
        <v>10</v>
      </c>
      <c r="EW35" s="104" t="s">
        <v>39</v>
      </c>
      <c r="EX35" s="107" t="s">
        <v>158</v>
      </c>
      <c r="EY35" s="108" t="s">
        <v>164</v>
      </c>
      <c r="EZ35" s="108" t="s">
        <v>13</v>
      </c>
      <c r="FA35" s="133" t="s">
        <v>14</v>
      </c>
      <c r="FB35" s="107" t="s">
        <v>159</v>
      </c>
      <c r="FC35" s="108" t="s">
        <v>16</v>
      </c>
      <c r="FD35" s="108" t="s">
        <v>17</v>
      </c>
      <c r="FE35" s="104" t="s">
        <v>160</v>
      </c>
      <c r="FF35" s="132" t="s">
        <v>19</v>
      </c>
      <c r="FG35" s="133" t="s">
        <v>20</v>
      </c>
      <c r="FH35" s="133" t="s">
        <v>21</v>
      </c>
      <c r="FI35" s="134" t="s">
        <v>22</v>
      </c>
      <c r="FJ35" s="134" t="s">
        <v>17</v>
      </c>
      <c r="FK35" s="132" t="s">
        <v>4</v>
      </c>
      <c r="FL35" s="135"/>
      <c r="FM35" s="131" t="s">
        <v>0</v>
      </c>
      <c r="FN35" s="108" t="s">
        <v>161</v>
      </c>
      <c r="FO35" s="104" t="s">
        <v>155</v>
      </c>
      <c r="FP35" s="104" t="s">
        <v>162</v>
      </c>
      <c r="FQ35" s="99" t="s">
        <v>1</v>
      </c>
      <c r="FR35" s="99" t="s">
        <v>152</v>
      </c>
      <c r="FS35" s="132" t="s">
        <v>3</v>
      </c>
      <c r="FT35" s="107" t="s">
        <v>163</v>
      </c>
      <c r="FU35" s="108" t="s">
        <v>38</v>
      </c>
      <c r="FV35" s="99" t="s">
        <v>156</v>
      </c>
      <c r="FW35" s="107" t="s">
        <v>157</v>
      </c>
      <c r="FX35" s="132" t="s">
        <v>10</v>
      </c>
      <c r="FY35" s="104" t="s">
        <v>39</v>
      </c>
      <c r="FZ35" s="107" t="s">
        <v>158</v>
      </c>
      <c r="GA35" s="108" t="s">
        <v>164</v>
      </c>
      <c r="GB35" s="108" t="s">
        <v>13</v>
      </c>
      <c r="GC35" s="133" t="s">
        <v>14</v>
      </c>
      <c r="GD35" s="107" t="s">
        <v>159</v>
      </c>
      <c r="GE35" s="108" t="s">
        <v>16</v>
      </c>
      <c r="GF35" s="108" t="s">
        <v>17</v>
      </c>
      <c r="GG35" s="104" t="s">
        <v>160</v>
      </c>
      <c r="GH35" s="132" t="s">
        <v>19</v>
      </c>
      <c r="GI35" s="133" t="s">
        <v>20</v>
      </c>
      <c r="GJ35" s="133" t="s">
        <v>21</v>
      </c>
      <c r="GK35" s="134" t="s">
        <v>22</v>
      </c>
      <c r="GL35" s="134" t="s">
        <v>17</v>
      </c>
      <c r="GM35" s="132" t="s">
        <v>4</v>
      </c>
      <c r="GN35" s="135"/>
      <c r="GO35" s="131" t="s">
        <v>0</v>
      </c>
      <c r="GP35" s="108" t="s">
        <v>161</v>
      </c>
      <c r="GQ35" s="104" t="s">
        <v>155</v>
      </c>
      <c r="GR35" s="104" t="s">
        <v>162</v>
      </c>
      <c r="GS35" s="99" t="s">
        <v>1</v>
      </c>
      <c r="GT35" s="99" t="s">
        <v>152</v>
      </c>
      <c r="GU35" s="132" t="s">
        <v>3</v>
      </c>
      <c r="GV35" s="107" t="s">
        <v>163</v>
      </c>
      <c r="GW35" s="108" t="s">
        <v>38</v>
      </c>
      <c r="GX35" s="99" t="s">
        <v>156</v>
      </c>
      <c r="GY35" s="107" t="s">
        <v>157</v>
      </c>
      <c r="GZ35" s="132" t="s">
        <v>10</v>
      </c>
      <c r="HA35" s="104" t="s">
        <v>39</v>
      </c>
      <c r="HB35" s="107" t="s">
        <v>158</v>
      </c>
      <c r="HC35" s="108" t="s">
        <v>164</v>
      </c>
      <c r="HD35" s="108" t="s">
        <v>13</v>
      </c>
      <c r="HE35" s="133" t="s">
        <v>14</v>
      </c>
      <c r="HF35" s="107" t="s">
        <v>159</v>
      </c>
      <c r="HG35" s="108" t="s">
        <v>16</v>
      </c>
      <c r="HH35" s="108" t="s">
        <v>17</v>
      </c>
      <c r="HI35" s="104" t="s">
        <v>160</v>
      </c>
      <c r="HJ35" s="132" t="s">
        <v>19</v>
      </c>
      <c r="HK35" s="133" t="s">
        <v>20</v>
      </c>
      <c r="HL35" s="133" t="s">
        <v>21</v>
      </c>
      <c r="HM35" s="134" t="s">
        <v>22</v>
      </c>
      <c r="HN35" s="134" t="s">
        <v>17</v>
      </c>
      <c r="HO35" s="132" t="s">
        <v>4</v>
      </c>
      <c r="HP35" s="135"/>
      <c r="HQ35" s="131" t="s">
        <v>0</v>
      </c>
      <c r="HR35" s="108" t="s">
        <v>161</v>
      </c>
      <c r="HS35" s="104" t="s">
        <v>155</v>
      </c>
      <c r="HT35" s="104" t="s">
        <v>162</v>
      </c>
      <c r="HU35" s="99" t="s">
        <v>1</v>
      </c>
      <c r="HV35" s="99" t="s">
        <v>152</v>
      </c>
      <c r="HW35" s="132" t="s">
        <v>3</v>
      </c>
      <c r="HX35" s="107" t="s">
        <v>163</v>
      </c>
      <c r="HY35" s="108" t="s">
        <v>38</v>
      </c>
      <c r="HZ35" s="99" t="s">
        <v>156</v>
      </c>
      <c r="IA35" s="107" t="s">
        <v>157</v>
      </c>
      <c r="IB35" s="132" t="s">
        <v>10</v>
      </c>
      <c r="IC35" s="104" t="s">
        <v>39</v>
      </c>
      <c r="ID35" s="107" t="s">
        <v>158</v>
      </c>
      <c r="IE35" s="108" t="s">
        <v>164</v>
      </c>
      <c r="IF35" s="108" t="s">
        <v>13</v>
      </c>
      <c r="IG35" s="133" t="s">
        <v>14</v>
      </c>
      <c r="IH35" s="107" t="s">
        <v>159</v>
      </c>
      <c r="II35" s="108" t="s">
        <v>16</v>
      </c>
      <c r="IJ35" s="108" t="s">
        <v>17</v>
      </c>
      <c r="IK35" s="104" t="s">
        <v>160</v>
      </c>
      <c r="IL35" s="132" t="s">
        <v>19</v>
      </c>
      <c r="IM35" s="133" t="s">
        <v>20</v>
      </c>
      <c r="IN35" s="133" t="s">
        <v>21</v>
      </c>
      <c r="IO35" s="134" t="s">
        <v>22</v>
      </c>
      <c r="IP35" s="134" t="s">
        <v>17</v>
      </c>
      <c r="IQ35" s="132" t="s">
        <v>4</v>
      </c>
      <c r="IR35" s="136"/>
    </row>
  </sheetData>
  <mergeCells count="9">
    <mergeCell ref="HX2:ID2"/>
    <mergeCell ref="DP2:DV2"/>
    <mergeCell ref="ER2:EX2"/>
    <mergeCell ref="CN2:CT2"/>
    <mergeCell ref="H2:N2"/>
    <mergeCell ref="AJ2:AP2"/>
    <mergeCell ref="BL2:BR2"/>
    <mergeCell ref="FT2:FZ2"/>
    <mergeCell ref="GV2:H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23-24</vt:lpstr>
      <vt:lpstr>24-25</vt:lpstr>
      <vt:lpstr>25-26</vt:lpstr>
      <vt:lpstr>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BHAGWAN</dc:creator>
  <cp:lastModifiedBy>Bhagwan Bagriya</cp:lastModifiedBy>
  <dcterms:created xsi:type="dcterms:W3CDTF">2015-06-05T18:17:20Z</dcterms:created>
  <dcterms:modified xsi:type="dcterms:W3CDTF">2026-07-04T15:43:32Z</dcterms:modified>
</cp:coreProperties>
</file>